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omics Store\Downloads\"/>
    </mc:Choice>
  </mc:AlternateContent>
  <xr:revisionPtr revIDLastSave="0" documentId="13_ncr:1_{5F7E7E30-C1B4-4602-A169-C41C4ED03306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Ayuda" sheetId="1" r:id="rId1"/>
    <sheet name="extra info" sheetId="2" state="veryHidden" r:id="rId2"/>
    <sheet name="Camisetas" sheetId="3" r:id="rId3"/>
    <sheet name="Guías de tallas" sheetId="4" r:id="rId4"/>
    <sheet name="Leg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000" i="3" l="1"/>
  <c r="AS936" i="3"/>
  <c r="AS872" i="3"/>
  <c r="AS808" i="3"/>
  <c r="AS744" i="3"/>
  <c r="AS680" i="3"/>
  <c r="AS616" i="3"/>
  <c r="AS955" i="3"/>
  <c r="Y853" i="3"/>
  <c r="W802" i="3"/>
  <c r="B751" i="3"/>
  <c r="AS699" i="3"/>
  <c r="Y936" i="3"/>
  <c r="W885" i="3"/>
  <c r="B834" i="3"/>
  <c r="AS782" i="3"/>
  <c r="Y680" i="3"/>
  <c r="W629" i="3"/>
  <c r="B981" i="3"/>
  <c r="AS929" i="3"/>
  <c r="Y827" i="3"/>
  <c r="W776" i="3"/>
  <c r="B725" i="3"/>
  <c r="AS673" i="3"/>
  <c r="W955" i="3"/>
  <c r="B904" i="3"/>
  <c r="AS852" i="3"/>
  <c r="Y750" i="3"/>
  <c r="W699" i="3"/>
  <c r="B648" i="3"/>
  <c r="Y996" i="3"/>
  <c r="Y932" i="3"/>
  <c r="Y868" i="3"/>
  <c r="Y804" i="3"/>
  <c r="Y740" i="3"/>
  <c r="Y676" i="3"/>
  <c r="Y612" i="3"/>
  <c r="Y951" i="3"/>
  <c r="W900" i="3"/>
  <c r="B849" i="3"/>
  <c r="AS797" i="3"/>
  <c r="Y695" i="3"/>
  <c r="W644" i="3"/>
  <c r="AS976" i="3"/>
  <c r="Y874" i="3"/>
  <c r="W823" i="3"/>
  <c r="B772" i="3"/>
  <c r="AS720" i="3"/>
  <c r="Y618" i="3"/>
  <c r="B967" i="3"/>
  <c r="AS915" i="3"/>
  <c r="Y813" i="3"/>
  <c r="W762" i="3"/>
  <c r="B711" i="3"/>
  <c r="AS659" i="3"/>
  <c r="AS950" i="3"/>
  <c r="Y848" i="3"/>
  <c r="W797" i="3"/>
  <c r="B746" i="3"/>
  <c r="AS694" i="3"/>
  <c r="Y995" i="3"/>
  <c r="W944" i="3"/>
  <c r="B893" i="3"/>
  <c r="AS841" i="3"/>
  <c r="Y739" i="3"/>
  <c r="W688" i="3"/>
  <c r="B637" i="3"/>
  <c r="Y985" i="3"/>
  <c r="Y921" i="3"/>
  <c r="Y857" i="3"/>
  <c r="Y793" i="3"/>
  <c r="Y729" i="3"/>
  <c r="Y665" i="3"/>
  <c r="Y940" i="3"/>
  <c r="W889" i="3"/>
  <c r="B838" i="3"/>
  <c r="AS786" i="3"/>
  <c r="Y684" i="3"/>
  <c r="W633" i="3"/>
  <c r="AS965" i="3"/>
  <c r="Y863" i="3"/>
  <c r="W812" i="3"/>
  <c r="B761" i="3"/>
  <c r="AS709" i="3"/>
  <c r="W942" i="3"/>
  <c r="Y994" i="3"/>
  <c r="Y930" i="3"/>
  <c r="Y866" i="3"/>
  <c r="Y802" i="3"/>
  <c r="Y738" i="3"/>
  <c r="Y674" i="3"/>
  <c r="Y610" i="3"/>
  <c r="Y901" i="3"/>
  <c r="W850" i="3"/>
  <c r="B799" i="3"/>
  <c r="AS747" i="3"/>
  <c r="Y645" i="3"/>
  <c r="Y984" i="3"/>
  <c r="W933" i="3"/>
  <c r="B882" i="3"/>
  <c r="AS830" i="3"/>
  <c r="Y728" i="3"/>
  <c r="W677" i="3"/>
  <c r="B626" i="3"/>
  <c r="AS977" i="3"/>
  <c r="Y875" i="3"/>
  <c r="W824" i="3"/>
  <c r="B773" i="3"/>
  <c r="AS721" i="3"/>
  <c r="Y619" i="3"/>
  <c r="B952" i="3"/>
  <c r="AS900" i="3"/>
  <c r="Y798" i="3"/>
  <c r="W747" i="3"/>
  <c r="B696" i="3"/>
  <c r="AS644" i="3"/>
  <c r="W993" i="3"/>
  <c r="W929" i="3"/>
  <c r="W865" i="3"/>
  <c r="W801" i="3"/>
  <c r="W737" i="3"/>
  <c r="W673" i="3"/>
  <c r="Y999" i="3"/>
  <c r="W948" i="3"/>
  <c r="B897" i="3"/>
  <c r="AS845" i="3"/>
  <c r="Y743" i="3"/>
  <c r="W692" i="3"/>
  <c r="B641" i="3"/>
  <c r="Y922" i="3"/>
  <c r="W871" i="3"/>
  <c r="B820" i="3"/>
  <c r="AS768" i="3"/>
  <c r="Y666" i="3"/>
  <c r="W615" i="3"/>
  <c r="AS963" i="3"/>
  <c r="Y861" i="3"/>
  <c r="W810" i="3"/>
  <c r="B759" i="3"/>
  <c r="AS707" i="3"/>
  <c r="AS998" i="3"/>
  <c r="Y896" i="3"/>
  <c r="W845" i="3"/>
  <c r="B794" i="3"/>
  <c r="AS742" i="3"/>
  <c r="Y640" i="3"/>
  <c r="W992" i="3"/>
  <c r="B941" i="3"/>
  <c r="AS889" i="3"/>
  <c r="Y787" i="3"/>
  <c r="W736" i="3"/>
  <c r="B685" i="3"/>
  <c r="AS633" i="3"/>
  <c r="W982" i="3"/>
  <c r="W918" i="3"/>
  <c r="W854" i="3"/>
  <c r="W790" i="3"/>
  <c r="W726" i="3"/>
  <c r="W662" i="3"/>
  <c r="Y988" i="3"/>
  <c r="W937" i="3"/>
  <c r="B886" i="3"/>
  <c r="AS834" i="3"/>
  <c r="Y732" i="3"/>
  <c r="W681" i="3"/>
  <c r="B630" i="3"/>
  <c r="W991" i="3"/>
  <c r="W927" i="3"/>
  <c r="W863" i="3"/>
  <c r="W799" i="3"/>
  <c r="W735" i="3"/>
  <c r="W671" i="3"/>
  <c r="AR1000" i="3"/>
  <c r="Y949" i="3"/>
  <c r="W898" i="3"/>
  <c r="B847" i="3"/>
  <c r="AS795" i="3"/>
  <c r="AR744" i="3"/>
  <c r="Y693" i="3"/>
  <c r="W642" i="3"/>
  <c r="W981" i="3"/>
  <c r="B930" i="3"/>
  <c r="AS878" i="3"/>
  <c r="AR878" i="3" s="1"/>
  <c r="Y776" i="3"/>
  <c r="W725" i="3"/>
  <c r="B674" i="3"/>
  <c r="AS622" i="3"/>
  <c r="AR622" i="3" s="1"/>
  <c r="Y923" i="3"/>
  <c r="W872" i="3"/>
  <c r="B821" i="3"/>
  <c r="AS769" i="3"/>
  <c r="Y667" i="3"/>
  <c r="B1000" i="3"/>
  <c r="AS948" i="3"/>
  <c r="Y846" i="3"/>
  <c r="W795" i="3"/>
  <c r="B744" i="3"/>
  <c r="AS692" i="3"/>
  <c r="B990" i="3"/>
  <c r="B926" i="3"/>
  <c r="B862" i="3"/>
  <c r="B798" i="3"/>
  <c r="B734" i="3"/>
  <c r="B670" i="3"/>
  <c r="W996" i="3"/>
  <c r="B945" i="3"/>
  <c r="AS893" i="3"/>
  <c r="Y791" i="3"/>
  <c r="W740" i="3"/>
  <c r="B689" i="3"/>
  <c r="AS637" i="3"/>
  <c r="Y970" i="3"/>
  <c r="W919" i="3"/>
  <c r="B868" i="3"/>
  <c r="AS816" i="3"/>
  <c r="Y714" i="3"/>
  <c r="W663" i="3"/>
  <c r="B612" i="3"/>
  <c r="Y909" i="3"/>
  <c r="W858" i="3"/>
  <c r="B807" i="3"/>
  <c r="AS755" i="3"/>
  <c r="Y653" i="3"/>
  <c r="B988" i="3"/>
  <c r="B924" i="3"/>
  <c r="B860" i="3"/>
  <c r="B796" i="3"/>
  <c r="B732" i="3"/>
  <c r="B668" i="3"/>
  <c r="Y997" i="3"/>
  <c r="W946" i="3"/>
  <c r="B895" i="3"/>
  <c r="AS843" i="3"/>
  <c r="Y741" i="3"/>
  <c r="W690" i="3"/>
  <c r="B639" i="3"/>
  <c r="B978" i="3"/>
  <c r="AS926" i="3"/>
  <c r="AR926" i="3" s="1"/>
  <c r="Y824" i="3"/>
  <c r="W773" i="3"/>
  <c r="B722" i="3"/>
  <c r="AS670" i="3"/>
  <c r="AR670" i="3" s="1"/>
  <c r="Y971" i="3"/>
  <c r="W920" i="3"/>
  <c r="B869" i="3"/>
  <c r="AS817" i="3"/>
  <c r="Y715" i="3"/>
  <c r="W664" i="3"/>
  <c r="AS996" i="3"/>
  <c r="Y894" i="3"/>
  <c r="W843" i="3"/>
  <c r="B792" i="3"/>
  <c r="AS740" i="3"/>
  <c r="Y638" i="3"/>
  <c r="AS986" i="3"/>
  <c r="AS922" i="3"/>
  <c r="AS858" i="3"/>
  <c r="AS794" i="3"/>
  <c r="AR794" i="3" s="1"/>
  <c r="AS730" i="3"/>
  <c r="AS666" i="3"/>
  <c r="B993" i="3"/>
  <c r="AS941" i="3"/>
  <c r="Y839" i="3"/>
  <c r="W788" i="3"/>
  <c r="B737" i="3"/>
  <c r="AS685" i="3"/>
  <c r="W967" i="3"/>
  <c r="B916" i="3"/>
  <c r="AS864" i="3"/>
  <c r="AR864" i="3" s="1"/>
  <c r="Y762" i="3"/>
  <c r="W711" i="3"/>
  <c r="B660" i="3"/>
  <c r="AS608" i="3"/>
  <c r="AR608" i="3" s="1"/>
  <c r="Y957" i="3"/>
  <c r="W906" i="3"/>
  <c r="B855" i="3"/>
  <c r="AS803" i="3"/>
  <c r="Y701" i="3"/>
  <c r="W650" i="3"/>
  <c r="Y992" i="3"/>
  <c r="W941" i="3"/>
  <c r="B890" i="3"/>
  <c r="AS838" i="3"/>
  <c r="AR838" i="3" s="1"/>
  <c r="Y736" i="3"/>
  <c r="W685" i="3"/>
  <c r="B634" i="3"/>
  <c r="AS985" i="3"/>
  <c r="Y883" i="3"/>
  <c r="W832" i="3"/>
  <c r="B781" i="3"/>
  <c r="AS729" i="3"/>
  <c r="Y627" i="3"/>
  <c r="AS975" i="3"/>
  <c r="AS911" i="3"/>
  <c r="AS847" i="3"/>
  <c r="AS783" i="3"/>
  <c r="AR783" i="3" s="1"/>
  <c r="AS719" i="3"/>
  <c r="AS655" i="3"/>
  <c r="B982" i="3"/>
  <c r="AS930" i="3"/>
  <c r="Y828" i="3"/>
  <c r="W777" i="3"/>
  <c r="B726" i="3"/>
  <c r="AS674" i="3"/>
  <c r="W956" i="3"/>
  <c r="B905" i="3"/>
  <c r="AS853" i="3"/>
  <c r="Y751" i="3"/>
  <c r="W700" i="3"/>
  <c r="B649" i="3"/>
  <c r="Y865" i="3"/>
  <c r="AS585" i="3"/>
  <c r="AS521" i="3"/>
  <c r="AS457" i="3"/>
  <c r="AS393" i="3"/>
  <c r="AS329" i="3"/>
  <c r="AS265" i="3"/>
  <c r="AR633" i="3"/>
  <c r="B560" i="3"/>
  <c r="AS508" i="3"/>
  <c r="AR457" i="3"/>
  <c r="Y406" i="3"/>
  <c r="W355" i="3"/>
  <c r="B304" i="3"/>
  <c r="AS252" i="3"/>
  <c r="B613" i="3"/>
  <c r="Y505" i="3"/>
  <c r="W454" i="3"/>
  <c r="B403" i="3"/>
  <c r="AS351" i="3"/>
  <c r="AS988" i="3"/>
  <c r="B607" i="3"/>
  <c r="AS984" i="3"/>
  <c r="AS920" i="3"/>
  <c r="AS856" i="3"/>
  <c r="AS792" i="3"/>
  <c r="AR792" i="3" s="1"/>
  <c r="AS728" i="3"/>
  <c r="AS664" i="3"/>
  <c r="W994" i="3"/>
  <c r="B943" i="3"/>
  <c r="AS891" i="3"/>
  <c r="Y789" i="3"/>
  <c r="W738" i="3"/>
  <c r="B687" i="3"/>
  <c r="AS635" i="3"/>
  <c r="AS974" i="3"/>
  <c r="AR974" i="3" s="1"/>
  <c r="Y872" i="3"/>
  <c r="W821" i="3"/>
  <c r="B770" i="3"/>
  <c r="AS718" i="3"/>
  <c r="AR718" i="3" s="1"/>
  <c r="Y616" i="3"/>
  <c r="W968" i="3"/>
  <c r="B917" i="3"/>
  <c r="AS865" i="3"/>
  <c r="Y763" i="3"/>
  <c r="W712" i="3"/>
  <c r="B661" i="3"/>
  <c r="Y942" i="3"/>
  <c r="W891" i="3"/>
  <c r="B840" i="3"/>
  <c r="AS788" i="3"/>
  <c r="Y686" i="3"/>
  <c r="W635" i="3"/>
  <c r="Y980" i="3"/>
  <c r="Y916" i="3"/>
  <c r="Y852" i="3"/>
  <c r="Y788" i="3"/>
  <c r="Y724" i="3"/>
  <c r="Y660" i="3"/>
  <c r="AS989" i="3"/>
  <c r="Y887" i="3"/>
  <c r="W836" i="3"/>
  <c r="B785" i="3"/>
  <c r="AS733" i="3"/>
  <c r="Y631" i="3"/>
  <c r="B964" i="3"/>
  <c r="AS912" i="3"/>
  <c r="AR912" i="3" s="1"/>
  <c r="Y810" i="3"/>
  <c r="W759" i="3"/>
  <c r="B708" i="3"/>
  <c r="AS656" i="3"/>
  <c r="AR656" i="3" s="1"/>
  <c r="Y602" i="3"/>
  <c r="W954" i="3"/>
  <c r="B903" i="3"/>
  <c r="AS851" i="3"/>
  <c r="Y749" i="3"/>
  <c r="W698" i="3"/>
  <c r="B647" i="3"/>
  <c r="W989" i="3"/>
  <c r="B938" i="3"/>
  <c r="AS886" i="3"/>
  <c r="Y784" i="3"/>
  <c r="W733" i="3"/>
  <c r="B682" i="3"/>
  <c r="AS630" i="3"/>
  <c r="Y931" i="3"/>
  <c r="W880" i="3"/>
  <c r="B829" i="3"/>
  <c r="AS777" i="3"/>
  <c r="Y675" i="3"/>
  <c r="W624" i="3"/>
  <c r="Y969" i="3"/>
  <c r="Y905" i="3"/>
  <c r="Y841" i="3"/>
  <c r="Y777" i="3"/>
  <c r="Y713" i="3"/>
  <c r="Y649" i="3"/>
  <c r="AS978" i="3"/>
  <c r="Y876" i="3"/>
  <c r="W825" i="3"/>
  <c r="B774" i="3"/>
  <c r="AS722" i="3"/>
  <c r="Y620" i="3"/>
  <c r="B953" i="3"/>
  <c r="AS901" i="3"/>
  <c r="Y799" i="3"/>
  <c r="W748" i="3"/>
  <c r="B697" i="3"/>
  <c r="AS645" i="3"/>
  <c r="AS839" i="3"/>
  <c r="Y579" i="3"/>
  <c r="Y515" i="3"/>
  <c r="Y451" i="3"/>
  <c r="Y387" i="3"/>
  <c r="Y323" i="3"/>
  <c r="Y259" i="3"/>
  <c r="AS613" i="3"/>
  <c r="AS556" i="3"/>
  <c r="AR556" i="3" s="1"/>
  <c r="Y454" i="3"/>
  <c r="W403" i="3"/>
  <c r="B352" i="3"/>
  <c r="AS300" i="3"/>
  <c r="AR300" i="3" s="1"/>
  <c r="W990" i="3"/>
  <c r="W607" i="3"/>
  <c r="Y553" i="3"/>
  <c r="W502" i="3"/>
  <c r="B451" i="3"/>
  <c r="AS399" i="3"/>
  <c r="Y297" i="3"/>
  <c r="W963" i="3"/>
  <c r="AS602" i="3"/>
  <c r="Y978" i="3"/>
  <c r="Y914" i="3"/>
  <c r="Y850" i="3"/>
  <c r="Y786" i="3"/>
  <c r="Y722" i="3"/>
  <c r="Y658" i="3"/>
  <c r="B991" i="3"/>
  <c r="AS939" i="3"/>
  <c r="Y837" i="3"/>
  <c r="W786" i="3"/>
  <c r="B735" i="3"/>
  <c r="AS683" i="3"/>
  <c r="Y920" i="3"/>
  <c r="W869" i="3"/>
  <c r="B818" i="3"/>
  <c r="AS766" i="3"/>
  <c r="AR766" i="3" s="1"/>
  <c r="Y664" i="3"/>
  <c r="W613" i="3"/>
  <c r="B965" i="3"/>
  <c r="AS913" i="3"/>
  <c r="Y811" i="3"/>
  <c r="W760" i="3"/>
  <c r="B709" i="3"/>
  <c r="AS657" i="3"/>
  <c r="Y990" i="3"/>
  <c r="W939" i="3"/>
  <c r="B888" i="3"/>
  <c r="AS836" i="3"/>
  <c r="Y734" i="3"/>
  <c r="W683" i="3"/>
  <c r="B632" i="3"/>
  <c r="W977" i="3"/>
  <c r="W913" i="3"/>
  <c r="W849" i="3"/>
  <c r="W785" i="3"/>
  <c r="W721" i="3"/>
  <c r="W657" i="3"/>
  <c r="AR986" i="3"/>
  <c r="Y935" i="3"/>
  <c r="W884" i="3"/>
  <c r="B833" i="3"/>
  <c r="AS781" i="3"/>
  <c r="AR730" i="3"/>
  <c r="Y679" i="3"/>
  <c r="W628" i="3"/>
  <c r="AS960" i="3"/>
  <c r="AR960" i="3" s="1"/>
  <c r="Y858" i="3"/>
  <c r="W807" i="3"/>
  <c r="B756" i="3"/>
  <c r="AS704" i="3"/>
  <c r="AR704" i="3" s="1"/>
  <c r="W599" i="3"/>
  <c r="B951" i="3"/>
  <c r="AS899" i="3"/>
  <c r="AR899" i="3" s="1"/>
  <c r="Y797" i="3"/>
  <c r="W746" i="3"/>
  <c r="B695" i="3"/>
  <c r="AS643" i="3"/>
  <c r="AR643" i="3" s="1"/>
  <c r="B986" i="3"/>
  <c r="AS934" i="3"/>
  <c r="AR934" i="3" s="1"/>
  <c r="Y832" i="3"/>
  <c r="W781" i="3"/>
  <c r="B730" i="3"/>
  <c r="AS678" i="3"/>
  <c r="AR678" i="3" s="1"/>
  <c r="Y979" i="3"/>
  <c r="W928" i="3"/>
  <c r="B877" i="3"/>
  <c r="AS825" i="3"/>
  <c r="Y723" i="3"/>
  <c r="W672" i="3"/>
  <c r="B621" i="3"/>
  <c r="W966" i="3"/>
  <c r="W902" i="3"/>
  <c r="W838" i="3"/>
  <c r="W774" i="3"/>
  <c r="W710" i="3"/>
  <c r="W646" i="3"/>
  <c r="AR975" i="3"/>
  <c r="Y924" i="3"/>
  <c r="W873" i="3"/>
  <c r="B822" i="3"/>
  <c r="AS770" i="3"/>
  <c r="AR719" i="3"/>
  <c r="Y668" i="3"/>
  <c r="W617" i="3"/>
  <c r="AS949" i="3"/>
  <c r="Y847" i="3"/>
  <c r="W796" i="3"/>
  <c r="B745" i="3"/>
  <c r="AS693" i="3"/>
  <c r="W814" i="3"/>
  <c r="W576" i="3"/>
  <c r="W512" i="3"/>
  <c r="W448" i="3"/>
  <c r="W384" i="3"/>
  <c r="W320" i="3"/>
  <c r="B992" i="3"/>
  <c r="Y607" i="3"/>
  <c r="Y502" i="3"/>
  <c r="W451" i="3"/>
  <c r="B400" i="3"/>
  <c r="AS348" i="3"/>
  <c r="AR348" i="3" s="1"/>
  <c r="B603" i="3"/>
  <c r="W550" i="3"/>
  <c r="B499" i="3"/>
  <c r="AS447" i="3"/>
  <c r="W975" i="3"/>
  <c r="W911" i="3"/>
  <c r="W847" i="3"/>
  <c r="W783" i="3"/>
  <c r="W719" i="3"/>
  <c r="W655" i="3"/>
  <c r="AS987" i="3"/>
  <c r="AR987" i="3" s="1"/>
  <c r="AR936" i="3"/>
  <c r="Y885" i="3"/>
  <c r="W834" i="3"/>
  <c r="B783" i="3"/>
  <c r="AS731" i="3"/>
  <c r="AR731" i="3" s="1"/>
  <c r="AR680" i="3"/>
  <c r="Y629" i="3"/>
  <c r="Y968" i="3"/>
  <c r="W917" i="3"/>
  <c r="B866" i="3"/>
  <c r="AS814" i="3"/>
  <c r="AR814" i="3" s="1"/>
  <c r="Y712" i="3"/>
  <c r="W661" i="3"/>
  <c r="B610" i="3"/>
  <c r="AS961" i="3"/>
  <c r="Y859" i="3"/>
  <c r="W808" i="3"/>
  <c r="B757" i="3"/>
  <c r="AS705" i="3"/>
  <c r="W987" i="3"/>
  <c r="B936" i="3"/>
  <c r="AS884" i="3"/>
  <c r="Y782" i="3"/>
  <c r="W731" i="3"/>
  <c r="B680" i="3"/>
  <c r="AS628" i="3"/>
  <c r="B974" i="3"/>
  <c r="B910" i="3"/>
  <c r="B846" i="3"/>
  <c r="B782" i="3"/>
  <c r="B718" i="3"/>
  <c r="B654" i="3"/>
  <c r="Y983" i="3"/>
  <c r="W932" i="3"/>
  <c r="B881" i="3"/>
  <c r="AS829" i="3"/>
  <c r="Y727" i="3"/>
  <c r="W676" i="3"/>
  <c r="B625" i="3"/>
  <c r="Y906" i="3"/>
  <c r="W855" i="3"/>
  <c r="B804" i="3"/>
  <c r="AS752" i="3"/>
  <c r="AR752" i="3" s="1"/>
  <c r="Y650" i="3"/>
  <c r="B999" i="3"/>
  <c r="AS947" i="3"/>
  <c r="AR947" i="3" s="1"/>
  <c r="Y845" i="3"/>
  <c r="W794" i="3"/>
  <c r="B743" i="3"/>
  <c r="AS691" i="3"/>
  <c r="AR691" i="3" s="1"/>
  <c r="AS982" i="3"/>
  <c r="AR982" i="3" s="1"/>
  <c r="Y880" i="3"/>
  <c r="W829" i="3"/>
  <c r="B778" i="3"/>
  <c r="AS726" i="3"/>
  <c r="AR726" i="3" s="1"/>
  <c r="Y624" i="3"/>
  <c r="W976" i="3"/>
  <c r="B925" i="3"/>
  <c r="AS873" i="3"/>
  <c r="Y771" i="3"/>
  <c r="W720" i="3"/>
  <c r="B669" i="3"/>
  <c r="AS617" i="3"/>
  <c r="B963" i="3"/>
  <c r="B899" i="3"/>
  <c r="B835" i="3"/>
  <c r="B771" i="3"/>
  <c r="B707" i="3"/>
  <c r="B643" i="3"/>
  <c r="Y972" i="3"/>
  <c r="W921" i="3"/>
  <c r="B870" i="3"/>
  <c r="AS818" i="3"/>
  <c r="Y716" i="3"/>
  <c r="W665" i="3"/>
  <c r="AS997" i="3"/>
  <c r="Y895" i="3"/>
  <c r="W844" i="3"/>
  <c r="B793" i="3"/>
  <c r="AS741" i="3"/>
  <c r="Y639" i="3"/>
  <c r="AR788" i="3"/>
  <c r="B573" i="3"/>
  <c r="B509" i="3"/>
  <c r="B445" i="3"/>
  <c r="B381" i="3"/>
  <c r="B317" i="3"/>
  <c r="Y966" i="3"/>
  <c r="W603" i="3"/>
  <c r="Y550" i="3"/>
  <c r="W499" i="3"/>
  <c r="B448" i="3"/>
  <c r="AS396" i="3"/>
  <c r="AR396" i="3" s="1"/>
  <c r="Y294" i="3"/>
  <c r="B939" i="3"/>
  <c r="B547" i="3"/>
  <c r="AS495" i="3"/>
  <c r="B972" i="3"/>
  <c r="B908" i="3"/>
  <c r="B844" i="3"/>
  <c r="B780" i="3"/>
  <c r="B716" i="3"/>
  <c r="B652" i="3"/>
  <c r="AR984" i="3"/>
  <c r="Y933" i="3"/>
  <c r="W882" i="3"/>
  <c r="B831" i="3"/>
  <c r="AS779" i="3"/>
  <c r="AR779" i="3" s="1"/>
  <c r="AR728" i="3"/>
  <c r="Y677" i="3"/>
  <c r="W626" i="3"/>
  <c r="W965" i="3"/>
  <c r="B914" i="3"/>
  <c r="AS862" i="3"/>
  <c r="AR862" i="3" s="1"/>
  <c r="Y760" i="3"/>
  <c r="W709" i="3"/>
  <c r="B658" i="3"/>
  <c r="AS606" i="3"/>
  <c r="Y907" i="3"/>
  <c r="W856" i="3"/>
  <c r="B805" i="3"/>
  <c r="AS753" i="3"/>
  <c r="Y651" i="3"/>
  <c r="B984" i="3"/>
  <c r="AS932" i="3"/>
  <c r="Y830" i="3"/>
  <c r="W779" i="3"/>
  <c r="B728" i="3"/>
  <c r="AS676" i="3"/>
  <c r="AS970" i="3"/>
  <c r="AS906" i="3"/>
  <c r="AS842" i="3"/>
  <c r="AR842" i="3" s="1"/>
  <c r="AS778" i="3"/>
  <c r="AR778" i="3" s="1"/>
  <c r="AS714" i="3"/>
  <c r="AS650" i="3"/>
  <c r="W980" i="3"/>
  <c r="B929" i="3"/>
  <c r="AS877" i="3"/>
  <c r="Y775" i="3"/>
  <c r="AS968" i="3"/>
  <c r="AS904" i="3"/>
  <c r="AR904" i="3" s="1"/>
  <c r="AS840" i="3"/>
  <c r="AR840" i="3" s="1"/>
  <c r="AS776" i="3"/>
  <c r="AS712" i="3"/>
  <c r="AS648" i="3"/>
  <c r="AR648" i="3" s="1"/>
  <c r="Y981" i="3"/>
  <c r="W930" i="3"/>
  <c r="B879" i="3"/>
  <c r="AS827" i="3"/>
  <c r="AR827" i="3" s="1"/>
  <c r="AR776" i="3"/>
  <c r="Y725" i="3"/>
  <c r="W674" i="3"/>
  <c r="B623" i="3"/>
  <c r="B962" i="3"/>
  <c r="AS910" i="3"/>
  <c r="AR910" i="3" s="1"/>
  <c r="Y808" i="3"/>
  <c r="W757" i="3"/>
  <c r="B706" i="3"/>
  <c r="AS654" i="3"/>
  <c r="AR654" i="3" s="1"/>
  <c r="Y600" i="3"/>
  <c r="Y955" i="3"/>
  <c r="W904" i="3"/>
  <c r="B853" i="3"/>
  <c r="AS801" i="3"/>
  <c r="AR801" i="3" s="1"/>
  <c r="Y699" i="3"/>
  <c r="W648" i="3"/>
  <c r="AS980" i="3"/>
  <c r="AR929" i="3"/>
  <c r="Y878" i="3"/>
  <c r="W827" i="3"/>
  <c r="B776" i="3"/>
  <c r="AS724" i="3"/>
  <c r="AR673" i="3"/>
  <c r="Y622" i="3"/>
  <c r="Y964" i="3"/>
  <c r="Y900" i="3"/>
  <c r="Y836" i="3"/>
  <c r="Y772" i="3"/>
  <c r="Y708" i="3"/>
  <c r="Y644" i="3"/>
  <c r="B977" i="3"/>
  <c r="AS925" i="3"/>
  <c r="AR925" i="3" s="1"/>
  <c r="Y823" i="3"/>
  <c r="W772" i="3"/>
  <c r="B721" i="3"/>
  <c r="AS669" i="3"/>
  <c r="AR669" i="3" s="1"/>
  <c r="W951" i="3"/>
  <c r="B900" i="3"/>
  <c r="AS848" i="3"/>
  <c r="AR848" i="3" s="1"/>
  <c r="AR797" i="3"/>
  <c r="Y746" i="3"/>
  <c r="W695" i="3"/>
  <c r="B644" i="3"/>
  <c r="Y941" i="3"/>
  <c r="W890" i="3"/>
  <c r="B839" i="3"/>
  <c r="AS787" i="3"/>
  <c r="AR787" i="3" s="1"/>
  <c r="Y685" i="3"/>
  <c r="W634" i="3"/>
  <c r="Y976" i="3"/>
  <c r="W925" i="3"/>
  <c r="B874" i="3"/>
  <c r="AS822" i="3"/>
  <c r="AR822" i="3" s="1"/>
  <c r="Y720" i="3"/>
  <c r="W669" i="3"/>
  <c r="B618" i="3"/>
  <c r="AS969" i="3"/>
  <c r="Y867" i="3"/>
  <c r="W816" i="3"/>
  <c r="B765" i="3"/>
  <c r="AS713" i="3"/>
  <c r="Y611" i="3"/>
  <c r="Y953" i="3"/>
  <c r="Y889" i="3"/>
  <c r="Y825" i="3"/>
  <c r="Y761" i="3"/>
  <c r="Y697" i="3"/>
  <c r="Y633" i="3"/>
  <c r="B966" i="3"/>
  <c r="AS914" i="3"/>
  <c r="AR914" i="3" s="1"/>
  <c r="Y812" i="3"/>
  <c r="W761" i="3"/>
  <c r="B710" i="3"/>
  <c r="AS658" i="3"/>
  <c r="AR658" i="3" s="1"/>
  <c r="Y991" i="3"/>
  <c r="W940" i="3"/>
  <c r="B889" i="3"/>
  <c r="AS837" i="3"/>
  <c r="AR786" i="3"/>
  <c r="Y735" i="3"/>
  <c r="W684" i="3"/>
  <c r="B633" i="3"/>
  <c r="Y737" i="3"/>
  <c r="Y563" i="3"/>
  <c r="Y499" i="3"/>
  <c r="Y435" i="3"/>
  <c r="Y371" i="3"/>
  <c r="Y307" i="3"/>
  <c r="W915" i="3"/>
  <c r="W595" i="3"/>
  <c r="B544" i="3"/>
  <c r="AS492" i="3"/>
  <c r="Y390" i="3"/>
  <c r="W339" i="3"/>
  <c r="B288" i="3"/>
  <c r="AS887" i="3"/>
  <c r="AS591" i="3"/>
  <c r="Y489" i="3"/>
  <c r="W438" i="3"/>
  <c r="B387" i="3"/>
  <c r="AS335" i="3"/>
  <c r="AS860" i="3"/>
  <c r="Y588" i="3"/>
  <c r="Y962" i="3"/>
  <c r="Y898" i="3"/>
  <c r="Y834" i="3"/>
  <c r="Y770" i="3"/>
  <c r="Y706" i="3"/>
  <c r="Y642" i="3"/>
  <c r="W978" i="3"/>
  <c r="B927" i="3"/>
  <c r="AS875" i="3"/>
  <c r="AR875" i="3" s="1"/>
  <c r="Y773" i="3"/>
  <c r="W722" i="3"/>
  <c r="B671" i="3"/>
  <c r="AS619" i="3"/>
  <c r="AR619" i="3" s="1"/>
  <c r="AS958" i="3"/>
  <c r="AR958" i="3" s="1"/>
  <c r="Y856" i="3"/>
  <c r="W805" i="3"/>
  <c r="B754" i="3"/>
  <c r="AS702" i="3"/>
  <c r="AR702" i="3" s="1"/>
  <c r="W597" i="3"/>
  <c r="W952" i="3"/>
  <c r="B901" i="3"/>
  <c r="AS849" i="3"/>
  <c r="AR849" i="3" s="1"/>
  <c r="Y747" i="3"/>
  <c r="W696" i="3"/>
  <c r="B645" i="3"/>
  <c r="AR977" i="3"/>
  <c r="Y926" i="3"/>
  <c r="W875" i="3"/>
  <c r="B824" i="3"/>
  <c r="AS772" i="3"/>
  <c r="AR721" i="3"/>
  <c r="Y670" i="3"/>
  <c r="W619" i="3"/>
  <c r="W961" i="3"/>
  <c r="W897" i="3"/>
  <c r="W833" i="3"/>
  <c r="W769" i="3"/>
  <c r="W705" i="3"/>
  <c r="W641" i="3"/>
  <c r="AS973" i="3"/>
  <c r="AR973" i="3" s="1"/>
  <c r="AR922" i="3"/>
  <c r="Y871" i="3"/>
  <c r="W820" i="3"/>
  <c r="B769" i="3"/>
  <c r="AS717" i="3"/>
  <c r="AR717" i="3" s="1"/>
  <c r="AR666" i="3"/>
  <c r="W999" i="3"/>
  <c r="B948" i="3"/>
  <c r="AS896" i="3"/>
  <c r="AR896" i="3" s="1"/>
  <c r="AR845" i="3"/>
  <c r="Y794" i="3"/>
  <c r="W743" i="3"/>
  <c r="B692" i="3"/>
  <c r="AS640" i="3"/>
  <c r="AR640" i="3" s="1"/>
  <c r="Y989" i="3"/>
  <c r="W938" i="3"/>
  <c r="B887" i="3"/>
  <c r="AS835" i="3"/>
  <c r="AR835" i="3" s="1"/>
  <c r="Y733" i="3"/>
  <c r="W682" i="3"/>
  <c r="B631" i="3"/>
  <c r="W973" i="3"/>
  <c r="B922" i="3"/>
  <c r="AS870" i="3"/>
  <c r="Y768" i="3"/>
  <c r="W717" i="3"/>
  <c r="B666" i="3"/>
  <c r="AS614" i="3"/>
  <c r="Y915" i="3"/>
  <c r="W864" i="3"/>
  <c r="B813" i="3"/>
  <c r="AS761" i="3"/>
  <c r="Y659" i="3"/>
  <c r="W608" i="3"/>
  <c r="W950" i="3"/>
  <c r="W886" i="3"/>
  <c r="W822" i="3"/>
  <c r="W758" i="3"/>
  <c r="W694" i="3"/>
  <c r="W630" i="3"/>
  <c r="AS962" i="3"/>
  <c r="AR911" i="3"/>
  <c r="Y860" i="3"/>
  <c r="W809" i="3"/>
  <c r="B758" i="3"/>
  <c r="AS706" i="3"/>
  <c r="AR655" i="3"/>
  <c r="W988" i="3"/>
  <c r="B937" i="3"/>
  <c r="AS885" i="3"/>
  <c r="AR834" i="3"/>
  <c r="W959" i="3"/>
  <c r="W895" i="3"/>
  <c r="W831" i="3"/>
  <c r="W767" i="3"/>
  <c r="W703" i="3"/>
  <c r="W639" i="3"/>
  <c r="B975" i="3"/>
  <c r="AS923" i="3"/>
  <c r="AR923" i="3" s="1"/>
  <c r="AR872" i="3"/>
  <c r="Y821" i="3"/>
  <c r="W770" i="3"/>
  <c r="B719" i="3"/>
  <c r="AS667" i="3"/>
  <c r="AR667" i="3" s="1"/>
  <c r="AR616" i="3"/>
  <c r="AR955" i="3"/>
  <c r="Y904" i="3"/>
  <c r="W853" i="3"/>
  <c r="B802" i="3"/>
  <c r="AS750" i="3"/>
  <c r="AR750" i="3" s="1"/>
  <c r="AR699" i="3"/>
  <c r="Y648" i="3"/>
  <c r="W1000" i="3"/>
  <c r="B949" i="3"/>
  <c r="AS897" i="3"/>
  <c r="AR897" i="3" s="1"/>
  <c r="Y795" i="3"/>
  <c r="W744" i="3"/>
  <c r="B693" i="3"/>
  <c r="AS641" i="3"/>
  <c r="AR641" i="3" s="1"/>
  <c r="Y974" i="3"/>
  <c r="W923" i="3"/>
  <c r="B872" i="3"/>
  <c r="AS820" i="3"/>
  <c r="AR769" i="3"/>
  <c r="Y718" i="3"/>
  <c r="W667" i="3"/>
  <c r="B616" i="3"/>
  <c r="B958" i="3"/>
  <c r="B894" i="3"/>
  <c r="B830" i="3"/>
  <c r="B766" i="3"/>
  <c r="B702" i="3"/>
  <c r="B638" i="3"/>
  <c r="AR970" i="3"/>
  <c r="Y919" i="3"/>
  <c r="W868" i="3"/>
  <c r="B817" i="3"/>
  <c r="AS765" i="3"/>
  <c r="AR765" i="3" s="1"/>
  <c r="AR714" i="3"/>
  <c r="Y663" i="3"/>
  <c r="B996" i="3"/>
  <c r="AS944" i="3"/>
  <c r="AR893" i="3"/>
  <c r="Y842" i="3"/>
  <c r="W791" i="3"/>
  <c r="B740" i="3"/>
  <c r="AS688" i="3"/>
  <c r="AR637" i="3"/>
  <c r="W986" i="3"/>
  <c r="B935" i="3"/>
  <c r="AS883" i="3"/>
  <c r="AR883" i="3" s="1"/>
  <c r="Y781" i="3"/>
  <c r="W730" i="3"/>
  <c r="B679" i="3"/>
  <c r="AS627" i="3"/>
  <c r="AR627" i="3" s="1"/>
  <c r="B970" i="3"/>
  <c r="AS918" i="3"/>
  <c r="AR918" i="3" s="1"/>
  <c r="Y816" i="3"/>
  <c r="W765" i="3"/>
  <c r="B714" i="3"/>
  <c r="AS662" i="3"/>
  <c r="AR662" i="3" s="1"/>
  <c r="Y963" i="3"/>
  <c r="W912" i="3"/>
  <c r="B861" i="3"/>
  <c r="AS809" i="3"/>
  <c r="Y707" i="3"/>
  <c r="W656" i="3"/>
  <c r="B605" i="3"/>
  <c r="B956" i="3"/>
  <c r="AS952" i="3"/>
  <c r="AR952" i="3" s="1"/>
  <c r="AS888" i="3"/>
  <c r="AR888" i="3" s="1"/>
  <c r="AS824" i="3"/>
  <c r="AR824" i="3" s="1"/>
  <c r="AS760" i="3"/>
  <c r="AS696" i="3"/>
  <c r="AR696" i="3" s="1"/>
  <c r="AS632" i="3"/>
  <c r="AR632" i="3" s="1"/>
  <c r="AR968" i="3"/>
  <c r="Y917" i="3"/>
  <c r="W866" i="3"/>
  <c r="B815" i="3"/>
  <c r="AS763" i="3"/>
  <c r="AR763" i="3" s="1"/>
  <c r="AR712" i="3"/>
  <c r="Y661" i="3"/>
  <c r="Y1000" i="3"/>
  <c r="W949" i="3"/>
  <c r="B898" i="3"/>
  <c r="AS846" i="3"/>
  <c r="AR846" i="3" s="1"/>
  <c r="AR795" i="3"/>
  <c r="Y744" i="3"/>
  <c r="W693" i="3"/>
  <c r="B642" i="3"/>
  <c r="AS993" i="3"/>
  <c r="AR993" i="3" s="1"/>
  <c r="Y891" i="3"/>
  <c r="W840" i="3"/>
  <c r="B789" i="3"/>
  <c r="AS737" i="3"/>
  <c r="AR737" i="3" s="1"/>
  <c r="Y635" i="3"/>
  <c r="B968" i="3"/>
  <c r="AS916" i="3"/>
  <c r="AR865" i="3"/>
  <c r="Y814" i="3"/>
  <c r="W763" i="3"/>
  <c r="B712" i="3"/>
  <c r="AS660" i="3"/>
  <c r="AS999" i="3"/>
  <c r="Y948" i="3"/>
  <c r="Y884" i="3"/>
  <c r="Y820" i="3"/>
  <c r="Y756" i="3"/>
  <c r="Y692" i="3"/>
  <c r="Y628" i="3"/>
  <c r="W964" i="3"/>
  <c r="B913" i="3"/>
  <c r="AS861" i="3"/>
  <c r="AR861" i="3" s="1"/>
  <c r="Y759" i="3"/>
  <c r="W708" i="3"/>
  <c r="B657" i="3"/>
  <c r="AR989" i="3"/>
  <c r="Y938" i="3"/>
  <c r="W887" i="3"/>
  <c r="B836" i="3"/>
  <c r="Y946" i="3"/>
  <c r="Y882" i="3"/>
  <c r="Y818" i="3"/>
  <c r="Y754" i="3"/>
  <c r="Y690" i="3"/>
  <c r="Y626" i="3"/>
  <c r="Y965" i="3"/>
  <c r="W914" i="3"/>
  <c r="B863" i="3"/>
  <c r="AS811" i="3"/>
  <c r="AR811" i="3" s="1"/>
  <c r="AR760" i="3"/>
  <c r="Y709" i="3"/>
  <c r="W658" i="3"/>
  <c r="W997" i="3"/>
  <c r="B946" i="3"/>
  <c r="AS894" i="3"/>
  <c r="AR843" i="3"/>
  <c r="Y792" i="3"/>
  <c r="W741" i="3"/>
  <c r="B690" i="3"/>
  <c r="AS638" i="3"/>
  <c r="Y939" i="3"/>
  <c r="W888" i="3"/>
  <c r="B837" i="3"/>
  <c r="AS785" i="3"/>
  <c r="AR785" i="3" s="1"/>
  <c r="Y683" i="3"/>
  <c r="W632" i="3"/>
  <c r="AS964" i="3"/>
  <c r="AR964" i="3" s="1"/>
  <c r="AR913" i="3"/>
  <c r="Y862" i="3"/>
  <c r="W811" i="3"/>
  <c r="B760" i="3"/>
  <c r="AS708" i="3"/>
  <c r="AR657" i="3"/>
  <c r="AR996" i="3"/>
  <c r="W945" i="3"/>
  <c r="W881" i="3"/>
  <c r="W817" i="3"/>
  <c r="W753" i="3"/>
  <c r="W689" i="3"/>
  <c r="W625" i="3"/>
  <c r="B961" i="3"/>
  <c r="W943" i="3"/>
  <c r="B940" i="3"/>
  <c r="B876" i="3"/>
  <c r="B812" i="3"/>
  <c r="B748" i="3"/>
  <c r="B684" i="3"/>
  <c r="B620" i="3"/>
  <c r="B959" i="3"/>
  <c r="AS907" i="3"/>
  <c r="AR907" i="3" s="1"/>
  <c r="AR856" i="3"/>
  <c r="Y805" i="3"/>
  <c r="W754" i="3"/>
  <c r="B703" i="3"/>
  <c r="AS651" i="3"/>
  <c r="AR651" i="3" s="1"/>
  <c r="AS990" i="3"/>
  <c r="AR990" i="3" s="1"/>
  <c r="AR939" i="3"/>
  <c r="Y888" i="3"/>
  <c r="W837" i="3"/>
  <c r="B786" i="3"/>
  <c r="AS734" i="3"/>
  <c r="AR734" i="3" s="1"/>
  <c r="AR683" i="3"/>
  <c r="Y632" i="3"/>
  <c r="W984" i="3"/>
  <c r="B933" i="3"/>
  <c r="AS881" i="3"/>
  <c r="AR881" i="3" s="1"/>
  <c r="AR830" i="3"/>
  <c r="Y779" i="3"/>
  <c r="W728" i="3"/>
  <c r="B677" i="3"/>
  <c r="AS625" i="3"/>
  <c r="AR625" i="3" s="1"/>
  <c r="Y958" i="3"/>
  <c r="W907" i="3"/>
  <c r="B856" i="3"/>
  <c r="AS804" i="3"/>
  <c r="B892" i="3"/>
  <c r="W818" i="3"/>
  <c r="AS798" i="3"/>
  <c r="AR798" i="3" s="1"/>
  <c r="W792" i="3"/>
  <c r="Y766" i="3"/>
  <c r="B878" i="3"/>
  <c r="AS749" i="3"/>
  <c r="Y954" i="3"/>
  <c r="B788" i="3"/>
  <c r="AS672" i="3"/>
  <c r="Y925" i="3"/>
  <c r="W778" i="3"/>
  <c r="B663" i="3"/>
  <c r="Y912" i="3"/>
  <c r="AR803" i="3"/>
  <c r="Y688" i="3"/>
  <c r="W960" i="3"/>
  <c r="Y851" i="3"/>
  <c r="AR742" i="3"/>
  <c r="AR614" i="3"/>
  <c r="B883" i="3"/>
  <c r="B755" i="3"/>
  <c r="B627" i="3"/>
  <c r="Y908" i="3"/>
  <c r="B806" i="3"/>
  <c r="B985" i="3"/>
  <c r="W908" i="3"/>
  <c r="Y815" i="3"/>
  <c r="AS725" i="3"/>
  <c r="W652" i="3"/>
  <c r="B614" i="3"/>
  <c r="B525" i="3"/>
  <c r="Y419" i="3"/>
  <c r="W336" i="3"/>
  <c r="Y838" i="3"/>
  <c r="Y486" i="3"/>
  <c r="W419" i="3"/>
  <c r="B336" i="3"/>
  <c r="AS268" i="3"/>
  <c r="B595" i="3"/>
  <c r="Y457" i="3"/>
  <c r="AS319" i="3"/>
  <c r="B259" i="3"/>
  <c r="Y598" i="3"/>
  <c r="Y492" i="3"/>
  <c r="W441" i="3"/>
  <c r="B390" i="3"/>
  <c r="AS338" i="3"/>
  <c r="B859" i="3"/>
  <c r="W588" i="3"/>
  <c r="B537" i="3"/>
  <c r="AS485" i="3"/>
  <c r="Y383" i="3"/>
  <c r="W332" i="3"/>
  <c r="B281" i="3"/>
  <c r="Y806" i="3"/>
  <c r="Y530" i="3"/>
  <c r="W479" i="3"/>
  <c r="B428" i="3"/>
  <c r="AS376" i="3"/>
  <c r="Y274" i="3"/>
  <c r="AS727" i="3"/>
  <c r="AS571" i="3"/>
  <c r="Y469" i="3"/>
  <c r="W418" i="3"/>
  <c r="B367" i="3"/>
  <c r="AS315" i="3"/>
  <c r="AS700" i="3"/>
  <c r="Y568" i="3"/>
  <c r="W517" i="3"/>
  <c r="B466" i="3"/>
  <c r="AS414" i="3"/>
  <c r="Y312" i="3"/>
  <c r="W261" i="3"/>
  <c r="Y673" i="3"/>
  <c r="B565" i="3"/>
  <c r="AS513" i="3"/>
  <c r="Y411" i="3"/>
  <c r="W360" i="3"/>
  <c r="B309" i="3"/>
  <c r="AS257" i="3"/>
  <c r="AS620" i="3"/>
  <c r="Y558" i="3"/>
  <c r="W507" i="3"/>
  <c r="B456" i="3"/>
  <c r="AS404" i="3"/>
  <c r="Y302" i="3"/>
  <c r="AS951" i="3"/>
  <c r="AS600" i="3"/>
  <c r="Y497" i="3"/>
  <c r="W446" i="3"/>
  <c r="B395" i="3"/>
  <c r="AS343" i="3"/>
  <c r="AR873" i="3"/>
  <c r="B590" i="3"/>
  <c r="AS538" i="3"/>
  <c r="Y436" i="3"/>
  <c r="W385" i="3"/>
  <c r="B334" i="3"/>
  <c r="AS282" i="3"/>
  <c r="W846" i="3"/>
  <c r="Y535" i="3"/>
  <c r="W484" i="3"/>
  <c r="B433" i="3"/>
  <c r="AS381" i="3"/>
  <c r="Y279" i="3"/>
  <c r="W551" i="3"/>
  <c r="W879" i="3"/>
  <c r="AR808" i="3"/>
  <c r="W789" i="3"/>
  <c r="AR782" i="3"/>
  <c r="AS756" i="3"/>
  <c r="AS874" i="3"/>
  <c r="AR874" i="3" s="1"/>
  <c r="W916" i="3"/>
  <c r="W724" i="3"/>
  <c r="AR941" i="3"/>
  <c r="AS784" i="3"/>
  <c r="AR784" i="3" s="1"/>
  <c r="W647" i="3"/>
  <c r="W922" i="3"/>
  <c r="B775" i="3"/>
  <c r="Y637" i="3"/>
  <c r="W909" i="3"/>
  <c r="Y800" i="3"/>
  <c r="Y672" i="3"/>
  <c r="B957" i="3"/>
  <c r="W848" i="3"/>
  <c r="B733" i="3"/>
  <c r="AS601" i="3"/>
  <c r="AS879" i="3"/>
  <c r="AR879" i="3" s="1"/>
  <c r="AS751" i="3"/>
  <c r="AS623" i="3"/>
  <c r="AR623" i="3" s="1"/>
  <c r="W905" i="3"/>
  <c r="AS802" i="3"/>
  <c r="AR802" i="3" s="1"/>
  <c r="Y700" i="3"/>
  <c r="AS981" i="3"/>
  <c r="W892" i="3"/>
  <c r="B809" i="3"/>
  <c r="AR722" i="3"/>
  <c r="W636" i="3"/>
  <c r="Y603" i="3"/>
  <c r="AS505" i="3"/>
  <c r="AR505" i="3" s="1"/>
  <c r="W416" i="3"/>
  <c r="B333" i="3"/>
  <c r="AS812" i="3"/>
  <c r="Y566" i="3"/>
  <c r="W483" i="3"/>
  <c r="B416" i="3"/>
  <c r="AS332" i="3"/>
  <c r="AR265" i="3"/>
  <c r="Y521" i="3"/>
  <c r="Y377" i="3"/>
  <c r="AS255" i="3"/>
  <c r="AS594" i="3"/>
  <c r="Y540" i="3"/>
  <c r="W489" i="3"/>
  <c r="B438" i="3"/>
  <c r="AS386" i="3"/>
  <c r="AR335" i="3"/>
  <c r="Y284" i="3"/>
  <c r="Y833" i="3"/>
  <c r="B585" i="3"/>
  <c r="AS533" i="3"/>
  <c r="Y431" i="3"/>
  <c r="W380" i="3"/>
  <c r="B329" i="3"/>
  <c r="AS277" i="3"/>
  <c r="AS780" i="3"/>
  <c r="Y578" i="3"/>
  <c r="W527" i="3"/>
  <c r="B476" i="3"/>
  <c r="AS424" i="3"/>
  <c r="Y322" i="3"/>
  <c r="W271" i="3"/>
  <c r="W702" i="3"/>
  <c r="Y517" i="3"/>
  <c r="W466" i="3"/>
  <c r="B415" i="3"/>
  <c r="AS363" i="3"/>
  <c r="AR363" i="3" s="1"/>
  <c r="Y261" i="3"/>
  <c r="W675" i="3"/>
  <c r="W565" i="3"/>
  <c r="B514" i="3"/>
  <c r="AS462" i="3"/>
  <c r="AR462" i="3" s="1"/>
  <c r="Y360" i="3"/>
  <c r="W309" i="3"/>
  <c r="B258" i="3"/>
  <c r="AS647" i="3"/>
  <c r="AS561" i="3"/>
  <c r="Y459" i="3"/>
  <c r="W408" i="3"/>
  <c r="B357" i="3"/>
  <c r="AS305" i="3"/>
  <c r="W610" i="3"/>
  <c r="W555" i="3"/>
  <c r="B504" i="3"/>
  <c r="AS452" i="3"/>
  <c r="Y350" i="3"/>
  <c r="W299" i="3"/>
  <c r="W926" i="3"/>
  <c r="AS596" i="3"/>
  <c r="Y545" i="3"/>
  <c r="W494" i="3"/>
  <c r="B443" i="3"/>
  <c r="AS391" i="3"/>
  <c r="Y289" i="3"/>
  <c r="B848" i="3"/>
  <c r="AS586" i="3"/>
  <c r="AR586" i="3" s="1"/>
  <c r="Y484" i="3"/>
  <c r="W433" i="3"/>
  <c r="B382" i="3"/>
  <c r="AS330" i="3"/>
  <c r="AR330" i="3" s="1"/>
  <c r="AR820" i="3"/>
  <c r="Y583" i="3"/>
  <c r="W532" i="3"/>
  <c r="B481" i="3"/>
  <c r="AS429" i="3"/>
  <c r="Y327" i="3"/>
  <c r="W276" i="3"/>
  <c r="B828" i="3"/>
  <c r="B767" i="3"/>
  <c r="AR747" i="3"/>
  <c r="B741" i="3"/>
  <c r="AR753" i="3"/>
  <c r="AS826" i="3"/>
  <c r="AR826" i="3" s="1"/>
  <c r="AS909" i="3"/>
  <c r="AR909" i="3" s="1"/>
  <c r="Y711" i="3"/>
  <c r="W935" i="3"/>
  <c r="AR781" i="3"/>
  <c r="Y634" i="3"/>
  <c r="B919" i="3"/>
  <c r="AS771" i="3"/>
  <c r="AR771" i="3" s="1"/>
  <c r="B906" i="3"/>
  <c r="AS790" i="3"/>
  <c r="AR790" i="3" s="1"/>
  <c r="AR659" i="3"/>
  <c r="AS953" i="3"/>
  <c r="B845" i="3"/>
  <c r="B717" i="3"/>
  <c r="Y998" i="3"/>
  <c r="Y873" i="3"/>
  <c r="Y745" i="3"/>
  <c r="Y617" i="3"/>
  <c r="B902" i="3"/>
  <c r="W697" i="3"/>
  <c r="AR978" i="3"/>
  <c r="AS805" i="3"/>
  <c r="Y719" i="3"/>
  <c r="AS629" i="3"/>
  <c r="Y599" i="3"/>
  <c r="W496" i="3"/>
  <c r="B413" i="3"/>
  <c r="AS313" i="3"/>
  <c r="W787" i="3"/>
  <c r="W563" i="3"/>
  <c r="B480" i="3"/>
  <c r="AS412" i="3"/>
  <c r="AR329" i="3"/>
  <c r="Y262" i="3"/>
  <c r="Y585" i="3"/>
  <c r="W518" i="3"/>
  <c r="Y441" i="3"/>
  <c r="W374" i="3"/>
  <c r="Y313" i="3"/>
  <c r="AR252" i="3"/>
  <c r="AR591" i="3"/>
  <c r="W537" i="3"/>
  <c r="B486" i="3"/>
  <c r="AS434" i="3"/>
  <c r="AR434" i="3" s="1"/>
  <c r="Y332" i="3"/>
  <c r="W281" i="3"/>
  <c r="AS807" i="3"/>
  <c r="AS581" i="3"/>
  <c r="AR581" i="3" s="1"/>
  <c r="Y479" i="3"/>
  <c r="W428" i="3"/>
  <c r="B377" i="3"/>
  <c r="AS325" i="3"/>
  <c r="AR325" i="3" s="1"/>
  <c r="W755" i="3"/>
  <c r="W575" i="3"/>
  <c r="B524" i="3"/>
  <c r="AS472" i="3"/>
  <c r="Y370" i="3"/>
  <c r="W319" i="3"/>
  <c r="B268" i="3"/>
  <c r="AR676" i="3"/>
  <c r="Y565" i="3"/>
  <c r="W514" i="3"/>
  <c r="B463" i="3"/>
  <c r="AS411" i="3"/>
  <c r="AR411" i="3" s="1"/>
  <c r="Y309" i="3"/>
  <c r="W258" i="3"/>
  <c r="B562" i="3"/>
  <c r="AS510" i="3"/>
  <c r="AR510" i="3" s="1"/>
  <c r="Y408" i="3"/>
  <c r="W357" i="3"/>
  <c r="B306" i="3"/>
  <c r="AS254" i="3"/>
  <c r="AR254" i="3" s="1"/>
  <c r="W622" i="3"/>
  <c r="Y507" i="3"/>
  <c r="W456" i="3"/>
  <c r="B405" i="3"/>
  <c r="AS353" i="3"/>
  <c r="AR353" i="3" s="1"/>
  <c r="W979" i="3"/>
  <c r="Y605" i="3"/>
  <c r="B552" i="3"/>
  <c r="AS500" i="3"/>
  <c r="Y398" i="3"/>
  <c r="W347" i="3"/>
  <c r="B296" i="3"/>
  <c r="AR900" i="3"/>
  <c r="Y593" i="3"/>
  <c r="W542" i="3"/>
  <c r="B491" i="3"/>
  <c r="AS439" i="3"/>
  <c r="Y337" i="3"/>
  <c r="W286" i="3"/>
  <c r="Y822" i="3"/>
  <c r="Y532" i="3"/>
  <c r="W481" i="3"/>
  <c r="B430" i="3"/>
  <c r="AS378" i="3"/>
  <c r="AR378" i="3" s="1"/>
  <c r="Y276" i="3"/>
  <c r="B795" i="3"/>
  <c r="W580" i="3"/>
  <c r="B529" i="3"/>
  <c r="AS477" i="3"/>
  <c r="Y375" i="3"/>
  <c r="W324" i="3"/>
  <c r="B273" i="3"/>
  <c r="AS518" i="3"/>
  <c r="W815" i="3"/>
  <c r="Y757" i="3"/>
  <c r="B738" i="3"/>
  <c r="Y731" i="3"/>
  <c r="W715" i="3"/>
  <c r="B814" i="3"/>
  <c r="AR906" i="3"/>
  <c r="B705" i="3"/>
  <c r="B932" i="3"/>
  <c r="Y778" i="3"/>
  <c r="W631" i="3"/>
  <c r="Y893" i="3"/>
  <c r="AR768" i="3"/>
  <c r="Y621" i="3"/>
  <c r="AS902" i="3"/>
  <c r="AS774" i="3"/>
  <c r="AR774" i="3" s="1"/>
  <c r="Y656" i="3"/>
  <c r="AR950" i="3"/>
  <c r="Y835" i="3"/>
  <c r="W704" i="3"/>
  <c r="W998" i="3"/>
  <c r="W870" i="3"/>
  <c r="W742" i="3"/>
  <c r="W614" i="3"/>
  <c r="AS898" i="3"/>
  <c r="AR898" i="3" s="1"/>
  <c r="Y796" i="3"/>
  <c r="B694" i="3"/>
  <c r="Y975" i="3"/>
  <c r="Y879" i="3"/>
  <c r="AS789" i="3"/>
  <c r="W716" i="3"/>
  <c r="Y595" i="3"/>
  <c r="B493" i="3"/>
  <c r="AS409" i="3"/>
  <c r="W304" i="3"/>
  <c r="AR761" i="3"/>
  <c r="W547" i="3"/>
  <c r="AS476" i="3"/>
  <c r="AR409" i="3"/>
  <c r="Y326" i="3"/>
  <c r="W259" i="3"/>
  <c r="W582" i="3"/>
  <c r="B515" i="3"/>
  <c r="B435" i="3"/>
  <c r="B371" i="3"/>
  <c r="W310" i="3"/>
  <c r="W585" i="3"/>
  <c r="B534" i="3"/>
  <c r="AS482" i="3"/>
  <c r="AR482" i="3" s="1"/>
  <c r="Y380" i="3"/>
  <c r="W329" i="3"/>
  <c r="B278" i="3"/>
  <c r="W782" i="3"/>
  <c r="Y527" i="3"/>
  <c r="W476" i="3"/>
  <c r="B425" i="3"/>
  <c r="AS373" i="3"/>
  <c r="AR373" i="3" s="1"/>
  <c r="Y271" i="3"/>
  <c r="AR729" i="3"/>
  <c r="B572" i="3"/>
  <c r="AS520" i="3"/>
  <c r="AR520" i="3" s="1"/>
  <c r="Y418" i="3"/>
  <c r="W367" i="3"/>
  <c r="B316" i="3"/>
  <c r="AS264" i="3"/>
  <c r="AR264" i="3" s="1"/>
  <c r="B651" i="3"/>
  <c r="W562" i="3"/>
  <c r="B511" i="3"/>
  <c r="AS459" i="3"/>
  <c r="AR459" i="3" s="1"/>
  <c r="Y357" i="3"/>
  <c r="W306" i="3"/>
  <c r="B255" i="3"/>
  <c r="B624" i="3"/>
  <c r="AS558" i="3"/>
  <c r="AR558" i="3" s="1"/>
  <c r="Y456" i="3"/>
  <c r="W405" i="3"/>
  <c r="B354" i="3"/>
  <c r="AS302" i="3"/>
  <c r="AR302" i="3" s="1"/>
  <c r="Y555" i="3"/>
  <c r="W504" i="3"/>
  <c r="B453" i="3"/>
  <c r="AS401" i="3"/>
  <c r="AR401" i="3" s="1"/>
  <c r="Y299" i="3"/>
  <c r="AR953" i="3"/>
  <c r="B601" i="3"/>
  <c r="AS548" i="3"/>
  <c r="AR548" i="3" s="1"/>
  <c r="Y446" i="3"/>
  <c r="W395" i="3"/>
  <c r="B344" i="3"/>
  <c r="AS292" i="3"/>
  <c r="AR292" i="3" s="1"/>
  <c r="B875" i="3"/>
  <c r="W590" i="3"/>
  <c r="B539" i="3"/>
  <c r="AS487" i="3"/>
  <c r="AR487" i="3" s="1"/>
  <c r="Y385" i="3"/>
  <c r="W334" i="3"/>
  <c r="B283" i="3"/>
  <c r="AS796" i="3"/>
  <c r="Y580" i="3"/>
  <c r="W529" i="3"/>
  <c r="B478" i="3"/>
  <c r="AS426" i="3"/>
  <c r="AR426" i="3" s="1"/>
  <c r="Y324" i="3"/>
  <c r="W273" i="3"/>
  <c r="Y769" i="3"/>
  <c r="B577" i="3"/>
  <c r="AS525" i="3"/>
  <c r="Y423" i="3"/>
  <c r="B764" i="3"/>
  <c r="AS715" i="3"/>
  <c r="AR715" i="3" s="1"/>
  <c r="Y696" i="3"/>
  <c r="AS689" i="3"/>
  <c r="AR689" i="3" s="1"/>
  <c r="AR705" i="3"/>
  <c r="AS810" i="3"/>
  <c r="AR810" i="3" s="1"/>
  <c r="Y903" i="3"/>
  <c r="AS701" i="3"/>
  <c r="AR701" i="3" s="1"/>
  <c r="AS928" i="3"/>
  <c r="W775" i="3"/>
  <c r="B628" i="3"/>
  <c r="Y765" i="3"/>
  <c r="W618" i="3"/>
  <c r="W893" i="3"/>
  <c r="B762" i="3"/>
  <c r="W653" i="3"/>
  <c r="Y947" i="3"/>
  <c r="Y819" i="3"/>
  <c r="B701" i="3"/>
  <c r="B995" i="3"/>
  <c r="B867" i="3"/>
  <c r="B739" i="3"/>
  <c r="B998" i="3"/>
  <c r="W793" i="3"/>
  <c r="AS690" i="3"/>
  <c r="AR690" i="3" s="1"/>
  <c r="W972" i="3"/>
  <c r="W876" i="3"/>
  <c r="Y783" i="3"/>
  <c r="B713" i="3"/>
  <c r="Y623" i="3"/>
  <c r="W592" i="3"/>
  <c r="AS489" i="3"/>
  <c r="Y403" i="3"/>
  <c r="B301" i="3"/>
  <c r="B736" i="3"/>
  <c r="AS540" i="3"/>
  <c r="AR540" i="3" s="1"/>
  <c r="AR393" i="3"/>
  <c r="W323" i="3"/>
  <c r="B256" i="3"/>
  <c r="B579" i="3"/>
  <c r="AS511" i="3"/>
  <c r="AS431" i="3"/>
  <c r="AR431" i="3" s="1"/>
  <c r="AS367" i="3"/>
  <c r="B307" i="3"/>
  <c r="B912" i="3"/>
  <c r="B582" i="3"/>
  <c r="AS530" i="3"/>
  <c r="AR530" i="3" s="1"/>
  <c r="Y428" i="3"/>
  <c r="W377" i="3"/>
  <c r="B326" i="3"/>
  <c r="AS274" i="3"/>
  <c r="AR274" i="3" s="1"/>
  <c r="AR756" i="3"/>
  <c r="Y575" i="3"/>
  <c r="W524" i="3"/>
  <c r="B473" i="3"/>
  <c r="AS421" i="3"/>
  <c r="AR421" i="3" s="1"/>
  <c r="Y319" i="3"/>
  <c r="W268" i="3"/>
  <c r="B704" i="3"/>
  <c r="AS568" i="3"/>
  <c r="AR568" i="3" s="1"/>
  <c r="Y466" i="3"/>
  <c r="W415" i="3"/>
  <c r="B364" i="3"/>
  <c r="AS312" i="3"/>
  <c r="AR312" i="3" s="1"/>
  <c r="Y625" i="3"/>
  <c r="B559" i="3"/>
  <c r="AS507" i="3"/>
  <c r="AR507" i="3" s="1"/>
  <c r="Y405" i="3"/>
  <c r="W354" i="3"/>
  <c r="B303" i="3"/>
  <c r="AS251" i="3"/>
  <c r="AR251" i="3" s="1"/>
  <c r="AS610" i="3"/>
  <c r="AR610" i="3" s="1"/>
  <c r="Y504" i="3"/>
  <c r="W453" i="3"/>
  <c r="B402" i="3"/>
  <c r="AS350" i="3"/>
  <c r="AR350" i="3" s="1"/>
  <c r="AR980" i="3"/>
  <c r="AS605" i="3"/>
  <c r="W552" i="3"/>
  <c r="B501" i="3"/>
  <c r="AS449" i="3"/>
  <c r="AR449" i="3" s="1"/>
  <c r="Y347" i="3"/>
  <c r="W296" i="3"/>
  <c r="B928" i="3"/>
  <c r="B597" i="3"/>
  <c r="Y494" i="3"/>
  <c r="W443" i="3"/>
  <c r="B392" i="3"/>
  <c r="AS340" i="3"/>
  <c r="AR340" i="3" s="1"/>
  <c r="Y849" i="3"/>
  <c r="B587" i="3"/>
  <c r="AS535" i="3"/>
  <c r="AR535" i="3" s="1"/>
  <c r="Y433" i="3"/>
  <c r="W382" i="3"/>
  <c r="B331" i="3"/>
  <c r="AS279" i="3"/>
  <c r="AR279" i="3" s="1"/>
  <c r="W771" i="3"/>
  <c r="W577" i="3"/>
  <c r="B526" i="3"/>
  <c r="AS474" i="3"/>
  <c r="AR474" i="3" s="1"/>
  <c r="W751" i="3"/>
  <c r="W706" i="3"/>
  <c r="AS686" i="3"/>
  <c r="AR686" i="3" s="1"/>
  <c r="W680" i="3"/>
  <c r="Y702" i="3"/>
  <c r="AS762" i="3"/>
  <c r="B865" i="3"/>
  <c r="W903" i="3"/>
  <c r="AR749" i="3"/>
  <c r="AS624" i="3"/>
  <c r="AR624" i="3" s="1"/>
  <c r="Y877" i="3"/>
  <c r="AS739" i="3"/>
  <c r="B615" i="3"/>
  <c r="W877" i="3"/>
  <c r="AS758" i="3"/>
  <c r="AR758" i="3" s="1"/>
  <c r="B650" i="3"/>
  <c r="AS937" i="3"/>
  <c r="AR937" i="3" s="1"/>
  <c r="AS697" i="3"/>
  <c r="AS991" i="3"/>
  <c r="AR991" i="3" s="1"/>
  <c r="AS863" i="3"/>
  <c r="AR863" i="3" s="1"/>
  <c r="AS735" i="3"/>
  <c r="AR735" i="3" s="1"/>
  <c r="AS994" i="3"/>
  <c r="Y892" i="3"/>
  <c r="B790" i="3"/>
  <c r="B969" i="3"/>
  <c r="B873" i="3"/>
  <c r="W780" i="3"/>
  <c r="AR706" i="3"/>
  <c r="W620" i="3"/>
  <c r="B589" i="3"/>
  <c r="Y483" i="3"/>
  <c r="W400" i="3"/>
  <c r="AS297" i="3"/>
  <c r="AR297" i="3" s="1"/>
  <c r="Y710" i="3"/>
  <c r="Y470" i="3"/>
  <c r="W387" i="3"/>
  <c r="B320" i="3"/>
  <c r="Y913" i="3"/>
  <c r="AS575" i="3"/>
  <c r="AR508" i="3"/>
  <c r="AS303" i="3"/>
  <c r="Y886" i="3"/>
  <c r="AS578" i="3"/>
  <c r="AR578" i="3" s="1"/>
  <c r="Y476" i="3"/>
  <c r="W425" i="3"/>
  <c r="B374" i="3"/>
  <c r="AS322" i="3"/>
  <c r="AR322" i="3" s="1"/>
  <c r="B731" i="3"/>
  <c r="W572" i="3"/>
  <c r="B521" i="3"/>
  <c r="AS469" i="3"/>
  <c r="AR469" i="3" s="1"/>
  <c r="Y367" i="3"/>
  <c r="W316" i="3"/>
  <c r="B265" i="3"/>
  <c r="Y678" i="3"/>
  <c r="Y514" i="3"/>
  <c r="W463" i="3"/>
  <c r="B412" i="3"/>
  <c r="AS360" i="3"/>
  <c r="AR360" i="3" s="1"/>
  <c r="Y258" i="3"/>
  <c r="B611" i="3"/>
  <c r="AS555" i="3"/>
  <c r="AR555" i="3" s="1"/>
  <c r="Y453" i="3"/>
  <c r="W402" i="3"/>
  <c r="B351" i="3"/>
  <c r="AS299" i="3"/>
  <c r="AR299" i="3" s="1"/>
  <c r="Y982" i="3"/>
  <c r="B606" i="3"/>
  <c r="Y552" i="3"/>
  <c r="W501" i="3"/>
  <c r="B450" i="3"/>
  <c r="AS398" i="3"/>
  <c r="AR398" i="3" s="1"/>
  <c r="Y296" i="3"/>
  <c r="B955" i="3"/>
  <c r="W601" i="3"/>
  <c r="B549" i="3"/>
  <c r="AS497" i="3"/>
  <c r="AR497" i="3" s="1"/>
  <c r="Y395" i="3"/>
  <c r="W344" i="3"/>
  <c r="B293" i="3"/>
  <c r="Y902" i="3"/>
  <c r="Y542" i="3"/>
  <c r="W491" i="3"/>
  <c r="B440" i="3"/>
  <c r="AS388" i="3"/>
  <c r="AR388" i="3" s="1"/>
  <c r="Y286" i="3"/>
  <c r="AS823" i="3"/>
  <c r="AS583" i="3"/>
  <c r="AR583" i="3" s="1"/>
  <c r="Y481" i="3"/>
  <c r="W430" i="3"/>
  <c r="B379" i="3"/>
  <c r="AS327" i="3"/>
  <c r="AR327" i="3" s="1"/>
  <c r="B574" i="3"/>
  <c r="AS522" i="3"/>
  <c r="Y420" i="3"/>
  <c r="W369" i="3"/>
  <c r="B318" i="3"/>
  <c r="AS266" i="3"/>
  <c r="W718" i="3"/>
  <c r="Y519" i="3"/>
  <c r="W468" i="3"/>
  <c r="B417" i="3"/>
  <c r="AS365" i="3"/>
  <c r="Y263" i="3"/>
  <c r="AS448" i="3"/>
  <c r="B700" i="3"/>
  <c r="AR664" i="3"/>
  <c r="W645" i="3"/>
  <c r="AR638" i="3"/>
  <c r="B664" i="3"/>
  <c r="B750" i="3"/>
  <c r="AR858" i="3"/>
  <c r="B673" i="3"/>
  <c r="Y890" i="3"/>
  <c r="AS736" i="3"/>
  <c r="AR736" i="3" s="1"/>
  <c r="W874" i="3"/>
  <c r="B727" i="3"/>
  <c r="AS611" i="3"/>
  <c r="AR611" i="3" s="1"/>
  <c r="Y864" i="3"/>
  <c r="AR755" i="3"/>
  <c r="AS646" i="3"/>
  <c r="AS921" i="3"/>
  <c r="Y803" i="3"/>
  <c r="AR694" i="3"/>
  <c r="B979" i="3"/>
  <c r="B851" i="3"/>
  <c r="B723" i="3"/>
  <c r="W985" i="3"/>
  <c r="AS882" i="3"/>
  <c r="AR882" i="3" s="1"/>
  <c r="Y780" i="3"/>
  <c r="B678" i="3"/>
  <c r="AR962" i="3"/>
  <c r="AS869" i="3"/>
  <c r="B777" i="3"/>
  <c r="Y703" i="3"/>
  <c r="B617" i="3"/>
  <c r="AS569" i="3"/>
  <c r="AR569" i="3" s="1"/>
  <c r="W480" i="3"/>
  <c r="B397" i="3"/>
  <c r="Y291" i="3"/>
  <c r="AS684" i="3"/>
  <c r="Y534" i="3"/>
  <c r="W467" i="3"/>
  <c r="B384" i="3"/>
  <c r="AS316" i="3"/>
  <c r="AR316" i="3" s="1"/>
  <c r="W862" i="3"/>
  <c r="AR492" i="3"/>
  <c r="Y425" i="3"/>
  <c r="Y361" i="3"/>
  <c r="W294" i="3"/>
  <c r="W835" i="3"/>
  <c r="AR575" i="3"/>
  <c r="Y524" i="3"/>
  <c r="W473" i="3"/>
  <c r="B422" i="3"/>
  <c r="AS370" i="3"/>
  <c r="AR370" i="3" s="1"/>
  <c r="AR319" i="3"/>
  <c r="Y268" i="3"/>
  <c r="Y705" i="3"/>
  <c r="B569" i="3"/>
  <c r="AS517" i="3"/>
  <c r="AR517" i="3" s="1"/>
  <c r="Y415" i="3"/>
  <c r="W364" i="3"/>
  <c r="B313" i="3"/>
  <c r="AS261" i="3"/>
  <c r="AR261" i="3" s="1"/>
  <c r="AS652" i="3"/>
  <c r="Y562" i="3"/>
  <c r="W511" i="3"/>
  <c r="B460" i="3"/>
  <c r="AS408" i="3"/>
  <c r="AR408" i="3" s="1"/>
  <c r="Y306" i="3"/>
  <c r="AS983" i="3"/>
  <c r="W606" i="3"/>
  <c r="Y501" i="3"/>
  <c r="W450" i="3"/>
  <c r="B399" i="3"/>
  <c r="AS347" i="3"/>
  <c r="AR347" i="3" s="1"/>
  <c r="AS956" i="3"/>
  <c r="Y601" i="3"/>
  <c r="W549" i="3"/>
  <c r="B498" i="3"/>
  <c r="AS446" i="3"/>
  <c r="AR446" i="3" s="1"/>
  <c r="Y344" i="3"/>
  <c r="W293" i="3"/>
  <c r="Y929" i="3"/>
  <c r="Y597" i="3"/>
  <c r="AS545" i="3"/>
  <c r="AR545" i="3" s="1"/>
  <c r="Y443" i="3"/>
  <c r="W392" i="3"/>
  <c r="B341" i="3"/>
  <c r="AS289" i="3"/>
  <c r="AR289" i="3" s="1"/>
  <c r="AS876" i="3"/>
  <c r="Y590" i="3"/>
  <c r="W539" i="3"/>
  <c r="B488" i="3"/>
  <c r="AS436" i="3"/>
  <c r="AR436" i="3" s="1"/>
  <c r="Y334" i="3"/>
  <c r="W283" i="3"/>
  <c r="W798" i="3"/>
  <c r="Y529" i="3"/>
  <c r="W478" i="3"/>
  <c r="B427" i="3"/>
  <c r="AS375" i="3"/>
  <c r="AR375" i="3" s="1"/>
  <c r="Y273" i="3"/>
  <c r="B720" i="3"/>
  <c r="AS570" i="3"/>
  <c r="AR570" i="3" s="1"/>
  <c r="Y468" i="3"/>
  <c r="W417" i="3"/>
  <c r="B366" i="3"/>
  <c r="AS314" i="3"/>
  <c r="AR314" i="3" s="1"/>
  <c r="AR692" i="3"/>
  <c r="Y567" i="3"/>
  <c r="W516" i="3"/>
  <c r="B465" i="3"/>
  <c r="AS413" i="3"/>
  <c r="W687" i="3"/>
  <c r="B655" i="3"/>
  <c r="AR635" i="3"/>
  <c r="B629" i="3"/>
  <c r="Y654" i="3"/>
  <c r="AS746" i="3"/>
  <c r="AR746" i="3" s="1"/>
  <c r="Y855" i="3"/>
  <c r="W660" i="3"/>
  <c r="B884" i="3"/>
  <c r="AR733" i="3"/>
  <c r="AS995" i="3"/>
  <c r="AR995" i="3" s="1"/>
  <c r="B871" i="3"/>
  <c r="AS723" i="3"/>
  <c r="W861" i="3"/>
  <c r="Y752" i="3"/>
  <c r="W637" i="3"/>
  <c r="B909" i="3"/>
  <c r="W800" i="3"/>
  <c r="Y691" i="3"/>
  <c r="AS959" i="3"/>
  <c r="AS831" i="3"/>
  <c r="AS703" i="3"/>
  <c r="AR703" i="3" s="1"/>
  <c r="W969" i="3"/>
  <c r="AS866" i="3"/>
  <c r="Y764" i="3"/>
  <c r="B662" i="3"/>
  <c r="Y959" i="3"/>
  <c r="AR866" i="3"/>
  <c r="AS773" i="3"/>
  <c r="Y687" i="3"/>
  <c r="W995" i="3"/>
  <c r="W560" i="3"/>
  <c r="B477" i="3"/>
  <c r="AS377" i="3"/>
  <c r="W288" i="3"/>
  <c r="W659" i="3"/>
  <c r="W531" i="3"/>
  <c r="B464" i="3"/>
  <c r="AS380" i="3"/>
  <c r="AR380" i="3" s="1"/>
  <c r="AR313" i="3"/>
  <c r="AR836" i="3"/>
  <c r="Y569" i="3"/>
  <c r="W486" i="3"/>
  <c r="W422" i="3"/>
  <c r="W358" i="3"/>
  <c r="B291" i="3"/>
  <c r="AR809" i="3"/>
  <c r="Y572" i="3"/>
  <c r="W521" i="3"/>
  <c r="B470" i="3"/>
  <c r="AS418" i="3"/>
  <c r="AR418" i="3" s="1"/>
  <c r="AR367" i="3"/>
  <c r="Y316" i="3"/>
  <c r="W265" i="3"/>
  <c r="AS679" i="3"/>
  <c r="AS565" i="3"/>
  <c r="AR565" i="3" s="1"/>
  <c r="Y463" i="3"/>
  <c r="W412" i="3"/>
  <c r="B361" i="3"/>
  <c r="AS309" i="3"/>
  <c r="AR309" i="3" s="1"/>
  <c r="W627" i="3"/>
  <c r="W559" i="3"/>
  <c r="B508" i="3"/>
  <c r="AS456" i="3"/>
  <c r="AR456" i="3" s="1"/>
  <c r="Y354" i="3"/>
  <c r="W303" i="3"/>
  <c r="W958" i="3"/>
  <c r="AR601" i="3"/>
  <c r="Y549" i="3"/>
  <c r="W498" i="3"/>
  <c r="B447" i="3"/>
  <c r="AS395" i="3"/>
  <c r="AR395" i="3" s="1"/>
  <c r="Y293" i="3"/>
  <c r="W931" i="3"/>
  <c r="B546" i="3"/>
  <c r="AS494" i="3"/>
  <c r="AR494" i="3" s="1"/>
  <c r="Y392" i="3"/>
  <c r="W341" i="3"/>
  <c r="B290" i="3"/>
  <c r="AS903" i="3"/>
  <c r="AS593" i="3"/>
  <c r="AR593" i="3" s="1"/>
  <c r="Y491" i="3"/>
  <c r="W440" i="3"/>
  <c r="B389" i="3"/>
  <c r="AS337" i="3"/>
  <c r="AR337" i="3" s="1"/>
  <c r="W851" i="3"/>
  <c r="W587" i="3"/>
  <c r="B536" i="3"/>
  <c r="AS484" i="3"/>
  <c r="AR484" i="3" s="1"/>
  <c r="Y382" i="3"/>
  <c r="W331" i="3"/>
  <c r="B280" i="3"/>
  <c r="AR772" i="3"/>
  <c r="Y577" i="3"/>
  <c r="W526" i="3"/>
  <c r="B475" i="3"/>
  <c r="AS423" i="3"/>
  <c r="AR423" i="3" s="1"/>
  <c r="Y321" i="3"/>
  <c r="W270" i="3"/>
  <c r="Y694" i="3"/>
  <c r="Y516" i="3"/>
  <c r="W465" i="3"/>
  <c r="B414" i="3"/>
  <c r="AS362" i="3"/>
  <c r="Y260" i="3"/>
  <c r="B667" i="3"/>
  <c r="W564" i="3"/>
  <c r="B513" i="3"/>
  <c r="AS461" i="3"/>
  <c r="Y359" i="3"/>
  <c r="W308" i="3"/>
  <c r="B257" i="3"/>
  <c r="B636" i="3"/>
  <c r="Y613" i="3"/>
  <c r="B997" i="3"/>
  <c r="W971" i="3"/>
  <c r="W651" i="3"/>
  <c r="AS698" i="3"/>
  <c r="AR698" i="3" s="1"/>
  <c r="W852" i="3"/>
  <c r="AS653" i="3"/>
  <c r="AR653" i="3" s="1"/>
  <c r="AS880" i="3"/>
  <c r="AR880" i="3" s="1"/>
  <c r="Y730" i="3"/>
  <c r="B983" i="3"/>
  <c r="AS867" i="3"/>
  <c r="AR867" i="3" s="1"/>
  <c r="AR720" i="3"/>
  <c r="AS966" i="3"/>
  <c r="AR966" i="3" s="1"/>
  <c r="B858" i="3"/>
  <c r="W749" i="3"/>
  <c r="W621" i="3"/>
  <c r="AS905" i="3"/>
  <c r="B797" i="3"/>
  <c r="AS681" i="3"/>
  <c r="B947" i="3"/>
  <c r="B819" i="3"/>
  <c r="B691" i="3"/>
  <c r="AR959" i="3"/>
  <c r="W857" i="3"/>
  <c r="AS754" i="3"/>
  <c r="Y652" i="3"/>
  <c r="Y943" i="3"/>
  <c r="W860" i="3"/>
  <c r="AR770" i="3"/>
  <c r="B681" i="3"/>
  <c r="AS967" i="3"/>
  <c r="B557" i="3"/>
  <c r="AS473" i="3"/>
  <c r="AR473" i="3" s="1"/>
  <c r="W368" i="3"/>
  <c r="B285" i="3"/>
  <c r="B599" i="3"/>
  <c r="B528" i="3"/>
  <c r="AS460" i="3"/>
  <c r="AR377" i="3"/>
  <c r="Y310" i="3"/>
  <c r="B811" i="3"/>
  <c r="W566" i="3"/>
  <c r="B483" i="3"/>
  <c r="B419" i="3"/>
  <c r="B355" i="3"/>
  <c r="AS287" i="3"/>
  <c r="AR287" i="3" s="1"/>
  <c r="B784" i="3"/>
  <c r="W569" i="3"/>
  <c r="B518" i="3"/>
  <c r="AS466" i="3"/>
  <c r="AR466" i="3" s="1"/>
  <c r="Y364" i="3"/>
  <c r="W313" i="3"/>
  <c r="B262" i="3"/>
  <c r="W654" i="3"/>
  <c r="Y511" i="3"/>
  <c r="W460" i="3"/>
  <c r="B409" i="3"/>
  <c r="AS357" i="3"/>
  <c r="AR357" i="3" s="1"/>
  <c r="Y255" i="3"/>
  <c r="W611" i="3"/>
  <c r="B556" i="3"/>
  <c r="AS504" i="3"/>
  <c r="AR504" i="3" s="1"/>
  <c r="Y402" i="3"/>
  <c r="W351" i="3"/>
  <c r="B300" i="3"/>
  <c r="AR932" i="3"/>
  <c r="AS597" i="3"/>
  <c r="AR597" i="3" s="1"/>
  <c r="W546" i="3"/>
  <c r="B495" i="3"/>
  <c r="AS443" i="3"/>
  <c r="AR443" i="3" s="1"/>
  <c r="Y341" i="3"/>
  <c r="W290" i="3"/>
  <c r="AR905" i="3"/>
  <c r="B594" i="3"/>
  <c r="AS542" i="3"/>
  <c r="AR542" i="3" s="1"/>
  <c r="Y440" i="3"/>
  <c r="W389" i="3"/>
  <c r="B338" i="3"/>
  <c r="AS286" i="3"/>
  <c r="AR286" i="3" s="1"/>
  <c r="W878" i="3"/>
  <c r="Y539" i="3"/>
  <c r="W488" i="3"/>
  <c r="B437" i="3"/>
  <c r="AS385" i="3"/>
  <c r="AR385" i="3" s="1"/>
  <c r="Y283" i="3"/>
  <c r="AR825" i="3"/>
  <c r="B584" i="3"/>
  <c r="AS532" i="3"/>
  <c r="AR532" i="3" s="1"/>
  <c r="Y430" i="3"/>
  <c r="W379" i="3"/>
  <c r="B328" i="3"/>
  <c r="AS276" i="3"/>
  <c r="AR276" i="3" s="1"/>
  <c r="B747" i="3"/>
  <c r="W574" i="3"/>
  <c r="B523" i="3"/>
  <c r="AS471" i="3"/>
  <c r="AR471" i="3" s="1"/>
  <c r="Y369" i="3"/>
  <c r="W318" i="3"/>
  <c r="B267" i="3"/>
  <c r="AS668" i="3"/>
  <c r="Y564" i="3"/>
  <c r="W513" i="3"/>
  <c r="B462" i="3"/>
  <c r="AS410" i="3"/>
  <c r="AR410" i="3" s="1"/>
  <c r="W623" i="3"/>
  <c r="B994" i="3"/>
  <c r="Y987" i="3"/>
  <c r="AR961" i="3"/>
  <c r="AS612" i="3"/>
  <c r="B686" i="3"/>
  <c r="AS813" i="3"/>
  <c r="AR813" i="3" s="1"/>
  <c r="AR650" i="3"/>
  <c r="AR877" i="3"/>
  <c r="W727" i="3"/>
  <c r="AS979" i="3"/>
  <c r="AR979" i="3" s="1"/>
  <c r="W842" i="3"/>
  <c r="Y717" i="3"/>
  <c r="AR963" i="3"/>
  <c r="AS854" i="3"/>
  <c r="AR739" i="3"/>
  <c r="Y608" i="3"/>
  <c r="AR902" i="3"/>
  <c r="AS793" i="3"/>
  <c r="AS665" i="3"/>
  <c r="AS943" i="3"/>
  <c r="AS815" i="3"/>
  <c r="AS687" i="3"/>
  <c r="AR687" i="3" s="1"/>
  <c r="Y956" i="3"/>
  <c r="B854" i="3"/>
  <c r="AR751" i="3"/>
  <c r="W649" i="3"/>
  <c r="AS933" i="3"/>
  <c r="B857" i="3"/>
  <c r="Y767" i="3"/>
  <c r="AS677" i="3"/>
  <c r="AR916" i="3"/>
  <c r="AS553" i="3"/>
  <c r="AR553" i="3" s="1"/>
  <c r="Y467" i="3"/>
  <c r="B365" i="3"/>
  <c r="AS281" i="3"/>
  <c r="B592" i="3"/>
  <c r="AS524" i="3"/>
  <c r="AR524" i="3" s="1"/>
  <c r="AS444" i="3"/>
  <c r="AR444" i="3" s="1"/>
  <c r="Y374" i="3"/>
  <c r="W307" i="3"/>
  <c r="Y785" i="3"/>
  <c r="B563" i="3"/>
  <c r="AS479" i="3"/>
  <c r="AR479" i="3" s="1"/>
  <c r="AS415" i="3"/>
  <c r="AR415" i="3" s="1"/>
  <c r="Y345" i="3"/>
  <c r="Y281" i="3"/>
  <c r="Y758" i="3"/>
  <c r="B566" i="3"/>
  <c r="AS514" i="3"/>
  <c r="AR514" i="3" s="1"/>
  <c r="Y412" i="3"/>
  <c r="W361" i="3"/>
  <c r="B310" i="3"/>
  <c r="AS258" i="3"/>
  <c r="AR258" i="3" s="1"/>
  <c r="AR628" i="3"/>
  <c r="Y559" i="3"/>
  <c r="W508" i="3"/>
  <c r="B457" i="3"/>
  <c r="AS405" i="3"/>
  <c r="AR405" i="3" s="1"/>
  <c r="Y303" i="3"/>
  <c r="AR985" i="3"/>
  <c r="Y606" i="3"/>
  <c r="AS552" i="3"/>
  <c r="AR552" i="3" s="1"/>
  <c r="Y450" i="3"/>
  <c r="W399" i="3"/>
  <c r="B348" i="3"/>
  <c r="AS296" i="3"/>
  <c r="AR296" i="3" s="1"/>
  <c r="B907" i="3"/>
  <c r="W594" i="3"/>
  <c r="B543" i="3"/>
  <c r="AS491" i="3"/>
  <c r="AR491" i="3" s="1"/>
  <c r="Y389" i="3"/>
  <c r="W338" i="3"/>
  <c r="B287" i="3"/>
  <c r="B880" i="3"/>
  <c r="AS590" i="3"/>
  <c r="AR590" i="3" s="1"/>
  <c r="Y488" i="3"/>
  <c r="W437" i="3"/>
  <c r="B386" i="3"/>
  <c r="AS334" i="3"/>
  <c r="AR334" i="3" s="1"/>
  <c r="AR852" i="3"/>
  <c r="Y587" i="3"/>
  <c r="W536" i="3"/>
  <c r="B485" i="3"/>
  <c r="AS433" i="3"/>
  <c r="AR433" i="3" s="1"/>
  <c r="Y331" i="3"/>
  <c r="W280" i="3"/>
  <c r="B800" i="3"/>
  <c r="AS580" i="3"/>
  <c r="AR580" i="3" s="1"/>
  <c r="Y478" i="3"/>
  <c r="W427" i="3"/>
  <c r="B376" i="3"/>
  <c r="AS324" i="3"/>
  <c r="AR324" i="3" s="1"/>
  <c r="Y721" i="3"/>
  <c r="B571" i="3"/>
  <c r="AS519" i="3"/>
  <c r="AR519" i="3" s="1"/>
  <c r="Y417" i="3"/>
  <c r="W366" i="3"/>
  <c r="B315" i="3"/>
  <c r="AS263" i="3"/>
  <c r="AR263" i="3" s="1"/>
  <c r="W643" i="3"/>
  <c r="W561" i="3"/>
  <c r="B510" i="3"/>
  <c r="AS458" i="3"/>
  <c r="Y356" i="3"/>
  <c r="W305" i="3"/>
  <c r="B254" i="3"/>
  <c r="W616" i="3"/>
  <c r="AS557" i="3"/>
  <c r="Y455" i="3"/>
  <c r="W404" i="3"/>
  <c r="B353" i="3"/>
  <c r="AS301" i="3"/>
  <c r="W365" i="3"/>
  <c r="AS971" i="3"/>
  <c r="AR971" i="3" s="1"/>
  <c r="Y952" i="3"/>
  <c r="AS945" i="3"/>
  <c r="AR945" i="3" s="1"/>
  <c r="B920" i="3"/>
  <c r="Y993" i="3"/>
  <c r="AS682" i="3"/>
  <c r="AR682" i="3" s="1"/>
  <c r="Y807" i="3"/>
  <c r="Y647" i="3"/>
  <c r="B852" i="3"/>
  <c r="B724" i="3"/>
  <c r="AR976" i="3"/>
  <c r="Y829" i="3"/>
  <c r="W714" i="3"/>
  <c r="Y960" i="3"/>
  <c r="AR851" i="3"/>
  <c r="AR723" i="3"/>
  <c r="W605" i="3"/>
  <c r="Y899" i="3"/>
  <c r="W784" i="3"/>
  <c r="B653" i="3"/>
  <c r="Y937" i="3"/>
  <c r="Y809" i="3"/>
  <c r="Y681" i="3"/>
  <c r="W953" i="3"/>
  <c r="AS850" i="3"/>
  <c r="AR850" i="3" s="1"/>
  <c r="Y748" i="3"/>
  <c r="B646" i="3"/>
  <c r="AR930" i="3"/>
  <c r="B841" i="3"/>
  <c r="W764" i="3"/>
  <c r="AR674" i="3"/>
  <c r="B891" i="3"/>
  <c r="Y547" i="3"/>
  <c r="W464" i="3"/>
  <c r="AS361" i="3"/>
  <c r="Y275" i="3"/>
  <c r="AS588" i="3"/>
  <c r="AR588" i="3" s="1"/>
  <c r="AR521" i="3"/>
  <c r="Y438" i="3"/>
  <c r="W371" i="3"/>
  <c r="W291" i="3"/>
  <c r="AS759" i="3"/>
  <c r="AS559" i="3"/>
  <c r="AR476" i="3"/>
  <c r="AR412" i="3"/>
  <c r="W342" i="3"/>
  <c r="W278" i="3"/>
  <c r="AS732" i="3"/>
  <c r="AS562" i="3"/>
  <c r="AR562" i="3" s="1"/>
  <c r="AR511" i="3"/>
  <c r="Y460" i="3"/>
  <c r="W409" i="3"/>
  <c r="B358" i="3"/>
  <c r="AS306" i="3"/>
  <c r="AR306" i="3" s="1"/>
  <c r="AR255" i="3"/>
  <c r="W612" i="3"/>
  <c r="W556" i="3"/>
  <c r="B505" i="3"/>
  <c r="AS453" i="3"/>
  <c r="AR453" i="3" s="1"/>
  <c r="Y351" i="3"/>
  <c r="W300" i="3"/>
  <c r="B960" i="3"/>
  <c r="W602" i="3"/>
  <c r="Y498" i="3"/>
  <c r="W447" i="3"/>
  <c r="B396" i="3"/>
  <c r="AS344" i="3"/>
  <c r="AR344" i="3" s="1"/>
  <c r="Y881" i="3"/>
  <c r="B591" i="3"/>
  <c r="AS539" i="3"/>
  <c r="AR539" i="3" s="1"/>
  <c r="Y437" i="3"/>
  <c r="W386" i="3"/>
  <c r="B335" i="3"/>
  <c r="AS283" i="3"/>
  <c r="AR283" i="3" s="1"/>
  <c r="Y854" i="3"/>
  <c r="Y536" i="3"/>
  <c r="W485" i="3"/>
  <c r="B434" i="3"/>
  <c r="AS382" i="3"/>
  <c r="AR382" i="3" s="1"/>
  <c r="Y280" i="3"/>
  <c r="B827" i="3"/>
  <c r="W584" i="3"/>
  <c r="B533" i="3"/>
  <c r="AS481" i="3"/>
  <c r="AR481" i="3" s="1"/>
  <c r="Y379" i="3"/>
  <c r="W328" i="3"/>
  <c r="B277" i="3"/>
  <c r="Y774" i="3"/>
  <c r="Y526" i="3"/>
  <c r="W475" i="3"/>
  <c r="B424" i="3"/>
  <c r="AS372" i="3"/>
  <c r="AR372" i="3" s="1"/>
  <c r="Y270" i="3"/>
  <c r="AS695" i="3"/>
  <c r="AS567" i="3"/>
  <c r="AR567" i="3" s="1"/>
  <c r="Y465" i="3"/>
  <c r="W414" i="3"/>
  <c r="B363" i="3"/>
  <c r="AS311" i="3"/>
  <c r="AR311" i="3" s="1"/>
  <c r="AR617" i="3"/>
  <c r="B558" i="3"/>
  <c r="AS506" i="3"/>
  <c r="AR506" i="3" s="1"/>
  <c r="Y404" i="3"/>
  <c r="W353" i="3"/>
  <c r="B302" i="3"/>
  <c r="AS250" i="3"/>
  <c r="AR250" i="3" s="1"/>
  <c r="W609" i="3"/>
  <c r="Y503" i="3"/>
  <c r="W452" i="3"/>
  <c r="W962" i="3"/>
  <c r="AS942" i="3"/>
  <c r="AR942" i="3" s="1"/>
  <c r="W936" i="3"/>
  <c r="Y910" i="3"/>
  <c r="AR999" i="3"/>
  <c r="AS634" i="3"/>
  <c r="AR634" i="3" s="1"/>
  <c r="W804" i="3"/>
  <c r="AS621" i="3"/>
  <c r="AR621" i="3" s="1"/>
  <c r="W839" i="3"/>
  <c r="Y698" i="3"/>
  <c r="Y973" i="3"/>
  <c r="W826" i="3"/>
  <c r="AR688" i="3"/>
  <c r="AR920" i="3"/>
  <c r="W901" i="3"/>
  <c r="AR894" i="3"/>
  <c r="AS868" i="3"/>
  <c r="AS954" i="3"/>
  <c r="AR954" i="3" s="1"/>
  <c r="B622" i="3"/>
  <c r="B801" i="3"/>
  <c r="AS992" i="3"/>
  <c r="AR992" i="3" s="1"/>
  <c r="AS832" i="3"/>
  <c r="AR832" i="3" s="1"/>
  <c r="AR685" i="3"/>
  <c r="W970" i="3"/>
  <c r="B823" i="3"/>
  <c r="AS675" i="3"/>
  <c r="AR675" i="3" s="1"/>
  <c r="B954" i="3"/>
  <c r="B826" i="3"/>
  <c r="AR707" i="3"/>
  <c r="AS598" i="3"/>
  <c r="AR598" i="3" s="1"/>
  <c r="AR886" i="3"/>
  <c r="Y755" i="3"/>
  <c r="AR646" i="3"/>
  <c r="B931" i="3"/>
  <c r="B803" i="3"/>
  <c r="B675" i="3"/>
  <c r="AS946" i="3"/>
  <c r="AR946" i="3" s="1"/>
  <c r="Y844" i="3"/>
  <c r="B742" i="3"/>
  <c r="W924" i="3"/>
  <c r="W828" i="3"/>
  <c r="AR754" i="3"/>
  <c r="W668" i="3"/>
  <c r="AS711" i="3"/>
  <c r="B541" i="3"/>
  <c r="AS441" i="3"/>
  <c r="AR441" i="3" s="1"/>
  <c r="W352" i="3"/>
  <c r="B269" i="3"/>
  <c r="Y582" i="3"/>
  <c r="W515" i="3"/>
  <c r="B432" i="3"/>
  <c r="AS364" i="3"/>
  <c r="AR364" i="3" s="1"/>
  <c r="AR281" i="3"/>
  <c r="AR708" i="3"/>
  <c r="Y537" i="3"/>
  <c r="W470" i="3"/>
  <c r="W406" i="3"/>
  <c r="AR332" i="3"/>
  <c r="AS271" i="3"/>
  <c r="AR271" i="3" s="1"/>
  <c r="AR681" i="3"/>
  <c r="Y556" i="3"/>
  <c r="W505" i="3"/>
  <c r="B454" i="3"/>
  <c r="AS402" i="3"/>
  <c r="AR402" i="3" s="1"/>
  <c r="AR351" i="3"/>
  <c r="Y300" i="3"/>
  <c r="Y961" i="3"/>
  <c r="AR602" i="3"/>
  <c r="AS549" i="3"/>
  <c r="AR549" i="3" s="1"/>
  <c r="Y447" i="3"/>
  <c r="W396" i="3"/>
  <c r="B345" i="3"/>
  <c r="AS293" i="3"/>
  <c r="AR293" i="3" s="1"/>
  <c r="AS908" i="3"/>
  <c r="Y594" i="3"/>
  <c r="W543" i="3"/>
  <c r="B492" i="3"/>
  <c r="AS440" i="3"/>
  <c r="AR440" i="3" s="1"/>
  <c r="Y338" i="3"/>
  <c r="W287" i="3"/>
  <c r="W830" i="3"/>
  <c r="Y533" i="3"/>
  <c r="W482" i="3"/>
  <c r="B431" i="3"/>
  <c r="AS379" i="3"/>
  <c r="Y277" i="3"/>
  <c r="W803" i="3"/>
  <c r="W581" i="3"/>
  <c r="B530" i="3"/>
  <c r="AS478" i="3"/>
  <c r="Y376" i="3"/>
  <c r="W325" i="3"/>
  <c r="B274" i="3"/>
  <c r="AS775" i="3"/>
  <c r="AS577" i="3"/>
  <c r="AR577" i="3" s="1"/>
  <c r="Y475" i="3"/>
  <c r="W424" i="3"/>
  <c r="B373" i="3"/>
  <c r="AS321" i="3"/>
  <c r="AR321" i="3" s="1"/>
  <c r="W723" i="3"/>
  <c r="W571" i="3"/>
  <c r="B520" i="3"/>
  <c r="AS468" i="3"/>
  <c r="AR468" i="3" s="1"/>
  <c r="Y366" i="3"/>
  <c r="W315" i="3"/>
  <c r="B264" i="3"/>
  <c r="AR644" i="3"/>
  <c r="Y561" i="3"/>
  <c r="W510" i="3"/>
  <c r="B459" i="3"/>
  <c r="AS407" i="3"/>
  <c r="AR407" i="3" s="1"/>
  <c r="Y305" i="3"/>
  <c r="B976" i="3"/>
  <c r="Y500" i="3"/>
  <c r="W449" i="3"/>
  <c r="B398" i="3"/>
  <c r="AS346" i="3"/>
  <c r="AR948" i="3"/>
  <c r="W600" i="3"/>
  <c r="W548" i="3"/>
  <c r="B497" i="3"/>
  <c r="AS445" i="3"/>
  <c r="Y343" i="3"/>
  <c r="W292" i="3"/>
  <c r="AR713" i="3"/>
  <c r="Y869" i="3"/>
  <c r="B850" i="3"/>
  <c r="Y843" i="3"/>
  <c r="AR817" i="3"/>
  <c r="AS938" i="3"/>
  <c r="AR938" i="3" s="1"/>
  <c r="Y967" i="3"/>
  <c r="W756" i="3"/>
  <c r="W983" i="3"/>
  <c r="Y826" i="3"/>
  <c r="W679" i="3"/>
  <c r="AS931" i="3"/>
  <c r="AR931" i="3" s="1"/>
  <c r="AR816" i="3"/>
  <c r="Y669" i="3"/>
  <c r="Y928" i="3"/>
  <c r="B810" i="3"/>
  <c r="W701" i="3"/>
  <c r="B989" i="3"/>
  <c r="AS857" i="3"/>
  <c r="B749" i="3"/>
  <c r="W640" i="3"/>
  <c r="B915" i="3"/>
  <c r="B787" i="3"/>
  <c r="B659" i="3"/>
  <c r="B934" i="3"/>
  <c r="AR831" i="3"/>
  <c r="W729" i="3"/>
  <c r="AS626" i="3"/>
  <c r="AR626" i="3" s="1"/>
  <c r="AS917" i="3"/>
  <c r="AS821" i="3"/>
  <c r="W732" i="3"/>
  <c r="AS661" i="3"/>
  <c r="AR660" i="3"/>
  <c r="Y531" i="3"/>
  <c r="B429" i="3"/>
  <c r="AS345" i="3"/>
  <c r="AR345" i="3" s="1"/>
  <c r="AR889" i="3"/>
  <c r="B576" i="3"/>
  <c r="B496" i="3"/>
  <c r="Y358" i="3"/>
  <c r="W275" i="3"/>
  <c r="Y657" i="3"/>
  <c r="B531" i="3"/>
  <c r="AS463" i="3"/>
  <c r="AR463" i="3" s="1"/>
  <c r="W390" i="3"/>
  <c r="W326" i="3"/>
  <c r="Y265" i="3"/>
  <c r="Y630" i="3"/>
  <c r="B550" i="3"/>
  <c r="AS498" i="3"/>
  <c r="AR498" i="3" s="1"/>
  <c r="AR447" i="3"/>
  <c r="Y396" i="3"/>
  <c r="W345" i="3"/>
  <c r="B294" i="3"/>
  <c r="W910" i="3"/>
  <c r="AR594" i="3"/>
  <c r="Y543" i="3"/>
  <c r="W492" i="3"/>
  <c r="B441" i="3"/>
  <c r="AS389" i="3"/>
  <c r="AR389" i="3" s="1"/>
  <c r="AR338" i="3"/>
  <c r="Y287" i="3"/>
  <c r="AR857" i="3"/>
  <c r="B588" i="3"/>
  <c r="AS536" i="3"/>
  <c r="AR485" i="3"/>
  <c r="Y434" i="3"/>
  <c r="W383" i="3"/>
  <c r="B332" i="3"/>
  <c r="AS280" i="3"/>
  <c r="B779" i="3"/>
  <c r="W578" i="3"/>
  <c r="B527" i="3"/>
  <c r="AS475" i="3"/>
  <c r="AR424" i="3"/>
  <c r="Y373" i="3"/>
  <c r="W322" i="3"/>
  <c r="B271" i="3"/>
  <c r="B752" i="3"/>
  <c r="AS574" i="3"/>
  <c r="Y472" i="3"/>
  <c r="W421" i="3"/>
  <c r="B370" i="3"/>
  <c r="AS318" i="3"/>
  <c r="AR724" i="3"/>
  <c r="Y571" i="3"/>
  <c r="W520" i="3"/>
  <c r="B469" i="3"/>
  <c r="AS417" i="3"/>
  <c r="AR417" i="3" s="1"/>
  <c r="Y315" i="3"/>
  <c r="W264" i="3"/>
  <c r="B672" i="3"/>
  <c r="AS564" i="3"/>
  <c r="AR513" i="3"/>
  <c r="B911" i="3"/>
  <c r="AR829" i="3"/>
  <c r="AS710" i="3"/>
  <c r="AR710" i="3" s="1"/>
  <c r="AS927" i="3"/>
  <c r="AR927" i="3" s="1"/>
  <c r="W713" i="3"/>
  <c r="B763" i="3"/>
  <c r="W579" i="3"/>
  <c r="AS631" i="3"/>
  <c r="W707" i="3"/>
  <c r="Y348" i="3"/>
  <c r="B489" i="3"/>
  <c r="B598" i="3"/>
  <c r="W335" i="3"/>
  <c r="AR472" i="3"/>
  <c r="Y584" i="3"/>
  <c r="B322" i="3"/>
  <c r="AS465" i="3"/>
  <c r="Y574" i="3"/>
  <c r="B360" i="3"/>
  <c r="B555" i="3"/>
  <c r="W350" i="3"/>
  <c r="W545" i="3"/>
  <c r="AR343" i="3"/>
  <c r="Y641" i="3"/>
  <c r="Y487" i="3"/>
  <c r="AR362" i="3"/>
  <c r="AS269" i="3"/>
  <c r="B314" i="3"/>
  <c r="Y203" i="3"/>
  <c r="Y139" i="3"/>
  <c r="Y75" i="3"/>
  <c r="Y12" i="3"/>
  <c r="B971" i="3"/>
  <c r="W381" i="3"/>
  <c r="Y174" i="3"/>
  <c r="W123" i="3"/>
  <c r="B72" i="3"/>
  <c r="AS20" i="3"/>
  <c r="B159" i="3"/>
  <c r="B567" i="3"/>
  <c r="AS294" i="3"/>
  <c r="Y209" i="3"/>
  <c r="W158" i="3"/>
  <c r="B107" i="3"/>
  <c r="AS55" i="3"/>
  <c r="Y11" i="3"/>
  <c r="W947" i="3"/>
  <c r="W378" i="3"/>
  <c r="W225" i="3"/>
  <c r="B174" i="3"/>
  <c r="AS122" i="3"/>
  <c r="Y20" i="3"/>
  <c r="AS171" i="3"/>
  <c r="B564" i="3"/>
  <c r="AS291" i="3"/>
  <c r="B209" i="3"/>
  <c r="AS157" i="3"/>
  <c r="Y55" i="3"/>
  <c r="B522" i="3"/>
  <c r="AS206" i="3"/>
  <c r="W445" i="3"/>
  <c r="Y186" i="3"/>
  <c r="W135" i="3"/>
  <c r="B84" i="3"/>
  <c r="AS32" i="3"/>
  <c r="W263" i="3"/>
  <c r="AS579" i="3"/>
  <c r="AS211" i="3"/>
  <c r="Y109" i="3"/>
  <c r="W58" i="3"/>
  <c r="B8" i="3"/>
  <c r="AS238" i="3"/>
  <c r="B426" i="3"/>
  <c r="B234" i="3"/>
  <c r="AS182" i="3"/>
  <c r="Y80" i="3"/>
  <c r="W29" i="3"/>
  <c r="Y53" i="3"/>
  <c r="AR525" i="3"/>
  <c r="W255" i="3"/>
  <c r="AS201" i="3"/>
  <c r="Y99" i="3"/>
  <c r="W48" i="3"/>
  <c r="Y130" i="3"/>
  <c r="Y269" i="3"/>
  <c r="AS204" i="3"/>
  <c r="Y102" i="3"/>
  <c r="W51" i="3"/>
  <c r="W191" i="3"/>
  <c r="Y136" i="3"/>
  <c r="B404" i="3"/>
  <c r="W230" i="3"/>
  <c r="B179" i="3"/>
  <c r="AS127" i="3"/>
  <c r="Y25" i="3"/>
  <c r="AS155" i="3"/>
  <c r="Y522" i="3"/>
  <c r="W201" i="3"/>
  <c r="B150" i="3"/>
  <c r="AS98" i="3"/>
  <c r="Y349" i="3"/>
  <c r="AR740" i="3"/>
  <c r="Y352" i="3"/>
  <c r="W220" i="3"/>
  <c r="B169" i="3"/>
  <c r="AS117" i="3"/>
  <c r="Y15" i="3"/>
  <c r="B191" i="3"/>
  <c r="AS175" i="3"/>
  <c r="Y73" i="3"/>
  <c r="W22" i="3"/>
  <c r="AS859" i="3"/>
  <c r="AR859" i="3" s="1"/>
  <c r="AS800" i="3"/>
  <c r="AR800" i="3" s="1"/>
  <c r="Y704" i="3"/>
  <c r="AS895" i="3"/>
  <c r="AR895" i="3" s="1"/>
  <c r="AS642" i="3"/>
  <c r="AR642" i="3" s="1"/>
  <c r="W686" i="3"/>
  <c r="AS572" i="3"/>
  <c r="AR572" i="3" s="1"/>
  <c r="AS543" i="3"/>
  <c r="AR543" i="3" s="1"/>
  <c r="B656" i="3"/>
  <c r="B342" i="3"/>
  <c r="W591" i="3"/>
  <c r="AS328" i="3"/>
  <c r="AR328" i="3" s="1"/>
  <c r="W434" i="3"/>
  <c r="B578" i="3"/>
  <c r="AR315" i="3"/>
  <c r="Y427" i="3"/>
  <c r="B568" i="3"/>
  <c r="AS356" i="3"/>
  <c r="AR356" i="3" s="1"/>
  <c r="AS551" i="3"/>
  <c r="AR551" i="3" s="1"/>
  <c r="B347" i="3"/>
  <c r="B542" i="3"/>
  <c r="Y340" i="3"/>
  <c r="Y604" i="3"/>
  <c r="Y471" i="3"/>
  <c r="W356" i="3"/>
  <c r="AR266" i="3"/>
  <c r="W295" i="3"/>
  <c r="W200" i="3"/>
  <c r="W136" i="3"/>
  <c r="W72" i="3"/>
  <c r="W9" i="3"/>
  <c r="AR841" i="3"/>
  <c r="Y362" i="3"/>
  <c r="Y222" i="3"/>
  <c r="W171" i="3"/>
  <c r="B120" i="3"/>
  <c r="AS68" i="3"/>
  <c r="B127" i="3"/>
  <c r="AS550" i="3"/>
  <c r="B276" i="3"/>
  <c r="W206" i="3"/>
  <c r="B155" i="3"/>
  <c r="AS103" i="3"/>
  <c r="B452" i="3"/>
  <c r="Y817" i="3"/>
  <c r="B362" i="3"/>
  <c r="B222" i="3"/>
  <c r="AS170" i="3"/>
  <c r="Y68" i="3"/>
  <c r="W17" i="3"/>
  <c r="W146" i="3"/>
  <c r="AS547" i="3"/>
  <c r="AS205" i="3"/>
  <c r="Y103" i="3"/>
  <c r="W52" i="3"/>
  <c r="W239" i="3"/>
  <c r="AS174" i="3"/>
  <c r="Y426" i="3"/>
  <c r="Y234" i="3"/>
  <c r="W183" i="3"/>
  <c r="B132" i="3"/>
  <c r="AS80" i="3"/>
  <c r="B223" i="3"/>
  <c r="AS288" i="3"/>
  <c r="Y157" i="3"/>
  <c r="W106" i="3"/>
  <c r="B55" i="3"/>
  <c r="Y589" i="3"/>
  <c r="B210" i="3"/>
  <c r="W407" i="3"/>
  <c r="AS230" i="3"/>
  <c r="Y128" i="3"/>
  <c r="W77" i="3"/>
  <c r="B26" i="3"/>
  <c r="Y21" i="3"/>
  <c r="Y509" i="3"/>
  <c r="AS249" i="3"/>
  <c r="Y147" i="3"/>
  <c r="W96" i="3"/>
  <c r="B45" i="3"/>
  <c r="Y525" i="3"/>
  <c r="Y254" i="3"/>
  <c r="AR201" i="3"/>
  <c r="Y150" i="3"/>
  <c r="W99" i="3"/>
  <c r="B48" i="3"/>
  <c r="W95" i="3"/>
  <c r="AS387" i="3"/>
  <c r="B227" i="3"/>
  <c r="AR891" i="3"/>
  <c r="Y682" i="3"/>
  <c r="B698" i="3"/>
  <c r="W806" i="3"/>
  <c r="Y636" i="3"/>
  <c r="B635" i="3"/>
  <c r="Y518" i="3"/>
  <c r="W534" i="3"/>
  <c r="AR612" i="3"/>
  <c r="AR303" i="3"/>
  <c r="W444" i="3"/>
  <c r="AS584" i="3"/>
  <c r="AR584" i="3" s="1"/>
  <c r="Y290" i="3"/>
  <c r="AS427" i="3"/>
  <c r="AR427" i="3" s="1"/>
  <c r="AR571" i="3"/>
  <c r="W277" i="3"/>
  <c r="B421" i="3"/>
  <c r="AR561" i="3"/>
  <c r="Y318" i="3"/>
  <c r="Y513" i="3"/>
  <c r="W337" i="3"/>
  <c r="Y596" i="3"/>
  <c r="AR458" i="3"/>
  <c r="AS349" i="3"/>
  <c r="W260" i="3"/>
  <c r="B279" i="3"/>
  <c r="B197" i="3"/>
  <c r="B133" i="3"/>
  <c r="B69" i="3"/>
  <c r="W538" i="3"/>
  <c r="W691" i="3"/>
  <c r="W346" i="3"/>
  <c r="W219" i="3"/>
  <c r="B168" i="3"/>
  <c r="AS116" i="3"/>
  <c r="Y14" i="3"/>
  <c r="B95" i="3"/>
  <c r="B532" i="3"/>
  <c r="AS259" i="3"/>
  <c r="B203" i="3"/>
  <c r="AS151" i="3"/>
  <c r="Y49" i="3"/>
  <c r="AR349" i="3"/>
  <c r="B688" i="3"/>
  <c r="W343" i="3"/>
  <c r="AS218" i="3"/>
  <c r="Y116" i="3"/>
  <c r="W65" i="3"/>
  <c r="B14" i="3"/>
  <c r="W114" i="3"/>
  <c r="AS256" i="3"/>
  <c r="Y151" i="3"/>
  <c r="W100" i="3"/>
  <c r="B49" i="3"/>
  <c r="B188" i="3"/>
  <c r="AS158" i="3"/>
  <c r="W410" i="3"/>
  <c r="W231" i="3"/>
  <c r="B180" i="3"/>
  <c r="AS128" i="3"/>
  <c r="Y26" i="3"/>
  <c r="AS544" i="3"/>
  <c r="Y205" i="3"/>
  <c r="W154" i="3"/>
  <c r="B103" i="3"/>
  <c r="AS51" i="3"/>
  <c r="Y242" i="3"/>
  <c r="Y184" i="3"/>
  <c r="B391" i="3"/>
  <c r="Y176" i="3"/>
  <c r="W125" i="3"/>
  <c r="B74" i="3"/>
  <c r="AS22" i="3"/>
  <c r="B554" i="3"/>
  <c r="W493" i="3"/>
  <c r="Y195" i="3"/>
  <c r="W144" i="3"/>
  <c r="B93" i="3"/>
  <c r="AS41" i="3"/>
  <c r="AS187" i="3"/>
  <c r="W509" i="3"/>
  <c r="AR249" i="3"/>
  <c r="Y198" i="3"/>
  <c r="W147" i="3"/>
  <c r="B96" i="3"/>
  <c r="AS44" i="3"/>
  <c r="AS486" i="3"/>
  <c r="W894" i="3"/>
  <c r="AS223" i="3"/>
  <c r="Y121" i="3"/>
  <c r="W70" i="3"/>
  <c r="B19" i="3"/>
  <c r="AS59" i="3"/>
  <c r="AR59" i="3" s="1"/>
  <c r="B490" i="3"/>
  <c r="B246" i="3"/>
  <c r="AS194" i="3"/>
  <c r="Y92" i="3"/>
  <c r="W41" i="3"/>
  <c r="W210" i="3"/>
  <c r="Y317" i="3"/>
  <c r="AS213" i="3"/>
  <c r="Y111" i="3"/>
  <c r="W60" i="3"/>
  <c r="W739" i="3"/>
  <c r="AS139" i="3"/>
  <c r="Y56" i="3"/>
  <c r="Y168" i="3"/>
  <c r="B79" i="3"/>
  <c r="AS149" i="3"/>
  <c r="B519" i="3"/>
  <c r="Y840" i="3"/>
  <c r="B676" i="3"/>
  <c r="B602" i="3"/>
  <c r="AS799" i="3"/>
  <c r="AR799" i="3" s="1"/>
  <c r="AR994" i="3"/>
  <c r="W544" i="3"/>
  <c r="B512" i="3"/>
  <c r="AS527" i="3"/>
  <c r="AR527" i="3" s="1"/>
  <c r="AR559" i="3"/>
  <c r="W297" i="3"/>
  <c r="AS437" i="3"/>
  <c r="Y546" i="3"/>
  <c r="B284" i="3"/>
  <c r="Y421" i="3"/>
  <c r="W533" i="3"/>
  <c r="AS270" i="3"/>
  <c r="AR270" i="3" s="1"/>
  <c r="AR414" i="3"/>
  <c r="W523" i="3"/>
  <c r="B312" i="3"/>
  <c r="B507" i="3"/>
  <c r="W302" i="3"/>
  <c r="W497" i="3"/>
  <c r="W321" i="3"/>
  <c r="B593" i="3"/>
  <c r="B449" i="3"/>
  <c r="AR346" i="3"/>
  <c r="AS253" i="3"/>
  <c r="AR253" i="3" s="1"/>
  <c r="AS262" i="3"/>
  <c r="AS193" i="3"/>
  <c r="AS129" i="3"/>
  <c r="AS65" i="3"/>
  <c r="AR65" i="3" s="1"/>
  <c r="W253" i="3"/>
  <c r="B604" i="3"/>
  <c r="B330" i="3"/>
  <c r="B216" i="3"/>
  <c r="AS164" i="3"/>
  <c r="Y62" i="3"/>
  <c r="W12" i="3"/>
  <c r="B63" i="3"/>
  <c r="AS515" i="3"/>
  <c r="Y251" i="3"/>
  <c r="AS199" i="3"/>
  <c r="Y97" i="3"/>
  <c r="W46" i="3"/>
  <c r="B220" i="3"/>
  <c r="B600" i="3"/>
  <c r="B327" i="3"/>
  <c r="Y164" i="3"/>
  <c r="W113" i="3"/>
  <c r="B62" i="3"/>
  <c r="AS11" i="3"/>
  <c r="W82" i="3"/>
  <c r="AS512" i="3"/>
  <c r="B251" i="3"/>
  <c r="Y199" i="3"/>
  <c r="W148" i="3"/>
  <c r="B97" i="3"/>
  <c r="AS45" i="3"/>
  <c r="B156" i="3"/>
  <c r="AS142" i="3"/>
  <c r="B394" i="3"/>
  <c r="B228" i="3"/>
  <c r="AS176" i="3"/>
  <c r="Y74" i="3"/>
  <c r="W23" i="3"/>
  <c r="W34" i="3"/>
  <c r="Y256" i="3"/>
  <c r="W202" i="3"/>
  <c r="B151" i="3"/>
  <c r="AS99" i="3"/>
  <c r="B124" i="3"/>
  <c r="AS919" i="3"/>
  <c r="AS374" i="3"/>
  <c r="Y224" i="3"/>
  <c r="W173" i="3"/>
  <c r="B122" i="3"/>
  <c r="AS70" i="3"/>
  <c r="W279" i="3"/>
  <c r="Y474" i="3"/>
  <c r="Y243" i="3"/>
  <c r="W192" i="3"/>
  <c r="B141" i="3"/>
  <c r="AS89" i="3"/>
  <c r="AS123" i="3"/>
  <c r="Y490" i="3"/>
  <c r="Y246" i="3"/>
  <c r="W195" i="3"/>
  <c r="B144" i="3"/>
  <c r="AS92" i="3"/>
  <c r="AR41" i="3"/>
  <c r="AS416" i="3"/>
  <c r="AS764" i="3"/>
  <c r="AS352" i="3"/>
  <c r="Y169" i="3"/>
  <c r="W118" i="3"/>
  <c r="B67" i="3"/>
  <c r="AS15" i="3"/>
  <c r="W471" i="3"/>
  <c r="AS242" i="3"/>
  <c r="Y140" i="3"/>
  <c r="W89" i="3"/>
  <c r="B38" i="3"/>
  <c r="B175" i="3"/>
  <c r="Y573" i="3"/>
  <c r="W301" i="3"/>
  <c r="Y159" i="3"/>
  <c r="W108" i="3"/>
  <c r="B57" i="3"/>
  <c r="Y117" i="3"/>
  <c r="B50" i="3"/>
  <c r="W223" i="3"/>
  <c r="Y28" i="3"/>
  <c r="Y253" i="3"/>
  <c r="Y47" i="3"/>
  <c r="B885" i="3"/>
  <c r="AR944" i="3"/>
  <c r="AR998" i="3"/>
  <c r="AS767" i="3"/>
  <c r="AR767" i="3" s="1"/>
  <c r="Y927" i="3"/>
  <c r="AS537" i="3"/>
  <c r="AR537" i="3" s="1"/>
  <c r="AR489" i="3"/>
  <c r="Y473" i="3"/>
  <c r="W553" i="3"/>
  <c r="AS290" i="3"/>
  <c r="Y399" i="3"/>
  <c r="B540" i="3"/>
  <c r="AR277" i="3"/>
  <c r="B383" i="3"/>
  <c r="AS526" i="3"/>
  <c r="AR526" i="3" s="1"/>
  <c r="Y264" i="3"/>
  <c r="W376" i="3"/>
  <c r="AS516" i="3"/>
  <c r="AR516" i="3" s="1"/>
  <c r="AS308" i="3"/>
  <c r="AR308" i="3" s="1"/>
  <c r="AS503" i="3"/>
  <c r="AR503" i="3" s="1"/>
  <c r="B299" i="3"/>
  <c r="B494" i="3"/>
  <c r="Y308" i="3"/>
  <c r="AS589" i="3"/>
  <c r="AR589" i="3" s="1"/>
  <c r="W340" i="3"/>
  <c r="AS972" i="3"/>
  <c r="W252" i="3"/>
  <c r="Y187" i="3"/>
  <c r="Y123" i="3"/>
  <c r="Y59" i="3"/>
  <c r="B140" i="3"/>
  <c r="B586" i="3"/>
  <c r="W311" i="3"/>
  <c r="AS212" i="3"/>
  <c r="Y110" i="3"/>
  <c r="W59" i="3"/>
  <c r="B9" i="3"/>
  <c r="B31" i="3"/>
  <c r="AS247" i="3"/>
  <c r="Y145" i="3"/>
  <c r="W94" i="3"/>
  <c r="B43" i="3"/>
  <c r="Y178" i="3"/>
  <c r="B583" i="3"/>
  <c r="AS310" i="3"/>
  <c r="Y212" i="3"/>
  <c r="W161" i="3"/>
  <c r="B110" i="3"/>
  <c r="AS58" i="3"/>
  <c r="W50" i="3"/>
  <c r="Y247" i="3"/>
  <c r="W196" i="3"/>
  <c r="B145" i="3"/>
  <c r="AS93" i="3"/>
  <c r="W127" i="3"/>
  <c r="B944" i="3"/>
  <c r="W375" i="3"/>
  <c r="AS224" i="3"/>
  <c r="Y122" i="3"/>
  <c r="W71" i="3"/>
  <c r="B20" i="3"/>
  <c r="W535" i="3"/>
  <c r="Y512" i="3"/>
  <c r="W250" i="3"/>
  <c r="B199" i="3"/>
  <c r="AS147" i="3"/>
  <c r="Y45" i="3"/>
  <c r="Y82" i="3"/>
  <c r="Y790" i="3"/>
  <c r="B356" i="3"/>
  <c r="W221" i="3"/>
  <c r="B170" i="3"/>
  <c r="AS118" i="3"/>
  <c r="Y16" i="3"/>
  <c r="W213" i="3"/>
  <c r="W458" i="3"/>
  <c r="W240" i="3"/>
  <c r="B189" i="3"/>
  <c r="AS137" i="3"/>
  <c r="Y35" i="3"/>
  <c r="Y85" i="3"/>
  <c r="W474" i="3"/>
  <c r="W243" i="3"/>
  <c r="B192" i="3"/>
  <c r="AS140" i="3"/>
  <c r="AR89" i="3"/>
  <c r="Y38" i="3"/>
  <c r="B253" i="3"/>
  <c r="AS615" i="3"/>
  <c r="Y217" i="3"/>
  <c r="W166" i="3"/>
  <c r="B115" i="3"/>
  <c r="AS63" i="3"/>
  <c r="W573" i="3"/>
  <c r="B455" i="3"/>
  <c r="Y188" i="3"/>
  <c r="W137" i="3"/>
  <c r="B86" i="3"/>
  <c r="AS34" i="3"/>
  <c r="B143" i="3"/>
  <c r="W557" i="3"/>
  <c r="Y282" i="3"/>
  <c r="Y207" i="3"/>
  <c r="W156" i="3"/>
  <c r="B105" i="3"/>
  <c r="AS53" i="3"/>
  <c r="AS248" i="3"/>
  <c r="Y40" i="3"/>
  <c r="Y57" i="3"/>
  <c r="AS130" i="3"/>
  <c r="W522" i="3"/>
  <c r="B201" i="3"/>
  <c r="W53" i="3"/>
  <c r="AS833" i="3"/>
  <c r="AR833" i="3" s="1"/>
  <c r="AR928" i="3"/>
  <c r="B973" i="3"/>
  <c r="W678" i="3"/>
  <c r="B921" i="3"/>
  <c r="W528" i="3"/>
  <c r="W435" i="3"/>
  <c r="B467" i="3"/>
  <c r="AS546" i="3"/>
  <c r="B987" i="3"/>
  <c r="B393" i="3"/>
  <c r="AR533" i="3"/>
  <c r="AS855" i="3"/>
  <c r="AR376" i="3"/>
  <c r="Y520" i="3"/>
  <c r="Y801" i="3"/>
  <c r="AS369" i="3"/>
  <c r="Y510" i="3"/>
  <c r="AR305" i="3"/>
  <c r="AR500" i="3"/>
  <c r="AS295" i="3"/>
  <c r="AR295" i="3" s="1"/>
  <c r="AS490" i="3"/>
  <c r="AS298" i="3"/>
  <c r="AS573" i="3"/>
  <c r="Y439" i="3"/>
  <c r="B337" i="3"/>
  <c r="B843" i="3"/>
  <c r="W248" i="3"/>
  <c r="W184" i="3"/>
  <c r="W120" i="3"/>
  <c r="W56" i="3"/>
  <c r="B92" i="3"/>
  <c r="W567" i="3"/>
  <c r="B295" i="3"/>
  <c r="Y158" i="3"/>
  <c r="W107" i="3"/>
  <c r="B56" i="3"/>
  <c r="W8" i="3"/>
  <c r="B715" i="3"/>
  <c r="AS480" i="3"/>
  <c r="Y193" i="3"/>
  <c r="W142" i="3"/>
  <c r="B91" i="3"/>
  <c r="AS39" i="3"/>
  <c r="AS152" i="3"/>
  <c r="AS566" i="3"/>
  <c r="B292" i="3"/>
  <c r="W209" i="3"/>
  <c r="B158" i="3"/>
  <c r="AS106" i="3"/>
  <c r="AR106" i="3" s="1"/>
  <c r="AR55" i="3"/>
  <c r="W503" i="3"/>
  <c r="W18" i="3"/>
  <c r="Y480" i="3"/>
  <c r="W244" i="3"/>
  <c r="B193" i="3"/>
  <c r="AS141" i="3"/>
  <c r="Y39" i="3"/>
  <c r="Y98" i="3"/>
  <c r="AR793" i="3"/>
  <c r="B359" i="3"/>
  <c r="Y170" i="3"/>
  <c r="W119" i="3"/>
  <c r="B68" i="3"/>
  <c r="AS16" i="3"/>
  <c r="Y252" i="3"/>
  <c r="B247" i="3"/>
  <c r="AS195" i="3"/>
  <c r="Y93" i="3"/>
  <c r="W42" i="3"/>
  <c r="W47" i="3"/>
  <c r="B640" i="3"/>
  <c r="AS339" i="3"/>
  <c r="B218" i="3"/>
  <c r="AS166" i="3"/>
  <c r="Y64" i="3"/>
  <c r="W13" i="3"/>
  <c r="B178" i="3"/>
  <c r="B442" i="3"/>
  <c r="B237" i="3"/>
  <c r="AS185" i="3"/>
  <c r="Y83" i="3"/>
  <c r="W32" i="3"/>
  <c r="AS43" i="3"/>
  <c r="B458" i="3"/>
  <c r="B240" i="3"/>
  <c r="AS188" i="3"/>
  <c r="AR137" i="3"/>
  <c r="Y86" i="3"/>
  <c r="W35" i="3"/>
  <c r="Y320" i="3"/>
  <c r="W214" i="3"/>
  <c r="B163" i="3"/>
  <c r="AS111" i="3"/>
  <c r="Y298" i="3"/>
  <c r="B226" i="3"/>
  <c r="AS438" i="3"/>
  <c r="Y236" i="3"/>
  <c r="W185" i="3"/>
  <c r="B134" i="3"/>
  <c r="AS82" i="3"/>
  <c r="B111" i="3"/>
  <c r="Y538" i="3"/>
  <c r="W266" i="3"/>
  <c r="W204" i="3"/>
  <c r="B153" i="3"/>
  <c r="AS101" i="3"/>
  <c r="Y226" i="3"/>
  <c r="B15" i="3"/>
  <c r="AS159" i="3"/>
  <c r="B420" i="3"/>
  <c r="W233" i="3"/>
  <c r="W859" i="3"/>
  <c r="AS819" i="3"/>
  <c r="AR819" i="3" s="1"/>
  <c r="W896" i="3"/>
  <c r="AS671" i="3"/>
  <c r="AR671" i="3" s="1"/>
  <c r="Y911" i="3"/>
  <c r="B461" i="3"/>
  <c r="AS428" i="3"/>
  <c r="AR428" i="3" s="1"/>
  <c r="AR460" i="3"/>
  <c r="Y508" i="3"/>
  <c r="AS935" i="3"/>
  <c r="AR386" i="3"/>
  <c r="W495" i="3"/>
  <c r="AR804" i="3"/>
  <c r="W370" i="3"/>
  <c r="B482" i="3"/>
  <c r="W750" i="3"/>
  <c r="Y363" i="3"/>
  <c r="B472" i="3"/>
  <c r="W267" i="3"/>
  <c r="W462" i="3"/>
  <c r="Y257" i="3"/>
  <c r="Y452" i="3"/>
  <c r="Y292" i="3"/>
  <c r="B561" i="3"/>
  <c r="W436" i="3"/>
  <c r="AS333" i="3"/>
  <c r="W604" i="3"/>
  <c r="B245" i="3"/>
  <c r="B181" i="3"/>
  <c r="B117" i="3"/>
  <c r="B53" i="3"/>
  <c r="AS56" i="3"/>
  <c r="B551" i="3"/>
  <c r="AS278" i="3"/>
  <c r="Y206" i="3"/>
  <c r="W155" i="3"/>
  <c r="B104" i="3"/>
  <c r="AS52" i="3"/>
  <c r="AR52" i="3" s="1"/>
  <c r="AS470" i="3"/>
  <c r="AR381" i="3"/>
  <c r="Y241" i="3"/>
  <c r="W190" i="3"/>
  <c r="B139" i="3"/>
  <c r="AS87" i="3"/>
  <c r="B60" i="3"/>
  <c r="B548" i="3"/>
  <c r="AS275" i="3"/>
  <c r="AR275" i="3" s="1"/>
  <c r="B206" i="3"/>
  <c r="AS154" i="3"/>
  <c r="AR154" i="3" s="1"/>
  <c r="AR103" i="3"/>
  <c r="Y52" i="3"/>
  <c r="W317" i="3"/>
  <c r="W570" i="3"/>
  <c r="AR461" i="3"/>
  <c r="B241" i="3"/>
  <c r="AS189" i="3"/>
  <c r="Y87" i="3"/>
  <c r="W36" i="3"/>
  <c r="AS72" i="3"/>
  <c r="AS663" i="3"/>
  <c r="AS342" i="3"/>
  <c r="Y218" i="3"/>
  <c r="W167" i="3"/>
  <c r="B116" i="3"/>
  <c r="AS64" i="3"/>
  <c r="AS222" i="3"/>
  <c r="Y477" i="3"/>
  <c r="AS243" i="3"/>
  <c r="Y141" i="3"/>
  <c r="W90" i="3"/>
  <c r="B39" i="3"/>
  <c r="W15" i="3"/>
  <c r="B596" i="3"/>
  <c r="AS214" i="3"/>
  <c r="Y112" i="3"/>
  <c r="W61" i="3"/>
  <c r="B11" i="3"/>
  <c r="W149" i="3"/>
  <c r="W423" i="3"/>
  <c r="AS233" i="3"/>
  <c r="AR182" i="3"/>
  <c r="Y131" i="3"/>
  <c r="W80" i="3"/>
  <c r="B29" i="3"/>
  <c r="W439" i="3"/>
  <c r="AS236" i="3"/>
  <c r="AR185" i="3"/>
  <c r="Y134" i="3"/>
  <c r="W83" i="3"/>
  <c r="B32" i="3"/>
  <c r="Y165" i="3"/>
  <c r="Y576" i="3"/>
  <c r="AR301" i="3"/>
  <c r="B211" i="3"/>
  <c r="B182" i="3"/>
  <c r="B808" i="3"/>
  <c r="B791" i="3"/>
  <c r="AR870" i="3"/>
  <c r="AS639" i="3"/>
  <c r="AR639" i="3" s="1"/>
  <c r="Y831" i="3"/>
  <c r="W432" i="3"/>
  <c r="Y422" i="3"/>
  <c r="Y409" i="3"/>
  <c r="B502" i="3"/>
  <c r="AR884" i="3"/>
  <c r="W348" i="3"/>
  <c r="AS488" i="3"/>
  <c r="AR488" i="3" s="1"/>
  <c r="Y753" i="3"/>
  <c r="AS331" i="3"/>
  <c r="AR331" i="3" s="1"/>
  <c r="AR475" i="3"/>
  <c r="B699" i="3"/>
  <c r="B325" i="3"/>
  <c r="AR465" i="3"/>
  <c r="AS260" i="3"/>
  <c r="AR260" i="3" s="1"/>
  <c r="AS455" i="3"/>
  <c r="AR455" i="3" s="1"/>
  <c r="Y950" i="3"/>
  <c r="B446" i="3"/>
  <c r="W289" i="3"/>
  <c r="Y551" i="3"/>
  <c r="W420" i="3"/>
  <c r="B321" i="3"/>
  <c r="W586" i="3"/>
  <c r="AS241" i="3"/>
  <c r="AS177" i="3"/>
  <c r="AS113" i="3"/>
  <c r="AR113" i="3" s="1"/>
  <c r="AS49" i="3"/>
  <c r="B28" i="3"/>
  <c r="AS534" i="3"/>
  <c r="B260" i="3"/>
  <c r="W203" i="3"/>
  <c r="B152" i="3"/>
  <c r="AS100" i="3"/>
  <c r="AR100" i="3" s="1"/>
  <c r="AR49" i="3"/>
  <c r="AS232" i="3"/>
  <c r="AR232" i="3" s="1"/>
  <c r="AS190" i="3"/>
  <c r="Y448" i="3"/>
  <c r="W238" i="3"/>
  <c r="B187" i="3"/>
  <c r="AS135" i="3"/>
  <c r="Y33" i="3"/>
  <c r="Y18" i="3"/>
  <c r="AS531" i="3"/>
  <c r="AR531" i="3" s="1"/>
  <c r="AR259" i="3"/>
  <c r="AS202" i="3"/>
  <c r="AR202" i="3" s="1"/>
  <c r="AR151" i="3"/>
  <c r="Y100" i="3"/>
  <c r="W49" i="3"/>
  <c r="W159" i="3"/>
  <c r="B263" i="3"/>
  <c r="Y445" i="3"/>
  <c r="AS237" i="3"/>
  <c r="AR237" i="3" s="1"/>
  <c r="Y135" i="3"/>
  <c r="W84" i="3"/>
  <c r="B33" i="3"/>
  <c r="Y50" i="3"/>
  <c r="B324" i="3"/>
  <c r="W215" i="3"/>
  <c r="B164" i="3"/>
  <c r="AS112" i="3"/>
  <c r="B487" i="3"/>
  <c r="B194" i="3"/>
  <c r="W461" i="3"/>
  <c r="Y189" i="3"/>
  <c r="W138" i="3"/>
  <c r="B87" i="3"/>
  <c r="AS35" i="3"/>
  <c r="Y570" i="3"/>
  <c r="AR579" i="3"/>
  <c r="AS304" i="3"/>
  <c r="AR211" i="3"/>
  <c r="Y160" i="3"/>
  <c r="W109" i="3"/>
  <c r="B58" i="3"/>
  <c r="AS435" i="3"/>
  <c r="AR435" i="3" s="1"/>
  <c r="W117" i="3"/>
  <c r="B407" i="3"/>
  <c r="AR230" i="3"/>
  <c r="Y179" i="3"/>
  <c r="W128" i="3"/>
  <c r="B77" i="3"/>
  <c r="AS25" i="3"/>
  <c r="AS432" i="3"/>
  <c r="B423" i="3"/>
  <c r="AR233" i="3"/>
  <c r="Y182" i="3"/>
  <c r="W131" i="3"/>
  <c r="B80" i="3"/>
  <c r="AS28" i="3"/>
  <c r="W130" i="3"/>
  <c r="AR557" i="3"/>
  <c r="Y285" i="3"/>
  <c r="AS207" i="3"/>
  <c r="Y105" i="3"/>
  <c r="W54" i="3"/>
  <c r="AS184" i="3"/>
  <c r="W133" i="3"/>
  <c r="AS403" i="3"/>
  <c r="B230" i="3"/>
  <c r="AS178" i="3"/>
  <c r="AR127" i="3"/>
  <c r="Y76" i="3"/>
  <c r="W25" i="3"/>
  <c r="B47" i="3"/>
  <c r="B506" i="3"/>
  <c r="B249" i="3"/>
  <c r="AS197" i="3"/>
  <c r="Y95" i="3"/>
  <c r="W44" i="3"/>
  <c r="B172" i="3"/>
  <c r="Y365" i="3"/>
  <c r="W37" i="3"/>
  <c r="Y153" i="3"/>
  <c r="Y162" i="3"/>
  <c r="AR387" i="3"/>
  <c r="B942" i="3"/>
  <c r="AR672" i="3"/>
  <c r="AR854" i="3"/>
  <c r="B950" i="3"/>
  <c r="B825" i="3"/>
  <c r="AS425" i="3"/>
  <c r="AR425" i="3" s="1"/>
  <c r="B368" i="3"/>
  <c r="Y393" i="3"/>
  <c r="AR495" i="3"/>
  <c r="AR606" i="3"/>
  <c r="AS341" i="3"/>
  <c r="Y482" i="3"/>
  <c r="AS587" i="3"/>
  <c r="AR587" i="3" s="1"/>
  <c r="Y325" i="3"/>
  <c r="W469" i="3"/>
  <c r="B581" i="3"/>
  <c r="AR318" i="3"/>
  <c r="Y462" i="3"/>
  <c r="AR257" i="3"/>
  <c r="AR452" i="3"/>
  <c r="AS924" i="3"/>
  <c r="AS442" i="3"/>
  <c r="AR442" i="3" s="1"/>
  <c r="B286" i="3"/>
  <c r="B545" i="3"/>
  <c r="Y407" i="3"/>
  <c r="AS317" i="3"/>
  <c r="B570" i="3"/>
  <c r="Y235" i="3"/>
  <c r="Y171" i="3"/>
  <c r="Y107" i="3"/>
  <c r="Y43" i="3"/>
  <c r="AS716" i="3"/>
  <c r="B516" i="3"/>
  <c r="B252" i="3"/>
  <c r="B200" i="3"/>
  <c r="AS148" i="3"/>
  <c r="AR148" i="3" s="1"/>
  <c r="Y46" i="3"/>
  <c r="W207" i="3"/>
  <c r="Y152" i="3"/>
  <c r="AR429" i="3"/>
  <c r="B235" i="3"/>
  <c r="AS183" i="3"/>
  <c r="Y81" i="3"/>
  <c r="W30" i="3"/>
  <c r="W519" i="3"/>
  <c r="AR515" i="3"/>
  <c r="W251" i="3"/>
  <c r="AR199" i="3"/>
  <c r="Y148" i="3"/>
  <c r="W97" i="3"/>
  <c r="B46" i="3"/>
  <c r="B108" i="3"/>
  <c r="Y216" i="3"/>
  <c r="W429" i="3"/>
  <c r="Y183" i="3"/>
  <c r="W132" i="3"/>
  <c r="B81" i="3"/>
  <c r="AS29" i="3"/>
  <c r="AR29" i="3" s="1"/>
  <c r="AS451" i="3"/>
  <c r="AR451" i="3" s="1"/>
  <c r="B580" i="3"/>
  <c r="AS307" i="3"/>
  <c r="AR307" i="3" s="1"/>
  <c r="B212" i="3"/>
  <c r="AS160" i="3"/>
  <c r="AR160" i="3" s="1"/>
  <c r="Y58" i="3"/>
  <c r="AS400" i="3"/>
  <c r="B162" i="3"/>
  <c r="Y442" i="3"/>
  <c r="Y237" i="3"/>
  <c r="W186" i="3"/>
  <c r="B135" i="3"/>
  <c r="AS83" i="3"/>
  <c r="AR32" i="3"/>
  <c r="W333" i="3"/>
  <c r="AS560" i="3"/>
  <c r="AR288" i="3"/>
  <c r="Y208" i="3"/>
  <c r="W157" i="3"/>
  <c r="B106" i="3"/>
  <c r="AS54" i="3"/>
  <c r="Y333" i="3"/>
  <c r="W85" i="3"/>
  <c r="AS390" i="3"/>
  <c r="Y227" i="3"/>
  <c r="W176" i="3"/>
  <c r="B125" i="3"/>
  <c r="AS73" i="3"/>
  <c r="AR22" i="3"/>
  <c r="W229" i="3"/>
  <c r="AS406" i="3"/>
  <c r="Y230" i="3"/>
  <c r="W179" i="3"/>
  <c r="B128" i="3"/>
  <c r="AS76" i="3"/>
  <c r="AR76" i="3" s="1"/>
  <c r="AR25" i="3"/>
  <c r="AS91" i="3"/>
  <c r="Y541" i="3"/>
  <c r="W269" i="3"/>
  <c r="AR204" i="3"/>
  <c r="W102" i="3"/>
  <c r="B51" i="3"/>
  <c r="AR91" i="3"/>
  <c r="AS890" i="3"/>
  <c r="AR890" i="3" s="1"/>
  <c r="W666" i="3"/>
  <c r="W768" i="3"/>
  <c r="AR943" i="3"/>
  <c r="AR818" i="3"/>
  <c r="Y355" i="3"/>
  <c r="AR361" i="3"/>
  <c r="AS383" i="3"/>
  <c r="AR383" i="3" s="1"/>
  <c r="W457" i="3"/>
  <c r="W598" i="3"/>
  <c r="Y335" i="3"/>
  <c r="B444" i="3"/>
  <c r="Y581" i="3"/>
  <c r="B319" i="3"/>
  <c r="AS430" i="3"/>
  <c r="AR430" i="3" s="1"/>
  <c r="AR574" i="3"/>
  <c r="W312" i="3"/>
  <c r="W459" i="3"/>
  <c r="Y977" i="3"/>
  <c r="Y449" i="3"/>
  <c r="W899" i="3"/>
  <c r="AR439" i="3"/>
  <c r="B270" i="3"/>
  <c r="AS541" i="3"/>
  <c r="AR541" i="3" s="1"/>
  <c r="B401" i="3"/>
  <c r="Y311" i="3"/>
  <c r="B535" i="3"/>
  <c r="W232" i="3"/>
  <c r="W168" i="3"/>
  <c r="W104" i="3"/>
  <c r="W40" i="3"/>
  <c r="Y197" i="3"/>
  <c r="AS499" i="3"/>
  <c r="AR499" i="3" s="1"/>
  <c r="B248" i="3"/>
  <c r="AS196" i="3"/>
  <c r="AR196" i="3" s="1"/>
  <c r="Y94" i="3"/>
  <c r="W43" i="3"/>
  <c r="AS168" i="3"/>
  <c r="B114" i="3"/>
  <c r="Y413" i="3"/>
  <c r="AS231" i="3"/>
  <c r="Y129" i="3"/>
  <c r="W78" i="3"/>
  <c r="B27" i="3"/>
  <c r="W298" i="3"/>
  <c r="AS496" i="3"/>
  <c r="AR496" i="3" s="1"/>
  <c r="AR247" i="3"/>
  <c r="Y196" i="3"/>
  <c r="W145" i="3"/>
  <c r="B94" i="3"/>
  <c r="AS42" i="3"/>
  <c r="AR42" i="3" s="1"/>
  <c r="B76" i="3"/>
  <c r="AS110" i="3"/>
  <c r="Y410" i="3"/>
  <c r="Y231" i="3"/>
  <c r="W180" i="3"/>
  <c r="B129" i="3"/>
  <c r="AS77" i="3"/>
  <c r="AR77" i="3" s="1"/>
  <c r="W178" i="3"/>
  <c r="AS563" i="3"/>
  <c r="AR563" i="3" s="1"/>
  <c r="AR291" i="3"/>
  <c r="AS208" i="3"/>
  <c r="AR208" i="3" s="1"/>
  <c r="AR157" i="3"/>
  <c r="Y106" i="3"/>
  <c r="W55" i="3"/>
  <c r="Y368" i="3"/>
  <c r="B130" i="3"/>
  <c r="W426" i="3"/>
  <c r="W234" i="3"/>
  <c r="B183" i="3"/>
  <c r="AS131" i="3"/>
  <c r="AR131" i="3" s="1"/>
  <c r="AR80" i="3"/>
  <c r="Y29" i="3"/>
  <c r="Y229" i="3"/>
  <c r="AR544" i="3"/>
  <c r="Y272" i="3"/>
  <c r="W205" i="3"/>
  <c r="B154" i="3"/>
  <c r="AS102" i="3"/>
  <c r="AR51" i="3"/>
  <c r="AS104" i="3"/>
  <c r="Y918" i="3"/>
  <c r="B372" i="3"/>
  <c r="W224" i="3"/>
  <c r="B173" i="3"/>
  <c r="AS121" i="3"/>
  <c r="AR70" i="3"/>
  <c r="Y19" i="3"/>
  <c r="W181" i="3"/>
  <c r="B388" i="3"/>
  <c r="W227" i="3"/>
  <c r="B176" i="3"/>
  <c r="AS124" i="3"/>
  <c r="AR124" i="3" s="1"/>
  <c r="AR73" i="3"/>
  <c r="Y22" i="3"/>
  <c r="Y69" i="3"/>
  <c r="W525" i="3"/>
  <c r="W254" i="3"/>
  <c r="Y201" i="3"/>
  <c r="W150" i="3"/>
  <c r="B99" i="3"/>
  <c r="AS47" i="3"/>
  <c r="AR47" i="3" s="1"/>
  <c r="AS136" i="3"/>
  <c r="AS892" i="3"/>
  <c r="AS368" i="3"/>
  <c r="AR223" i="3"/>
  <c r="Y172" i="3"/>
  <c r="W121" i="3"/>
  <c r="B70" i="3"/>
  <c r="AS18" i="3"/>
  <c r="Y586" i="3"/>
  <c r="B471" i="3"/>
  <c r="AR242" i="3"/>
  <c r="Y191" i="3"/>
  <c r="W140" i="3"/>
  <c r="B89" i="3"/>
  <c r="AS37" i="3"/>
  <c r="Y114" i="3"/>
  <c r="Y200" i="3"/>
  <c r="AR43" i="3"/>
  <c r="AS46" i="3"/>
  <c r="AS30" i="3"/>
  <c r="AS618" i="3"/>
  <c r="AR618" i="3" s="1"/>
  <c r="W957" i="3"/>
  <c r="W752" i="3"/>
  <c r="B918" i="3"/>
  <c r="AS757" i="3"/>
  <c r="B349" i="3"/>
  <c r="Y342" i="3"/>
  <c r="B339" i="3"/>
  <c r="AS450" i="3"/>
  <c r="AR450" i="3" s="1"/>
  <c r="Y591" i="3"/>
  <c r="B297" i="3"/>
  <c r="AR437" i="3"/>
  <c r="B575" i="3"/>
  <c r="AR280" i="3"/>
  <c r="Y424" i="3"/>
  <c r="W568" i="3"/>
  <c r="AS273" i="3"/>
  <c r="AR273" i="3" s="1"/>
  <c r="AS420" i="3"/>
  <c r="AR420" i="3" s="1"/>
  <c r="W670" i="3"/>
  <c r="B411" i="3"/>
  <c r="Y609" i="3"/>
  <c r="W401" i="3"/>
  <c r="W257" i="3"/>
  <c r="AR538" i="3"/>
  <c r="AS397" i="3"/>
  <c r="AR397" i="3" s="1"/>
  <c r="B305" i="3"/>
  <c r="B500" i="3"/>
  <c r="B229" i="3"/>
  <c r="B165" i="3"/>
  <c r="B101" i="3"/>
  <c r="B37" i="3"/>
  <c r="B484" i="3"/>
  <c r="AS244" i="3"/>
  <c r="AR244" i="3" s="1"/>
  <c r="AR193" i="3"/>
  <c r="Y142" i="3"/>
  <c r="W91" i="3"/>
  <c r="B40" i="3"/>
  <c r="Y146" i="3"/>
  <c r="Y88" i="3"/>
  <c r="W397" i="3"/>
  <c r="Y177" i="3"/>
  <c r="W126" i="3"/>
  <c r="B75" i="3"/>
  <c r="AS23" i="3"/>
  <c r="AS235" i="3"/>
  <c r="AR480" i="3"/>
  <c r="Y244" i="3"/>
  <c r="W193" i="3"/>
  <c r="B142" i="3"/>
  <c r="AS90" i="3"/>
  <c r="AR90" i="3" s="1"/>
  <c r="AR39" i="3"/>
  <c r="B44" i="3"/>
  <c r="AS78" i="3"/>
  <c r="W394" i="3"/>
  <c r="W228" i="3"/>
  <c r="B177" i="3"/>
  <c r="AS125" i="3"/>
  <c r="AR125" i="3" s="1"/>
  <c r="Y23" i="3"/>
  <c r="Y133" i="3"/>
  <c r="AR547" i="3"/>
  <c r="AS272" i="3"/>
  <c r="AR272" i="3" s="1"/>
  <c r="AR205" i="3"/>
  <c r="Y154" i="3"/>
  <c r="W103" i="3"/>
  <c r="B52" i="3"/>
  <c r="B266" i="3"/>
  <c r="B98" i="3"/>
  <c r="B410" i="3"/>
  <c r="B231" i="3"/>
  <c r="AS179" i="3"/>
  <c r="AR179" i="3" s="1"/>
  <c r="AR128" i="3"/>
  <c r="Y77" i="3"/>
  <c r="W26" i="3"/>
  <c r="W194" i="3"/>
  <c r="Y528" i="3"/>
  <c r="W256" i="3"/>
  <c r="B202" i="3"/>
  <c r="AS150" i="3"/>
  <c r="AR150" i="3" s="1"/>
  <c r="AR99" i="3"/>
  <c r="Y48" i="3"/>
  <c r="W63" i="3"/>
  <c r="B768" i="3"/>
  <c r="AS355" i="3"/>
  <c r="B221" i="3"/>
  <c r="AS169" i="3"/>
  <c r="AR118" i="3"/>
  <c r="Y67" i="3"/>
  <c r="W16" i="3"/>
  <c r="B896" i="3"/>
  <c r="AS371" i="3"/>
  <c r="AR371" i="3" s="1"/>
  <c r="B224" i="3"/>
  <c r="AS172" i="3"/>
  <c r="AR172" i="3" s="1"/>
  <c r="AR121" i="3"/>
  <c r="Y70" i="3"/>
  <c r="W19" i="3"/>
  <c r="AS467" i="3"/>
  <c r="Y506" i="3"/>
  <c r="Y249" i="3"/>
  <c r="W198" i="3"/>
  <c r="B147" i="3"/>
  <c r="AS95" i="3"/>
  <c r="AR44" i="3"/>
  <c r="W111" i="3"/>
  <c r="Y742" i="3"/>
  <c r="AR352" i="3"/>
  <c r="Y220" i="3"/>
  <c r="W169" i="3"/>
  <c r="B118" i="3"/>
  <c r="AS66" i="3"/>
  <c r="AR66" i="3" s="1"/>
  <c r="AR15" i="3"/>
  <c r="Y330" i="3"/>
  <c r="AS454" i="3"/>
  <c r="Y239" i="3"/>
  <c r="W188" i="3"/>
  <c r="B137" i="3"/>
  <c r="AS85" i="3"/>
  <c r="AR34" i="3"/>
  <c r="AS88" i="3"/>
  <c r="AR88" i="3" s="1"/>
  <c r="AR171" i="3"/>
  <c r="AS957" i="3"/>
  <c r="AR957" i="3" s="1"/>
  <c r="Y944" i="3"/>
  <c r="AS745" i="3"/>
  <c r="AR745" i="3" s="1"/>
  <c r="AR847" i="3"/>
  <c r="Y339" i="3"/>
  <c r="AS284" i="3"/>
  <c r="AR284" i="3" s="1"/>
  <c r="Y329" i="3"/>
  <c r="Y444" i="3"/>
  <c r="B553" i="3"/>
  <c r="AR290" i="3"/>
  <c r="W431" i="3"/>
  <c r="AR536" i="3"/>
  <c r="W274" i="3"/>
  <c r="B418" i="3"/>
  <c r="AS529" i="3"/>
  <c r="AR529" i="3" s="1"/>
  <c r="Y267" i="3"/>
  <c r="Y414" i="3"/>
  <c r="B619" i="3"/>
  <c r="AR404" i="3"/>
  <c r="AR600" i="3"/>
  <c r="AS394" i="3"/>
  <c r="AR394" i="3" s="1"/>
  <c r="W974" i="3"/>
  <c r="AR522" i="3"/>
  <c r="Y391" i="3"/>
  <c r="AR298" i="3"/>
  <c r="AS483" i="3"/>
  <c r="AR483" i="3" s="1"/>
  <c r="AS225" i="3"/>
  <c r="AR225" i="3" s="1"/>
  <c r="AS161" i="3"/>
  <c r="AR161" i="3" s="1"/>
  <c r="AS97" i="3"/>
  <c r="AR97" i="3" s="1"/>
  <c r="AS33" i="3"/>
  <c r="W349" i="3"/>
  <c r="AS464" i="3"/>
  <c r="AR464" i="3" s="1"/>
  <c r="AR241" i="3"/>
  <c r="Y190" i="3"/>
  <c r="W139" i="3"/>
  <c r="B88" i="3"/>
  <c r="AS36" i="3"/>
  <c r="AR36" i="3" s="1"/>
  <c r="AS120" i="3"/>
  <c r="AR120" i="3" s="1"/>
  <c r="AR969" i="3"/>
  <c r="Y378" i="3"/>
  <c r="Y225" i="3"/>
  <c r="W174" i="3"/>
  <c r="B123" i="3"/>
  <c r="AS71" i="3"/>
  <c r="AR71" i="3" s="1"/>
  <c r="AR20" i="3"/>
  <c r="Y149" i="3"/>
  <c r="Y464" i="3"/>
  <c r="W241" i="3"/>
  <c r="B190" i="3"/>
  <c r="AS138" i="3"/>
  <c r="AR138" i="3" s="1"/>
  <c r="AR87" i="3"/>
  <c r="Y36" i="3"/>
  <c r="AS9" i="3"/>
  <c r="AR9" i="3" s="1"/>
  <c r="Y945" i="3"/>
  <c r="B378" i="3"/>
  <c r="B225" i="3"/>
  <c r="AS173" i="3"/>
  <c r="AR173" i="3" s="1"/>
  <c r="AR122" i="3"/>
  <c r="Y71" i="3"/>
  <c r="W20" i="3"/>
  <c r="Y101" i="3"/>
  <c r="AS528" i="3"/>
  <c r="AR528" i="3" s="1"/>
  <c r="AR256" i="3"/>
  <c r="Y202" i="3"/>
  <c r="W151" i="3"/>
  <c r="B100" i="3"/>
  <c r="AS48" i="3"/>
  <c r="AR48" i="3" s="1"/>
  <c r="B236" i="3"/>
  <c r="B66" i="3"/>
  <c r="W391" i="3"/>
  <c r="AS227" i="3"/>
  <c r="AR227" i="3" s="1"/>
  <c r="AR176" i="3"/>
  <c r="Y125" i="3"/>
  <c r="W74" i="3"/>
  <c r="B23" i="3"/>
  <c r="AR168" i="3"/>
  <c r="B250" i="3"/>
  <c r="AS198" i="3"/>
  <c r="AR198" i="3" s="1"/>
  <c r="AR147" i="3"/>
  <c r="Y96" i="3"/>
  <c r="W45" i="3"/>
  <c r="AS24" i="3"/>
  <c r="AR24" i="3" s="1"/>
  <c r="W638" i="3"/>
  <c r="AR339" i="3"/>
  <c r="AS217" i="3"/>
  <c r="AR166" i="3"/>
  <c r="Y115" i="3"/>
  <c r="W64" i="3"/>
  <c r="B13" i="3"/>
  <c r="W766" i="3"/>
  <c r="AR355" i="3"/>
  <c r="AS220" i="3"/>
  <c r="AR220" i="3" s="1"/>
  <c r="AR169" i="3"/>
  <c r="Y118" i="3"/>
  <c r="W67" i="3"/>
  <c r="B16" i="3"/>
  <c r="Y400" i="3"/>
  <c r="W490" i="3"/>
  <c r="W246" i="3"/>
  <c r="B195" i="3"/>
  <c r="AS143" i="3"/>
  <c r="AR143" i="3" s="1"/>
  <c r="AR92" i="3"/>
  <c r="Y41" i="3"/>
  <c r="B608" i="3"/>
  <c r="Y615" i="3"/>
  <c r="Y336" i="3"/>
  <c r="W217" i="3"/>
  <c r="B166" i="3"/>
  <c r="AS114" i="3"/>
  <c r="AR63" i="3"/>
  <c r="W10" i="3"/>
  <c r="AR235" i="3"/>
  <c r="B436" i="3"/>
  <c r="W236" i="3"/>
  <c r="B185" i="3"/>
  <c r="AS133" i="3"/>
  <c r="AR82" i="3"/>
  <c r="Y31" i="3"/>
  <c r="Y66" i="3"/>
  <c r="Y104" i="3"/>
  <c r="AR762" i="3"/>
  <c r="AR915" i="3"/>
  <c r="AS649" i="3"/>
  <c r="AR649" i="3" s="1"/>
  <c r="W841" i="3"/>
  <c r="B729" i="3"/>
  <c r="W272" i="3"/>
  <c r="Y278" i="3"/>
  <c r="B323" i="3"/>
  <c r="B406" i="3"/>
  <c r="AR546" i="3"/>
  <c r="W284" i="3"/>
  <c r="AS392" i="3"/>
  <c r="AR392" i="3" s="1"/>
  <c r="W530" i="3"/>
  <c r="AS267" i="3"/>
  <c r="AR267" i="3" s="1"/>
  <c r="AR379" i="3"/>
  <c r="Y523" i="3"/>
  <c r="B261" i="3"/>
  <c r="W411" i="3"/>
  <c r="AS609" i="3"/>
  <c r="Y401" i="3"/>
  <c r="AR596" i="3"/>
  <c r="AR391" i="3"/>
  <c r="B923" i="3"/>
  <c r="AS509" i="3"/>
  <c r="AR509" i="3" s="1"/>
  <c r="W388" i="3"/>
  <c r="Y295" i="3"/>
  <c r="Y416" i="3"/>
  <c r="Y219" i="3"/>
  <c r="Y155" i="3"/>
  <c r="Y91" i="3"/>
  <c r="Y27" i="3"/>
  <c r="B242" i="3"/>
  <c r="AR448" i="3"/>
  <c r="Y238" i="3"/>
  <c r="W187" i="3"/>
  <c r="B136" i="3"/>
  <c r="AS84" i="3"/>
  <c r="AR84" i="3" s="1"/>
  <c r="AR33" i="3"/>
  <c r="Y34" i="3"/>
  <c r="W819" i="3"/>
  <c r="W362" i="3"/>
  <c r="W222" i="3"/>
  <c r="B171" i="3"/>
  <c r="AS119" i="3"/>
  <c r="AR119" i="3" s="1"/>
  <c r="AR68" i="3"/>
  <c r="Y17" i="3"/>
  <c r="AS27" i="3"/>
  <c r="AR27" i="3" s="1"/>
  <c r="AR445" i="3"/>
  <c r="B238" i="3"/>
  <c r="AS186" i="3"/>
  <c r="AR186" i="3" s="1"/>
  <c r="AR135" i="3"/>
  <c r="Y84" i="3"/>
  <c r="W33" i="3"/>
  <c r="W589" i="3"/>
  <c r="B816" i="3"/>
  <c r="W359" i="3"/>
  <c r="AS221" i="3"/>
  <c r="AR221" i="3" s="1"/>
  <c r="AR170" i="3"/>
  <c r="Y119" i="3"/>
  <c r="W68" i="3"/>
  <c r="B17" i="3"/>
  <c r="W66" i="3"/>
  <c r="AR512" i="3"/>
  <c r="Y250" i="3"/>
  <c r="W199" i="3"/>
  <c r="B148" i="3"/>
  <c r="AS96" i="3"/>
  <c r="AR96" i="3" s="1"/>
  <c r="AR45" i="3"/>
  <c r="Y210" i="3"/>
  <c r="AR921" i="3"/>
  <c r="B375" i="3"/>
  <c r="AR224" i="3"/>
  <c r="Y173" i="3"/>
  <c r="W122" i="3"/>
  <c r="B71" i="3"/>
  <c r="AS19" i="3"/>
  <c r="AR19" i="3" s="1"/>
  <c r="W98" i="3"/>
  <c r="Y493" i="3"/>
  <c r="AS246" i="3"/>
  <c r="AR246" i="3" s="1"/>
  <c r="AR195" i="3"/>
  <c r="Y144" i="3"/>
  <c r="W93" i="3"/>
  <c r="B42" i="3"/>
  <c r="W867" i="3"/>
  <c r="AS595" i="3"/>
  <c r="AS320" i="3"/>
  <c r="AR214" i="3"/>
  <c r="Y163" i="3"/>
  <c r="W112" i="3"/>
  <c r="B61" i="3"/>
  <c r="AS10" i="3"/>
  <c r="AS636" i="3"/>
  <c r="AS336" i="3"/>
  <c r="AR336" i="3" s="1"/>
  <c r="AR217" i="3"/>
  <c r="Y166" i="3"/>
  <c r="W115" i="3"/>
  <c r="B64" i="3"/>
  <c r="AR10" i="3"/>
  <c r="Y248" i="3"/>
  <c r="B474" i="3"/>
  <c r="B243" i="3"/>
  <c r="AS191" i="3"/>
  <c r="AR191" i="3" s="1"/>
  <c r="AR140" i="3"/>
  <c r="Y89" i="3"/>
  <c r="W38" i="3"/>
  <c r="B282" i="3"/>
  <c r="Y592" i="3"/>
  <c r="AR317" i="3"/>
  <c r="B214" i="3"/>
  <c r="AS162" i="3"/>
  <c r="AR162" i="3" s="1"/>
  <c r="AR111" i="3"/>
  <c r="Y60" i="3"/>
  <c r="AR868" i="3"/>
  <c r="B146" i="3"/>
  <c r="AS419" i="3"/>
  <c r="AR419" i="3" s="1"/>
  <c r="B233" i="3"/>
  <c r="AS181" i="3"/>
  <c r="AR130" i="3"/>
  <c r="Y79" i="3"/>
  <c r="W28" i="3"/>
  <c r="AS40" i="3"/>
  <c r="AS62" i="3"/>
  <c r="B18" i="3"/>
  <c r="B753" i="3"/>
  <c r="B864" i="3"/>
  <c r="B832" i="3"/>
  <c r="AS748" i="3"/>
  <c r="Y372" i="3"/>
  <c r="W330" i="3"/>
  <c r="Y432" i="3"/>
  <c r="W27" i="3"/>
  <c r="Y161" i="3"/>
  <c r="AS234" i="3"/>
  <c r="AR234" i="3" s="1"/>
  <c r="B239" i="3"/>
  <c r="AS109" i="3"/>
  <c r="AR109" i="3" s="1"/>
  <c r="B196" i="3"/>
  <c r="Y662" i="3"/>
  <c r="Y61" i="3"/>
  <c r="W141" i="3"/>
  <c r="Y288" i="3"/>
  <c r="AS200" i="3"/>
  <c r="AS60" i="3"/>
  <c r="AR60" i="3" s="1"/>
  <c r="Y185" i="3"/>
  <c r="Y557" i="3"/>
  <c r="AS146" i="3"/>
  <c r="AR146" i="3" s="1"/>
  <c r="AS12" i="3"/>
  <c r="AR178" i="3"/>
  <c r="B25" i="3"/>
  <c r="AS14" i="3"/>
  <c r="B138" i="3"/>
  <c r="AS592" i="3"/>
  <c r="AR592" i="3" s="1"/>
  <c r="Y124" i="3"/>
  <c r="Y175" i="3"/>
  <c r="Y314" i="3"/>
  <c r="AR114" i="3"/>
  <c r="AS607" i="3"/>
  <c r="AR243" i="3"/>
  <c r="B219" i="3"/>
  <c r="B160" i="3"/>
  <c r="Y233" i="3"/>
  <c r="Y346" i="3"/>
  <c r="Y986" i="3"/>
  <c r="AR585" i="3"/>
  <c r="Y386" i="3"/>
  <c r="AR697" i="3"/>
  <c r="B350" i="3"/>
  <c r="W216" i="3"/>
  <c r="AR413" i="3"/>
  <c r="B24" i="3"/>
  <c r="AR116" i="3"/>
  <c r="AR231" i="3"/>
  <c r="B207" i="3"/>
  <c r="B65" i="3"/>
  <c r="AS192" i="3"/>
  <c r="AR192" i="3" s="1"/>
  <c r="W596" i="3"/>
  <c r="AR16" i="3"/>
  <c r="AR269" i="3"/>
  <c r="W182" i="3"/>
  <c r="W541" i="3"/>
  <c r="AS94" i="3"/>
  <c r="AS21" i="3"/>
  <c r="W165" i="3"/>
  <c r="AR129" i="3"/>
  <c r="AS245" i="3"/>
  <c r="B289" i="3"/>
  <c r="B36" i="3"/>
  <c r="AR12" i="3"/>
  <c r="B113" i="3"/>
  <c r="W242" i="3"/>
  <c r="B980" i="3"/>
  <c r="B272" i="3"/>
  <c r="B380" i="3"/>
  <c r="Y646" i="3"/>
  <c r="Y897" i="3"/>
  <c r="B213" i="3"/>
  <c r="Y397" i="3"/>
  <c r="W554" i="3"/>
  <c r="Y113" i="3"/>
  <c r="Y228" i="3"/>
  <c r="AR665" i="3"/>
  <c r="AS61" i="3"/>
  <c r="AR61" i="3" s="1"/>
  <c r="AR189" i="3"/>
  <c r="AS358" i="3"/>
  <c r="Y13" i="3"/>
  <c r="AS134" i="3"/>
  <c r="AR134" i="3" s="1"/>
  <c r="Y211" i="3"/>
  <c r="Y54" i="3"/>
  <c r="Y137" i="3"/>
  <c r="W506" i="3"/>
  <c r="Y108" i="3"/>
  <c r="W69" i="3"/>
  <c r="W172" i="3"/>
  <c r="AR18" i="3"/>
  <c r="B538" i="3"/>
  <c r="B54" i="3"/>
  <c r="W24" i="3"/>
  <c r="Y204" i="3"/>
  <c r="Y126" i="3"/>
  <c r="AR477" i="3"/>
  <c r="AS940" i="3"/>
  <c r="AS791" i="3"/>
  <c r="B41" i="3"/>
  <c r="B842" i="3"/>
  <c r="W734" i="3"/>
  <c r="AR341" i="3"/>
  <c r="B408" i="3"/>
  <c r="AS871" i="3"/>
  <c r="AS209" i="3"/>
  <c r="AR209" i="3" s="1"/>
  <c r="W235" i="3"/>
  <c r="AR365" i="3"/>
  <c r="W110" i="3"/>
  <c r="AR183" i="3"/>
  <c r="AS599" i="3"/>
  <c r="AR599" i="3" s="1"/>
  <c r="AR58" i="3"/>
  <c r="AS144" i="3"/>
  <c r="AR144" i="3" s="1"/>
  <c r="B340" i="3"/>
  <c r="W11" i="3"/>
  <c r="B90" i="3"/>
  <c r="W208" i="3"/>
  <c r="Y560" i="3"/>
  <c r="B609" i="3"/>
  <c r="W134" i="3"/>
  <c r="Y301" i="3"/>
  <c r="W105" i="3"/>
  <c r="Y870" i="3"/>
  <c r="AS165" i="3"/>
  <c r="B10" i="3"/>
  <c r="Y614" i="3"/>
  <c r="B204" i="3"/>
  <c r="AR368" i="3"/>
  <c r="B311" i="3"/>
  <c r="AS107" i="3"/>
  <c r="AR107" i="3" s="1"/>
  <c r="W92" i="3"/>
  <c r="AS366" i="3"/>
  <c r="AR366" i="3" s="1"/>
  <c r="B119" i="3"/>
  <c r="W76" i="3"/>
  <c r="Y9" i="3"/>
  <c r="W472" i="3"/>
  <c r="AR188" i="3"/>
  <c r="W813" i="3"/>
  <c r="B683" i="3"/>
  <c r="AS523" i="3"/>
  <c r="AR523" i="3" s="1"/>
  <c r="AR369" i="3"/>
  <c r="AS743" i="3"/>
  <c r="W152" i="3"/>
  <c r="B232" i="3"/>
  <c r="Y213" i="3"/>
  <c r="Y65" i="3"/>
  <c r="Y180" i="3"/>
  <c r="AS582" i="3"/>
  <c r="AS13" i="3"/>
  <c r="AR13" i="3" s="1"/>
  <c r="AR141" i="3"/>
  <c r="AS323" i="3"/>
  <c r="AR323" i="3" s="1"/>
  <c r="AR56" i="3"/>
  <c r="AS86" i="3"/>
  <c r="AR86" i="3" s="1"/>
  <c r="B205" i="3"/>
  <c r="AR320" i="3"/>
  <c r="W282" i="3"/>
  <c r="B131" i="3"/>
  <c r="W285" i="3"/>
  <c r="B102" i="3"/>
  <c r="Y143" i="3"/>
  <c r="AS354" i="3"/>
  <c r="AR354" i="3" s="1"/>
  <c r="W212" i="3"/>
  <c r="W163" i="3"/>
  <c r="W540" i="3"/>
  <c r="Y167" i="3"/>
  <c r="B198" i="3"/>
  <c r="B217" i="3"/>
  <c r="Y388" i="3"/>
  <c r="Y554" i="3"/>
  <c r="Y24" i="3"/>
  <c r="AS806" i="3"/>
  <c r="AR806" i="3" s="1"/>
  <c r="B275" i="3"/>
  <c r="Y485" i="3"/>
  <c r="W363" i="3"/>
  <c r="W500" i="3"/>
  <c r="B149" i="3"/>
  <c r="AS228" i="3"/>
  <c r="AR228" i="3" s="1"/>
  <c r="Y689" i="3"/>
  <c r="W62" i="3"/>
  <c r="W177" i="3"/>
  <c r="B343" i="3"/>
  <c r="AR11" i="3"/>
  <c r="Y138" i="3"/>
  <c r="Y221" i="3"/>
  <c r="AS502" i="3"/>
  <c r="AR83" i="3"/>
  <c r="W160" i="3"/>
  <c r="Y304" i="3"/>
  <c r="AS216" i="3"/>
  <c r="W86" i="3"/>
  <c r="Y266" i="3"/>
  <c r="AR95" i="3"/>
  <c r="W487" i="3"/>
  <c r="Y127" i="3"/>
  <c r="W143" i="3"/>
  <c r="AR403" i="3"/>
  <c r="W373" i="3"/>
  <c r="AR28" i="3"/>
  <c r="AS75" i="3"/>
  <c r="B22" i="3"/>
  <c r="AR136" i="3"/>
  <c r="AS240" i="3"/>
  <c r="AR240" i="3" s="1"/>
  <c r="AR194" i="3"/>
  <c r="Y643" i="3"/>
  <c r="AR268" i="3"/>
  <c r="B479" i="3"/>
  <c r="AS604" i="3"/>
  <c r="AR604" i="3" s="1"/>
  <c r="AS493" i="3"/>
  <c r="AR493" i="3" s="1"/>
  <c r="AS145" i="3"/>
  <c r="AR145" i="3" s="1"/>
  <c r="B184" i="3"/>
  <c r="AS603" i="3"/>
  <c r="B59" i="3"/>
  <c r="Y132" i="3"/>
  <c r="AS326" i="3"/>
  <c r="Y8" i="3"/>
  <c r="AR93" i="3"/>
  <c r="W218" i="3"/>
  <c r="W314" i="3"/>
  <c r="AS38" i="3"/>
  <c r="AR38" i="3" s="1"/>
  <c r="B157" i="3"/>
  <c r="Y232" i="3"/>
  <c r="B83" i="3"/>
  <c r="W249" i="3"/>
  <c r="W73" i="3"/>
  <c r="W124" i="3"/>
  <c r="W226" i="3"/>
  <c r="AS359" i="3"/>
  <c r="AR359" i="3" s="1"/>
  <c r="Y496" i="3"/>
  <c r="B439" i="3"/>
  <c r="AS738" i="3"/>
  <c r="AR738" i="3" s="1"/>
  <c r="Y120" i="3"/>
  <c r="AS219" i="3"/>
  <c r="W189" i="3"/>
  <c r="Y63" i="3"/>
  <c r="AR164" i="3"/>
  <c r="AR630" i="3"/>
  <c r="W262" i="3"/>
  <c r="AS828" i="3"/>
  <c r="AR564" i="3"/>
  <c r="AR490" i="3"/>
  <c r="W88" i="3"/>
  <c r="AS180" i="3"/>
  <c r="AR180" i="3" s="1"/>
  <c r="W583" i="3"/>
  <c r="W14" i="3"/>
  <c r="W129" i="3"/>
  <c r="B308" i="3"/>
  <c r="Y37" i="3"/>
  <c r="Y90" i="3"/>
  <c r="B215" i="3"/>
  <c r="W477" i="3"/>
  <c r="AR35" i="3"/>
  <c r="AS153" i="3"/>
  <c r="AR153" i="3" s="1"/>
  <c r="Y214" i="3"/>
  <c r="W197" i="3"/>
  <c r="AS79" i="3"/>
  <c r="AR79" i="3" s="1"/>
  <c r="AS226" i="3"/>
  <c r="W57" i="3"/>
  <c r="AS384" i="3"/>
  <c r="B121" i="3"/>
  <c r="B35" i="3"/>
  <c r="B369" i="3"/>
  <c r="W39" i="3"/>
  <c r="Y44" i="3"/>
  <c r="Y353" i="3"/>
  <c r="Y240" i="3"/>
  <c r="AS108" i="3"/>
  <c r="AR108" i="3" s="1"/>
  <c r="W883" i="3"/>
  <c r="B186" i="3"/>
  <c r="W934" i="3"/>
  <c r="AR399" i="3"/>
  <c r="AR777" i="3"/>
  <c r="W558" i="3"/>
  <c r="B385" i="3"/>
  <c r="B85" i="3"/>
  <c r="AR177" i="3"/>
  <c r="B346" i="3"/>
  <c r="B12" i="3"/>
  <c r="B126" i="3"/>
  <c r="AR218" i="3"/>
  <c r="AS844" i="3"/>
  <c r="W87" i="3"/>
  <c r="W170" i="3"/>
  <c r="Y458" i="3"/>
  <c r="Y32" i="3"/>
  <c r="B109" i="3"/>
  <c r="W211" i="3"/>
  <c r="AS210" i="3"/>
  <c r="AR210" i="3" s="1"/>
  <c r="B78" i="3"/>
  <c r="AR102" i="3"/>
  <c r="AS74" i="3"/>
  <c r="AR74" i="3" s="1"/>
  <c r="AS422" i="3"/>
  <c r="AS229" i="3"/>
  <c r="Y10" i="3"/>
  <c r="Y72" i="3"/>
  <c r="AR573" i="3"/>
  <c r="AR815" i="3"/>
  <c r="W393" i="3"/>
  <c r="Y726" i="3"/>
  <c r="W398" i="3"/>
  <c r="W372" i="3"/>
  <c r="AS81" i="3"/>
  <c r="AS132" i="3"/>
  <c r="AR132" i="3" s="1"/>
  <c r="W327" i="3"/>
  <c r="AS8" i="3"/>
  <c r="AR8" i="3" s="1"/>
  <c r="W81" i="3"/>
  <c r="Y215" i="3"/>
  <c r="B298" i="3"/>
  <c r="Y42" i="3"/>
  <c r="B167" i="3"/>
  <c r="W442" i="3"/>
  <c r="Y245" i="3"/>
  <c r="AS105" i="3"/>
  <c r="AR105" i="3" s="1"/>
  <c r="B208" i="3"/>
  <c r="W455" i="3"/>
  <c r="AS31" i="3"/>
  <c r="AR31" i="3" s="1"/>
  <c r="AR207" i="3"/>
  <c r="AS50" i="3"/>
  <c r="AR50" i="3" s="1"/>
  <c r="AR333" i="3"/>
  <c r="AR98" i="3"/>
  <c r="W162" i="3"/>
  <c r="W745" i="3"/>
  <c r="AS163" i="3"/>
  <c r="AR163" i="3" s="1"/>
  <c r="W245" i="3"/>
  <c r="B21" i="3"/>
  <c r="AS57" i="3"/>
  <c r="AR57" i="3" s="1"/>
  <c r="Y544" i="3"/>
  <c r="Y30" i="3"/>
  <c r="AR64" i="3"/>
  <c r="Y671" i="3"/>
  <c r="AS501" i="3"/>
  <c r="AR501" i="3" s="1"/>
  <c r="Y328" i="3"/>
  <c r="W593" i="3"/>
  <c r="AS285" i="3"/>
  <c r="AR285" i="3" s="1"/>
  <c r="AS17" i="3"/>
  <c r="AR17" i="3" s="1"/>
  <c r="AR81" i="3"/>
  <c r="AS215" i="3"/>
  <c r="AR215" i="3" s="1"/>
  <c r="B82" i="3"/>
  <c r="B30" i="3"/>
  <c r="W164" i="3"/>
  <c r="Y461" i="3"/>
  <c r="W175" i="3"/>
  <c r="AS115" i="3"/>
  <c r="AR115" i="3" s="1"/>
  <c r="W237" i="3"/>
  <c r="AS576" i="3"/>
  <c r="AR576" i="3" s="1"/>
  <c r="AR54" i="3"/>
  <c r="AS156" i="3"/>
  <c r="AR156" i="3" s="1"/>
  <c r="AS239" i="3"/>
  <c r="AR239" i="3" s="1"/>
  <c r="AS203" i="3"/>
  <c r="AR175" i="3"/>
  <c r="Y194" i="3"/>
  <c r="AR226" i="3"/>
  <c r="B73" i="3"/>
  <c r="B34" i="3"/>
  <c r="Y181" i="3"/>
  <c r="W31" i="3"/>
  <c r="Y223" i="3"/>
  <c r="W21" i="3"/>
  <c r="Y655" i="3"/>
  <c r="Y548" i="3"/>
  <c r="Y381" i="3"/>
  <c r="W101" i="3"/>
  <c r="AS167" i="3"/>
  <c r="AR167" i="3" s="1"/>
  <c r="W413" i="3"/>
  <c r="W116" i="3"/>
  <c r="B244" i="3"/>
  <c r="B468" i="3"/>
  <c r="Y156" i="3"/>
  <c r="Y384" i="3"/>
  <c r="AR304" i="3"/>
  <c r="B665" i="3"/>
  <c r="Y495" i="3"/>
  <c r="B517" i="3"/>
  <c r="AS554" i="3"/>
  <c r="AR554" i="3" s="1"/>
  <c r="AR282" i="3"/>
  <c r="AS126" i="3"/>
  <c r="Y78" i="3"/>
  <c r="AR212" i="3"/>
  <c r="Y429" i="3"/>
  <c r="AS26" i="3"/>
  <c r="AR26" i="3" s="1"/>
  <c r="B161" i="3"/>
  <c r="W247" i="3"/>
  <c r="W79" i="3"/>
  <c r="AR112" i="3"/>
  <c r="Y192" i="3"/>
  <c r="AR560" i="3"/>
  <c r="Y51" i="3"/>
  <c r="B112" i="3"/>
  <c r="AR236" i="3"/>
  <c r="AR159" i="3"/>
  <c r="AS69" i="3"/>
  <c r="Y934" i="3"/>
  <c r="AR478" i="3"/>
  <c r="W75" i="3"/>
  <c r="AR23" i="3"/>
  <c r="AS67" i="3"/>
  <c r="AR67" i="3" s="1"/>
  <c r="B503" i="3"/>
  <c r="Y394" i="3"/>
  <c r="W153" i="3"/>
  <c r="AR69" i="3"/>
  <c r="AR165" i="3"/>
  <c r="AR595" i="3"/>
  <c r="AR400" i="3"/>
  <c r="AR438" i="3"/>
  <c r="AR149" i="3"/>
  <c r="AR917" i="3"/>
  <c r="AR983" i="3"/>
  <c r="AR951" i="3"/>
  <c r="AR901" i="3"/>
  <c r="AR775" i="3"/>
  <c r="AR620" i="3"/>
  <c r="AR988" i="3"/>
  <c r="AR853" i="3"/>
  <c r="AR725" i="3"/>
  <c r="AR126" i="3"/>
  <c r="AR871" i="3"/>
  <c r="AR609" i="3"/>
  <c r="AR716" i="3"/>
  <c r="AR566" i="3"/>
  <c r="AR139" i="3"/>
  <c r="AR652" i="3"/>
  <c r="AR700" i="3"/>
  <c r="AR709" i="3"/>
  <c r="AR203" i="3"/>
  <c r="AR791" i="3"/>
  <c r="AR133" i="3"/>
  <c r="AR924" i="3"/>
  <c r="AR152" i="3"/>
  <c r="AR213" i="3"/>
  <c r="AR908" i="3"/>
  <c r="AR684" i="3"/>
  <c r="AR727" i="3"/>
  <c r="AR229" i="3"/>
  <c r="AR940" i="3"/>
  <c r="AR85" i="3"/>
  <c r="AR197" i="3"/>
  <c r="AR855" i="3"/>
  <c r="AR486" i="3"/>
  <c r="AR711" i="3"/>
  <c r="AR869" i="3"/>
  <c r="AR965" i="3"/>
  <c r="AR422" i="3"/>
  <c r="AR358" i="3"/>
  <c r="AR454" i="3"/>
  <c r="AR184" i="3"/>
  <c r="AR248" i="3"/>
  <c r="AR187" i="3"/>
  <c r="AR695" i="3"/>
  <c r="AR823" i="3"/>
  <c r="AR844" i="3"/>
  <c r="AR245" i="3"/>
  <c r="AR467" i="3"/>
  <c r="AR432" i="3"/>
  <c r="AR53" i="3"/>
  <c r="AR158" i="3"/>
  <c r="AR732" i="3"/>
  <c r="AR605" i="3"/>
  <c r="AR384" i="3"/>
  <c r="AR21" i="3"/>
  <c r="AR78" i="3"/>
  <c r="AR190" i="3"/>
  <c r="AR615" i="3"/>
  <c r="AR174" i="3"/>
  <c r="AR759" i="3"/>
  <c r="AR796" i="3"/>
  <c r="AR860" i="3"/>
  <c r="AR310" i="3"/>
  <c r="AR677" i="3"/>
  <c r="AR887" i="3"/>
  <c r="AR647" i="3"/>
  <c r="AR885" i="3"/>
  <c r="AR828" i="3"/>
  <c r="AR94" i="3"/>
  <c r="AR757" i="3"/>
  <c r="AR534" i="3"/>
  <c r="AR550" i="3"/>
  <c r="AR789" i="3"/>
  <c r="AR262" i="3"/>
  <c r="AR219" i="3"/>
  <c r="AR607" i="3"/>
  <c r="AR30" i="3"/>
  <c r="AR222" i="3"/>
  <c r="AR972" i="3"/>
  <c r="AR117" i="3"/>
  <c r="AR933" i="3"/>
  <c r="AR518" i="3"/>
  <c r="AR837" i="3"/>
  <c r="AR668" i="3"/>
  <c r="AR741" i="3"/>
  <c r="AR629" i="3"/>
  <c r="AR693" i="3"/>
  <c r="AR949" i="3"/>
  <c r="AR645" i="3"/>
  <c r="AR326" i="3"/>
  <c r="AR14" i="3"/>
  <c r="AR46" i="3"/>
  <c r="AR342" i="3"/>
  <c r="AR764" i="3"/>
  <c r="AR155" i="3"/>
  <c r="AR807" i="3"/>
  <c r="AR805" i="3"/>
  <c r="AR821" i="3"/>
  <c r="AR603" i="3"/>
  <c r="AR200" i="3"/>
  <c r="AR37" i="3"/>
  <c r="AR663" i="3"/>
  <c r="AR416" i="3"/>
  <c r="AR238" i="3"/>
  <c r="AR967" i="3"/>
  <c r="AR997" i="3"/>
  <c r="AR101" i="3"/>
  <c r="AR75" i="3"/>
  <c r="AR748" i="3"/>
  <c r="AR892" i="3"/>
  <c r="AR72" i="3"/>
  <c r="AR123" i="3"/>
  <c r="AR206" i="3"/>
  <c r="AR903" i="3"/>
  <c r="AR636" i="3"/>
  <c r="AR216" i="3"/>
  <c r="AR62" i="3"/>
  <c r="AR104" i="3"/>
  <c r="AR470" i="3"/>
  <c r="AR374" i="3"/>
  <c r="AR294" i="3"/>
  <c r="AR679" i="3"/>
  <c r="AR956" i="3"/>
  <c r="AR502" i="3"/>
  <c r="AR40" i="3"/>
  <c r="AR110" i="3"/>
  <c r="AR278" i="3"/>
  <c r="AR919" i="3"/>
  <c r="AR631" i="3"/>
  <c r="AR773" i="3"/>
  <c r="AR780" i="3"/>
  <c r="AR613" i="3"/>
  <c r="AR981" i="3"/>
  <c r="AR582" i="3"/>
  <c r="AR181" i="3"/>
  <c r="AR406" i="3"/>
  <c r="AR935" i="3"/>
  <c r="AR142" i="3"/>
  <c r="AR661" i="3"/>
  <c r="AR876" i="3"/>
  <c r="AR812" i="3"/>
  <c r="AR839" i="3"/>
  <c r="AR743" i="3"/>
  <c r="AR390" i="3"/>
</calcChain>
</file>

<file path=xl/sharedStrings.xml><?xml version="1.0" encoding="utf-8"?>
<sst xmlns="http://schemas.openxmlformats.org/spreadsheetml/2006/main" count="27966" uniqueCount="509">
  <si>
    <t xml:space="preserve">        </t>
  </si>
  <si>
    <t>163020573-bulk-sell-de7c37a955cd</t>
  </si>
  <si>
    <t>2026-11-03</t>
  </si>
  <si>
    <t>8912681b-b180-4248-945d-abd67c21e7cd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</si>
  <si>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</si>
  <si>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</si>
  <si>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</si>
  <si>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</si>
  <si>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</si>
  <si>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</si>
  <si>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</si>
  <si>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</si>
  <si>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</si>
  <si>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</si>
  <si>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</si>
  <si>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</si>
  <si>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</si>
  <si>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3 de noviembre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</si>
  <si>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</si>
  <si>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</si>
  <si>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</si>
  <si>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</si>
  <si>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</si>
  <si>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Medidas y peso del empaque de envío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</si>
  <si>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</si>
  <si>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</si>
  <si>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</si>
  <si>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</si>
  <si>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Ancho, alto, profundidad y peso del empaque, tal como lo enviarás.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</si>
  <si>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</si>
  <si>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</si>
  <si>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</si>
  <si>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</si>
  <si>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</rPr>
      <t>Si al configurar tu planilla</t>
    </r>
    <r>
      <rPr>
        <sz val="10"/>
        <color rgb="FF333333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</si>
  <si>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</si>
  <si>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</si>
  <si>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</si>
  <si>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</si>
  <si>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</si>
  <si>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</si>
  <si>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</si>
  <si>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</rPr>
      <t xml:space="preserve">La columna "Fotos" es </t>
    </r>
    <r>
      <rPr>
        <b/>
        <i/>
        <sz val="10"/>
        <color rgb="FFB22222"/>
        <rFont val="Arial"/>
      </rPr>
      <t>Obligatoria</t>
    </r>
    <r>
      <rPr>
        <sz val="10"/>
        <color rgb="FF333333"/>
        <rFont val="Arial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</si>
  <si>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</rPr>
      <t xml:space="preserve">1. Accede al "Gestor de fotos" desde la </t>
    </r>
    <r>
      <rPr>
        <b/>
        <sz val="10"/>
        <color rgb="FF333333"/>
        <rFont val="Arial"/>
      </rPr>
      <t>columna "Fotos"</t>
    </r>
    <r>
      <rPr>
        <sz val="10"/>
        <color rgb="FF333333"/>
        <rFont val="Arial"/>
      </rPr>
      <t>.</t>
    </r>
  </si>
  <si>
    <r>
      <rPr>
        <sz val="10"/>
        <color rgb="FF333333"/>
        <rFont val="Arial"/>
      </rPr>
      <t xml:space="preserve">2. Presiona en </t>
    </r>
    <r>
      <rPr>
        <b/>
        <sz val="10"/>
        <color rgb="FF333333"/>
        <rFont val="Arial"/>
      </rPr>
      <t>"+ Crear grupo de fotos"</t>
    </r>
    <r>
      <rPr>
        <sz val="10"/>
        <color rgb="FF333333"/>
        <rFont val="Arial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</si>
  <si>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</si>
  <si>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</rPr>
      <t xml:space="preserve">4. Para terminar, presiona en </t>
    </r>
    <r>
      <rPr>
        <b/>
        <sz val="10"/>
        <color rgb="FF333333"/>
        <rFont val="Arial"/>
      </rPr>
      <t>"Copiar URLs"</t>
    </r>
    <r>
      <rPr>
        <sz val="10"/>
        <color rgb="FF333333"/>
        <rFont val="Arial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</si>
  <si>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</si>
  <si>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</rPr>
      <t xml:space="preserve">Tienes </t>
    </r>
    <r>
      <rPr>
        <b/>
        <sz val="10"/>
        <color rgb="FF333333"/>
        <rFont val="Arial"/>
      </rPr>
      <t>2 días para pegar la URL en tu planilla y cargarla</t>
    </r>
    <r>
      <rPr>
        <sz val="10"/>
        <color rgb="FF333333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</si>
  <si>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</si>
  <si>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</si>
  <si>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</si>
  <si>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</rPr>
      <t xml:space="preserve">1. </t>
    </r>
    <r>
      <rPr>
        <b/>
        <sz val="10"/>
        <color rgb="FF333333"/>
        <rFont val="Arial"/>
      </rPr>
      <t>Completa en una fila los datos de la primera variante.</t>
    </r>
    <r>
      <rPr>
        <sz val="10"/>
        <color rgb="FF333333"/>
        <rFont val="Arial"/>
      </rPr>
      <t xml:space="preserve"> Asígnale un título genérico, porque será el mismo para todas.</t>
    </r>
  </si>
  <si>
    <r>
      <rPr>
        <sz val="10"/>
        <color rgb="FF333333"/>
        <rFont val="Arial"/>
      </rPr>
      <t xml:space="preserve">2. </t>
    </r>
    <r>
      <rPr>
        <b/>
        <sz val="10"/>
        <color rgb="FF333333"/>
        <rFont val="Arial"/>
      </rPr>
      <t>Duplica la fila.</t>
    </r>
    <r>
      <rPr>
        <sz val="10"/>
        <color rgb="FF333333"/>
        <rFont val="Arial"/>
      </rPr>
      <t xml:space="preserve"> Crea una nueva por cada variante.</t>
    </r>
  </si>
  <si>
    <r>
      <rPr>
        <sz val="10"/>
        <color rgb="FF333333"/>
        <rFont val="Arial"/>
      </rPr>
      <t xml:space="preserve">3. </t>
    </r>
    <r>
      <rPr>
        <b/>
        <sz val="10"/>
        <color rgb="FF333333"/>
        <rFont val="Arial"/>
      </rPr>
      <t>Modifica los datos por los que varía tu producto,</t>
    </r>
    <r>
      <rPr>
        <sz val="10"/>
        <color rgb="FF333333"/>
        <rFont val="Arial"/>
      </rPr>
      <t xml:space="preserve"> como el color, la talla, u otras características.</t>
    </r>
  </si>
  <si>
    <r>
      <rPr>
        <sz val="10"/>
        <color rgb="FF333333"/>
        <rFont val="Arial"/>
      </rPr>
      <t xml:space="preserve">4. </t>
    </r>
    <r>
      <rPr>
        <b/>
        <sz val="10"/>
        <color rgb="FF333333"/>
        <rFont val="Arial"/>
      </rPr>
      <t>Diferencia tus variantes</t>
    </r>
    <r>
      <rPr>
        <sz val="10"/>
        <color rgb="FF333333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</si>
  <si>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</si>
  <si>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</si>
  <si>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</si>
  <si>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</si>
  <si>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fondo blanco puro digital para que tu producto se destaque.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</si>
  <si>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No agregues bordes, logos ni marcas de agua.</t>
    </r>
  </si>
  <si>
    <t>Para productos de "Moda"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</si>
  <si>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modelo o maniquí invisible según tu tipo de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</si>
  <si>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</si>
  <si>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tipo selfie, en exteriores o que tapen el producto.</t>
    </r>
  </si>
  <si>
    <t>Para productos de "Hogar y Muebles"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</si>
  <si>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Utiliza un fondo profesional que muestre al producto en su ambiente de uso o edita la foto para incluir un fondo gris claro.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</si>
  <si>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Asegúrate de que el producto esté bien iluminado. Evita la luz directa y las sombras pronunciadas.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</si>
  <si>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</si>
  <si>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</si>
  <si>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</si>
  <si>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</si>
  <si>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Mide y pesa el paquete embalado, tal como lo enviarás.</t>
  </si>
  <si>
    <t>·  Incluye salientes como manijas y bordes, y toma la mayor medida de cada lado.</t>
  </si>
  <si>
    <t>Instrucciones para completar la planilla</t>
  </si>
  <si>
    <t>·  Si tu producto incluye varias unidades, ingresa las dimensiones del empaque completo.</t>
  </si>
  <si>
    <t>·  Ingresa el alto, ancho y profundidad en centímetros, sin decimales.</t>
  </si>
  <si>
    <t>·  Indica el peso en kilogramos, con hasta 2 decimales.</t>
  </si>
  <si>
    <t>Asegúrate de que tus paquetes midan y pesen lo que declares o podríamos penalizarte.</t>
  </si>
  <si>
    <r>
      <t>Título: incluye producto, marca, modelo y destaca sus características principales</t>
    </r>
    <r>
      <rPr>
        <i/>
        <sz val="8"/>
        <rFont val="Arial"/>
      </rPr>
      <t xml:space="preserve"> 
Si creas variantes, debes crear un título general para todas</t>
    </r>
  </si>
  <si>
    <t>Obligatorio</t>
  </si>
  <si>
    <r>
      <rPr>
        <b/>
        <sz val="10"/>
        <rFont val="Arial"/>
      </rPr>
      <t>Máximo 60 caracteres.</t>
    </r>
    <r>
      <rPr>
        <sz val="10"/>
        <color rgb="FF000000"/>
        <rFont val="Arial"/>
      </rPr>
      <t>Una vez que vendas no podrás editarlo. Si tu producto es genérico, indica su marca real y/o aclara que es “compatible con” otras marcas.</t>
    </r>
    <r>
      <rPr>
        <sz val="10"/>
        <color rgb="FF000000"/>
        <rFont val="Arial"/>
      </rPr>
      <t>Ingresa el mismo título si tu publicación tiene variantes.</t>
    </r>
  </si>
  <si>
    <t/>
  </si>
  <si>
    <t>Cantidad de caracteres</t>
  </si>
  <si>
    <t>Condición</t>
  </si>
  <si>
    <t>Nuevo</t>
  </si>
  <si>
    <t>Usado</t>
  </si>
  <si>
    <r>
      <rPr>
        <sz val="10"/>
        <rFont val="Arial"/>
      </rPr>
      <t>Indica la condición del producto y evita reclamos de los compradores.</t>
    </r>
  </si>
  <si>
    <t>Ver política</t>
  </si>
  <si>
    <t>Ropa y Accesorios &gt; Camisetas</t>
  </si>
  <si>
    <t>Camisetas</t>
  </si>
  <si>
    <t>Varía por: Nombre comercial del color</t>
  </si>
  <si>
    <t>Escribe o elige un valor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</si>
  <si>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</si>
  <si>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</si>
  <si>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</si>
  <si>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</si>
  <si>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</si>
  <si>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</si>
  <si>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</si>
  <si>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</si>
  <si>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</si>
  <si>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</si>
  <si>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</si>
  <si>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</si>
  <si>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</si>
  <si>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</si>
  <si>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</si>
  <si>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</si>
  <si>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</si>
  <si>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</si>
  <si>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</si>
  <si>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</si>
  <si>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</si>
  <si>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</si>
  <si>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</si>
  <si>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</si>
  <si>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</si>
  <si>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</si>
  <si>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</si>
  <si>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</si>
  <si>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</si>
  <si>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</si>
  <si>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</si>
  <si>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</si>
  <si>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</si>
  <si>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</si>
  <si>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</si>
  <si>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</si>
  <si>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</si>
  <si>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</si>
  <si>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</si>
  <si>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</si>
  <si>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</si>
  <si>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</si>
  <si>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</si>
  <si>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</si>
  <si>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</si>
  <si>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</si>
  <si>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</si>
  <si>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</si>
  <si>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</si>
  <si>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</si>
  <si>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</si>
  <si>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</si>
  <si>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Varía por: Diseño impreso</t>
  </si>
  <si>
    <t>Calavera</t>
  </si>
  <si>
    <t>Galaxia</t>
  </si>
  <si>
    <t>Lobo</t>
  </si>
  <si>
    <r>
      <rPr>
        <sz val="10"/>
        <color rgb="FF000000"/>
        <rFont val="Arial"/>
      </rPr>
      <t>Ingresa cada Diseño impreso en una nueva fila.</t>
    </r>
  </si>
  <si>
    <t>Varía por: Diseño de la tela</t>
  </si>
  <si>
    <t>Lisa</t>
  </si>
  <si>
    <t>Estampa localizada</t>
  </si>
  <si>
    <t>Personalizado</t>
  </si>
  <si>
    <t>Bordado</t>
  </si>
  <si>
    <r>
      <rPr>
        <sz val="10"/>
        <color rgb="FF000000"/>
        <rFont val="Arial"/>
      </rPr>
      <t>Ingresa cada Diseño de la tela en una nueva fila.</t>
    </r>
  </si>
  <si>
    <t>Talla</t>
  </si>
  <si>
    <t>11</t>
  </si>
  <si>
    <t>5</t>
  </si>
  <si>
    <t>7</t>
  </si>
  <si>
    <t>18 M</t>
  </si>
  <si>
    <t>4</t>
  </si>
  <si>
    <t>6-9 M</t>
  </si>
  <si>
    <t>1</t>
  </si>
  <si>
    <t>3</t>
  </si>
  <si>
    <t>16</t>
  </si>
  <si>
    <t>10</t>
  </si>
  <si>
    <t>5T</t>
  </si>
  <si>
    <t>6</t>
  </si>
  <si>
    <t>4T</t>
  </si>
  <si>
    <t>12</t>
  </si>
  <si>
    <t>15</t>
  </si>
  <si>
    <t>L</t>
  </si>
  <si>
    <t>14</t>
  </si>
  <si>
    <t>M</t>
  </si>
  <si>
    <t>18</t>
  </si>
  <si>
    <t>XL</t>
  </si>
  <si>
    <t>2</t>
  </si>
  <si>
    <t>13</t>
  </si>
  <si>
    <t>6T</t>
  </si>
  <si>
    <t>0-0 M</t>
  </si>
  <si>
    <t>S</t>
  </si>
  <si>
    <t>8</t>
  </si>
  <si>
    <t>XXL</t>
  </si>
  <si>
    <t>3T</t>
  </si>
  <si>
    <t>2T</t>
  </si>
  <si>
    <t>XS</t>
  </si>
  <si>
    <t>9</t>
  </si>
  <si>
    <t>0-3 M</t>
  </si>
  <si>
    <r>
      <rPr>
        <sz val="10"/>
        <color rgb="FF000000"/>
        <rFont val="Arial"/>
      </rPr>
      <t>Ingresa cada talla en una nueva fila. Esta talla es la que verá tu comprador y debe estar en la guía que seleccionaste.</t>
    </r>
  </si>
  <si>
    <t>Revisar guía</t>
  </si>
  <si>
    <t>Marca</t>
  </si>
  <si>
    <t>Genérica</t>
  </si>
  <si>
    <t>AY Not Dead</t>
  </si>
  <si>
    <t>Abercrombie &amp; Fitch</t>
  </si>
  <si>
    <t>Admit One</t>
  </si>
  <si>
    <t>Airborn</t>
  </si>
  <si>
    <t>Altamont</t>
  </si>
  <si>
    <t>Armani</t>
  </si>
  <si>
    <t>Ayres</t>
  </si>
  <si>
    <t>Aéropostale</t>
  </si>
  <si>
    <t>Bolivia</t>
  </si>
  <si>
    <t>Brooks</t>
  </si>
  <si>
    <t>Brooksfield</t>
  </si>
  <si>
    <t>Bross</t>
  </si>
  <si>
    <t>Burton</t>
  </si>
  <si>
    <t>Converse</t>
  </si>
  <si>
    <t>Cultura</t>
  </si>
  <si>
    <t>DC</t>
  </si>
  <si>
    <t>Daniel Hechter</t>
  </si>
  <si>
    <t>Diesel</t>
  </si>
  <si>
    <t>Disney</t>
  </si>
  <si>
    <t>Dolce &amp; Gabbana</t>
  </si>
  <si>
    <t>Ed Hardy</t>
  </si>
  <si>
    <t>Emerica</t>
  </si>
  <si>
    <t>Fox Head</t>
  </si>
  <si>
    <t>GAP</t>
  </si>
  <si>
    <t>Garzon García</t>
  </si>
  <si>
    <t>Generic</t>
  </si>
  <si>
    <t>GoodPeople</t>
  </si>
  <si>
    <t>Grisino</t>
  </si>
  <si>
    <t>Guess</t>
  </si>
  <si>
    <t>Hollister</t>
  </si>
  <si>
    <t>Inkpronta</t>
  </si>
  <si>
    <t>Inside</t>
  </si>
  <si>
    <t>Jazmin Chebar</t>
  </si>
  <si>
    <t>John L. Cook</t>
  </si>
  <si>
    <t>Kosiuko</t>
  </si>
  <si>
    <t>Lacoste</t>
  </si>
  <si>
    <t>Lee</t>
  </si>
  <si>
    <t>Levi's</t>
  </si>
  <si>
    <t>Mistral</t>
  </si>
  <si>
    <t>Nike</t>
  </si>
  <si>
    <t>No Fear</t>
  </si>
  <si>
    <t>Old Navy</t>
  </si>
  <si>
    <t>Ona Saez</t>
  </si>
  <si>
    <t>Ossira</t>
  </si>
  <si>
    <t>Paula Cahen D'Anvers</t>
  </si>
  <si>
    <t>Penguin</t>
  </si>
  <si>
    <t>Polo Ralph Lauren</t>
  </si>
  <si>
    <t>Pony</t>
  </si>
  <si>
    <t>Prototype</t>
  </si>
  <si>
    <t>Puma</t>
  </si>
  <si>
    <t>Quiksilver</t>
  </si>
  <si>
    <t>Reebok</t>
  </si>
  <si>
    <t>Reef</t>
  </si>
  <si>
    <t>Rever Pass</t>
  </si>
  <si>
    <t>Rip Curl</t>
  </si>
  <si>
    <t>Rusty</t>
  </si>
  <si>
    <t>Siamo Fuori</t>
  </si>
  <si>
    <t>Sismo</t>
  </si>
  <si>
    <t>Soho</t>
  </si>
  <si>
    <t>Stone</t>
  </si>
  <si>
    <t>Sweet</t>
  </si>
  <si>
    <t>Tannery</t>
  </si>
  <si>
    <t>Tascani</t>
  </si>
  <si>
    <t>Tommy Hilfiger</t>
  </si>
  <si>
    <t>Topper</t>
  </si>
  <si>
    <t>Tucci</t>
  </si>
  <si>
    <t>Under Armour</t>
  </si>
  <si>
    <t>Vans</t>
  </si>
  <si>
    <t>Wanama</t>
  </si>
  <si>
    <t>Wrangler</t>
  </si>
  <si>
    <t>X Games</t>
  </si>
  <si>
    <t>Zara</t>
  </si>
  <si>
    <t>adidas</t>
  </si>
  <si>
    <r>
      <rPr>
        <sz val="10"/>
        <color rgb="FF000000"/>
        <rFont val="Arial"/>
      </rPr>
      <t>Para evitar infracciones de propiedad intelectual y reclamos de tus compradores, siempre escribe aquí la marca real del producto o "genérico" si no tiene marca.</t>
    </r>
  </si>
  <si>
    <t>Género</t>
  </si>
  <si>
    <t>Seleccionar</t>
  </si>
  <si>
    <t>Mujer</t>
  </si>
  <si>
    <t>Hombre</t>
  </si>
  <si>
    <t>Niñas</t>
  </si>
  <si>
    <t>Niños</t>
  </si>
  <si>
    <t>Bebés</t>
  </si>
  <si>
    <t>Sin género infantil</t>
  </si>
  <si>
    <t>Sin género</t>
  </si>
  <si>
    <r>
      <rPr>
        <sz val="10"/>
        <color rgb="FF000000"/>
        <rFont val="Arial"/>
      </rPr>
      <t>Selecciona del listado la opción que corresponda para tu guía de tallas.</t>
    </r>
  </si>
  <si>
    <t>Código de la guía</t>
  </si>
  <si>
    <t>Selecciona una guía o pega el código</t>
  </si>
  <si>
    <t>1114314 - CAMISETA DAMA</t>
  </si>
  <si>
    <t>1114468 - CAMISETAS GILDAN DAMA</t>
  </si>
  <si>
    <t>1525621 - CAMISETA MANGA CORTA 2024</t>
  </si>
  <si>
    <t>3178659 - CAMISETAS HOMBRE</t>
  </si>
  <si>
    <t>3178853 - CAMISETA DAMA</t>
  </si>
  <si>
    <t>657316 - RANG</t>
  </si>
  <si>
    <t>6602029 - Camisetas Niño Talle Regular</t>
  </si>
  <si>
    <t>735794 - Polo</t>
  </si>
  <si>
    <t>863699 - CAMISETA MANGA CORTA</t>
  </si>
  <si>
    <t>989746 - CAMISETA GILDAN MANGA CORTA</t>
  </si>
  <si>
    <r>
      <rPr>
        <sz val="10"/>
        <color rgb="FF000000"/>
        <rFont val="Arial"/>
      </rPr>
      <t>Selecciona una guía de la lista o pega el código numérico. Si necesitas, revisa cómo</t>
    </r>
    <r>
      <rPr>
        <u/>
        <sz val="10"/>
        <color rgb="FF6FA8DC"/>
        <rFont val="Arial"/>
      </rPr>
      <t xml:space="preserve"> crear una nueva guía.</t>
    </r>
    <r>
      <rPr>
        <sz val="10"/>
        <color rgb="FF000000"/>
        <rFont val="Arial"/>
      </rPr>
      <t xml:space="preserve">
Asegúrate de vincular la guía correcta según la talla y el género de tu producto.</t>
    </r>
  </si>
  <si>
    <t>Revisar guías de tallas existentes</t>
  </si>
  <si>
    <t>Fotos</t>
  </si>
  <si>
    <r>
      <rPr>
        <sz val="10"/>
        <color rgb="FF00000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</si>
  <si>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</si>
  <si>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Código universal de producto</t>
  </si>
  <si>
    <t>El producto es una pieza artesanal</t>
  </si>
  <si>
    <t>El producto es un kit o un pack</t>
  </si>
  <si>
    <t>El producto no tiene código registrado</t>
  </si>
  <si>
    <t>Otra razón</t>
  </si>
  <si>
    <r>
      <rPr>
        <sz val="10"/>
        <color rgb="FF000000"/>
        <rFont val="Arial"/>
      </rPr>
      <t>Para algunos productos el código universal es obligatorio.
Tiene entre 8 y 14 números.
Puede ser un EAN, UPC u otro GTIN.
Si el producto no tiene código, puedes seleccionar un motivo de la lista.</t>
    </r>
  </si>
  <si>
    <t>SKU</t>
  </si>
  <si>
    <t>Stock</t>
  </si>
  <si>
    <r>
      <t>Crea variantes</t>
    </r>
    <r>
      <rPr>
        <sz val="10"/>
        <rFont val="Arial"/>
      </rPr>
      <t xml:space="preserve"> 
Copia todas las filas que pertenecen a una misma publicación y modifica estas columnas.</t>
    </r>
  </si>
  <si>
    <t>Precio [$]</t>
  </si>
  <si>
    <r>
      <rPr>
        <sz val="10"/>
        <color rgb="FF000000"/>
        <rFont val="Arial"/>
      </rPr>
      <t>Si quieres crear variantes, recuerda que deben tener el mismo precio.</t>
    </r>
    <r>
      <rPr>
        <sz val="10"/>
        <color rgb="FF000000"/>
        <rFont val="Arial"/>
      </rPr>
      <t xml:space="preserve">
Precio mínimo: 2900 en moneda local</t>
    </r>
    <r>
      <rPr>
        <sz val="10"/>
        <color rgb="FF000000"/>
        <rFont val="Arial"/>
      </rPr>
      <t xml:space="preserve">
Máximo 2 decimales, sin el signo $.</t>
    </r>
  </si>
  <si>
    <t>Formato de venta</t>
  </si>
  <si>
    <t>Unidad</t>
  </si>
  <si>
    <t>Pack</t>
  </si>
  <si>
    <t>Cantidad de camisetas</t>
  </si>
  <si>
    <r>
      <rPr>
        <sz val="10"/>
        <color rgb="FF000000"/>
        <rFont val="Arial"/>
      </rPr>
      <t>Escribe solo números.</t>
    </r>
  </si>
  <si>
    <t>Descripción</t>
  </si>
  <si>
    <r>
      <rPr>
        <sz val="10"/>
        <rFont val="Arial"/>
      </rPr>
      <t>No incluyas datos de contacto como e-mails, teléfonos, direcciones, links externos o redes sociales.
Ingresa texto plano, sin emojis ni formato HTML.</t>
    </r>
  </si>
  <si>
    <t>Ancho (cm)</t>
  </si>
  <si>
    <r>
      <rPr>
        <sz val="10"/>
        <color rgb="FF000000"/>
        <rFont val="Arial"/>
      </rPr>
      <t>Escribe solo números enteros y en centímetros.</t>
    </r>
  </si>
  <si>
    <t>Cómo se calcula el costo de envío</t>
  </si>
  <si>
    <t>Alto (cm)</t>
  </si>
  <si>
    <t>Profundidad (cm)</t>
  </si>
  <si>
    <r>
      <t>Peso físico (kg)</t>
    </r>
    <r>
      <rPr>
        <i/>
        <sz val="8"/>
        <rFont val="Arial"/>
      </rPr>
      <t xml:space="preserve"> 
Empaque con el producto dentro.</t>
    </r>
  </si>
  <si>
    <r>
      <rPr>
        <sz val="10"/>
        <color rgb="FF000000"/>
        <rFont val="Arial"/>
      </rPr>
      <t>Escribe el número con hasta 3 decimales y en kilogramos.</t>
    </r>
  </si>
  <si>
    <t>Cargo por vender</t>
  </si>
  <si>
    <r>
      <rPr>
        <sz val="10"/>
        <color rgb="FF000000"/>
        <rFont val="Arial"/>
      </rPr>
      <t>Es el cargo que pagarás por cada venta concretada.</t>
    </r>
  </si>
  <si>
    <t>Cuotas</t>
  </si>
  <si>
    <t>Cuotas extra</t>
  </si>
  <si>
    <t>Costo por ofrecer cuotas</t>
  </si>
  <si>
    <r>
      <rPr>
        <sz val="10"/>
        <color rgb="FF000000"/>
        <rFont val="Arial"/>
      </rPr>
      <t>Este costo varía dependiendo de las opciones de cuotas que agregues en tu publicación.</t>
    </r>
  </si>
  <si>
    <t>Forma de envío</t>
  </si>
  <si>
    <t>Mercado Envíos</t>
  </si>
  <si>
    <t>Mercado Envíos | Mercado Envíos Flex</t>
  </si>
  <si>
    <t>Costo de envío</t>
  </si>
  <si>
    <t>A cargo del comprador</t>
  </si>
  <si>
    <t>Ofreces envío gratis</t>
  </si>
  <si>
    <r>
      <rPr>
        <sz val="10"/>
        <color rgb="FF000000"/>
        <rFont val="Arial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</si>
  <si>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</si>
  <si>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</si>
  <si>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</si>
  <si>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</si>
  <si>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</si>
  <si>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</si>
  <si>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</si>
  <si>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</si>
  <si>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</si>
  <si>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</si>
  <si>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</si>
  <si>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</si>
  <si>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</si>
  <si>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r>
      <rPr>
        <sz val="10"/>
        <color rgb="FF000000"/>
        <rFont val="Arial"/>
      </rPr>
      <t>Selecciona la unidad de medida.</t>
    </r>
  </si>
  <si>
    <r>
      <t>Revisa las condiciones de venta que completamos por ti,</t>
    </r>
    <r>
      <rPr>
        <sz val="10"/>
        <rFont val="Arial"/>
      </rPr>
      <t xml:space="preserve">  a partir de tus publicaciones anteriores.</t>
    </r>
  </si>
  <si>
    <t>Condiciones de la publicación</t>
  </si>
  <si>
    <t>Modelo</t>
  </si>
  <si>
    <t>Tipo de prenda</t>
  </si>
  <si>
    <t>Camiseta</t>
  </si>
  <si>
    <t>Polo</t>
  </si>
  <si>
    <t>Material principal</t>
  </si>
  <si>
    <t>Lentejuelas</t>
  </si>
  <si>
    <t>Raso</t>
  </si>
  <si>
    <t>Algodón</t>
  </si>
  <si>
    <t>Viscolycra</t>
  </si>
  <si>
    <t>Microfibra</t>
  </si>
  <si>
    <t>Tul</t>
  </si>
  <si>
    <t>Lycra</t>
  </si>
  <si>
    <t>Bambú</t>
  </si>
  <si>
    <t>Seda</t>
  </si>
  <si>
    <t>Algodón pima</t>
  </si>
  <si>
    <t>Poliéster</t>
  </si>
  <si>
    <t>Poliamida</t>
  </si>
  <si>
    <t>Lana</t>
  </si>
  <si>
    <t>Nailon</t>
  </si>
  <si>
    <t>Lino</t>
  </si>
  <si>
    <t>Jean</t>
  </si>
  <si>
    <t>Piquet</t>
  </si>
  <si>
    <t>Viscosa</t>
  </si>
  <si>
    <t>Gamuza</t>
  </si>
  <si>
    <t>Cirré</t>
  </si>
  <si>
    <t>Crepé</t>
  </si>
  <si>
    <t>Crochet</t>
  </si>
  <si>
    <t>Elastano</t>
  </si>
  <si>
    <t>Punto</t>
  </si>
  <si>
    <t>Felpa</t>
  </si>
  <si>
    <t>Encaje</t>
  </si>
  <si>
    <t>Tejido de punto</t>
  </si>
  <si>
    <t xml:space="preserve"> Es deportiva</t>
  </si>
  <si>
    <t>No</t>
  </si>
  <si>
    <t>Sí</t>
  </si>
  <si>
    <t>Usos recomendados</t>
  </si>
  <si>
    <t>Tenis</t>
  </si>
  <si>
    <t>Golf</t>
  </si>
  <si>
    <t>Tipo de tela</t>
  </si>
  <si>
    <t>Gabardina</t>
  </si>
  <si>
    <t>Composición</t>
  </si>
  <si>
    <t>Tipo de manga</t>
  </si>
  <si>
    <t>Corta</t>
  </si>
  <si>
    <t>Larga</t>
  </si>
  <si>
    <t>3/4</t>
  </si>
  <si>
    <t>Strapless</t>
  </si>
  <si>
    <t>Sin mangas</t>
  </si>
  <si>
    <t>Tipo de cuello</t>
  </si>
  <si>
    <t>Redondo</t>
  </si>
  <si>
    <t>Escote V</t>
  </si>
  <si>
    <t>Botones</t>
  </si>
  <si>
    <t>Alto</t>
  </si>
  <si>
    <t>Bote</t>
  </si>
  <si>
    <t>Forma del calce</t>
  </si>
  <si>
    <t>Recto</t>
  </si>
  <si>
    <t>Suelto</t>
  </si>
  <si>
    <t>Slim</t>
  </si>
  <si>
    <t>Oversized</t>
  </si>
  <si>
    <t>Apta para embarazo</t>
  </si>
  <si>
    <t>Materiales reciclados</t>
  </si>
  <si>
    <r>
      <t>Características del producto</t>
    </r>
    <r>
      <rPr>
        <sz val="10"/>
        <rFont val="Arial"/>
      </rPr>
      <t xml:space="preserve"> 
Si creas variantes, debes mantener esta información igual en todas</t>
    </r>
  </si>
  <si>
    <t>Resumen de errores</t>
  </si>
  <si>
    <r>
      <rPr>
        <sz val="10"/>
        <color rgb="FF000000"/>
        <rFont val="Arial"/>
      </rPr>
      <t>Revisa los campos obligatorios que están en rojo y complétalos para subir tu planilla</t>
    </r>
  </si>
  <si>
    <t>Cómo completar la planilla</t>
  </si>
  <si>
    <t>BUYBOX_FORMULA</t>
  </si>
  <si>
    <t>HIDDEN_PICTURES</t>
  </si>
  <si>
    <r>
      <rPr>
        <sz val="9"/>
        <color rgb="FFFFFFFF"/>
        <rFont val="Arial"/>
      </rPr>
      <t>No muevas las columnas ni alteres la información de esta pestaña. Podría generarte errores al momento de publicar. Para agregar tallas o crear nuevas guías,</t>
    </r>
    <r>
      <rPr>
        <sz val="10"/>
        <color rgb="FF000000"/>
        <rFont val="Arial"/>
        <scheme val="minor"/>
      </rPr>
      <t xml:space="preserve"> </t>
    </r>
    <r>
      <rPr>
        <u/>
        <sz val="9"/>
        <color rgb="FFFFFFFF"/>
        <rFont val="Arial"/>
      </rPr>
      <t>ingresa al gestor de guías de tallas.</t>
    </r>
  </si>
  <si>
    <t>Guías de camisetas</t>
  </si>
  <si>
    <t>Medidas corporales</t>
  </si>
  <si>
    <t>Medidas de prenda</t>
  </si>
  <si>
    <t>Recuerda usar una guía que coincida con el género y las tallas de tu producto. De lo contrario, no se creará la publicación.</t>
  </si>
  <si>
    <t>Nombre</t>
  </si>
  <si>
    <t>Categoría</t>
  </si>
  <si>
    <r>
      <t>Talla de la etiqueta</t>
    </r>
    <r>
      <rPr>
        <sz val="8"/>
        <color rgb="FF000000"/>
        <rFont val="Arial"/>
      </rPr>
      <t xml:space="preserve"> 
Talla principal</t>
    </r>
    <r>
      <rPr>
        <i/>
        <sz val="8"/>
        <color rgb="FF000000"/>
        <rFont val="Arial"/>
      </rPr>
      <t xml:space="preserve"> 
Es la talla que verá tu comprador en la publicación.</t>
    </r>
  </si>
  <si>
    <r>
      <t>Equivalencias</t>
    </r>
    <r>
      <rPr>
        <i/>
        <sz val="8"/>
        <color rgb="FF000000"/>
        <rFont val="Arial"/>
      </rPr>
      <t xml:space="preserve"> 
Tallas con las que tus compradores buscarán y filtrarán tus productos.</t>
    </r>
  </si>
  <si>
    <t>Contorno del pecho (cm)</t>
  </si>
  <si>
    <t>Circunferencia de la cintura (cm)</t>
  </si>
  <si>
    <t>Altura de la persona (cm)</t>
  </si>
  <si>
    <t>Ancho de pecho de la prenda (cm)</t>
  </si>
  <si>
    <t>Largo de la prenda (cm)</t>
  </si>
  <si>
    <t>1114314</t>
  </si>
  <si>
    <t>CAMISETA DAMA</t>
  </si>
  <si>
    <t>41 cm</t>
  </si>
  <si>
    <t>43 cm</t>
  </si>
  <si>
    <t>45 cm</t>
  </si>
  <si>
    <t>47 cm</t>
  </si>
  <si>
    <t>49 cm</t>
  </si>
  <si>
    <t>50 cm</t>
  </si>
  <si>
    <t>52 cm</t>
  </si>
  <si>
    <t>1114468</t>
  </si>
  <si>
    <t>CAMISETAS GILDAN DAMA</t>
  </si>
  <si>
    <t>1525621</t>
  </si>
  <si>
    <t>CAMISETA MANGA CORTA 2024</t>
  </si>
  <si>
    <t>48 cm</t>
  </si>
  <si>
    <t>67 cm</t>
  </si>
  <si>
    <t>51 cm</t>
  </si>
  <si>
    <t>70 cm</t>
  </si>
  <si>
    <t>54 cm</t>
  </si>
  <si>
    <t>72 cm</t>
  </si>
  <si>
    <t>57 cm</t>
  </si>
  <si>
    <t>74 cm</t>
  </si>
  <si>
    <t>3XS</t>
  </si>
  <si>
    <t>42 cm</t>
  </si>
  <si>
    <t>64 cm</t>
  </si>
  <si>
    <t>2XS - XS</t>
  </si>
  <si>
    <t>40 cm</t>
  </si>
  <si>
    <t>62 cm</t>
  </si>
  <si>
    <t>38 cm</t>
  </si>
  <si>
    <t>60 cm</t>
  </si>
  <si>
    <t>35 cm</t>
  </si>
  <si>
    <t>3178659</t>
  </si>
  <si>
    <t>CAMISETAS HOMBRE</t>
  </si>
  <si>
    <t>3178853</t>
  </si>
  <si>
    <t>58 cm</t>
  </si>
  <si>
    <t>44 cm</t>
  </si>
  <si>
    <t>61 cm</t>
  </si>
  <si>
    <t>14-16</t>
  </si>
  <si>
    <t>10-12</t>
  </si>
  <si>
    <t>2XS</t>
  </si>
  <si>
    <t>36 cm</t>
  </si>
  <si>
    <t>6-8</t>
  </si>
  <si>
    <t>34 cm</t>
  </si>
  <si>
    <t>657316</t>
  </si>
  <si>
    <t>RANG</t>
  </si>
  <si>
    <t>55 cm</t>
  </si>
  <si>
    <t>56 cm</t>
  </si>
  <si>
    <t>59 cm</t>
  </si>
  <si>
    <t>63 cm</t>
  </si>
  <si>
    <t>6602029</t>
  </si>
  <si>
    <t>Camisetas Niño Talle Regular</t>
  </si>
  <si>
    <t>2-4</t>
  </si>
  <si>
    <t>3 años - 4 años</t>
  </si>
  <si>
    <t>31.5 cm</t>
  </si>
  <si>
    <t>45.5 cm</t>
  </si>
  <si>
    <t>6 años - 8 años</t>
  </si>
  <si>
    <t>37 cm</t>
  </si>
  <si>
    <t>51.5 cm</t>
  </si>
  <si>
    <t>9 años - 11 años</t>
  </si>
  <si>
    <t>56.5 cm</t>
  </si>
  <si>
    <t>12 años - 14 años</t>
  </si>
  <si>
    <t>44.5 cm</t>
  </si>
  <si>
    <t>735794</t>
  </si>
  <si>
    <t>39 cm</t>
  </si>
  <si>
    <t>863699</t>
  </si>
  <si>
    <t>CAMISETA MANGA CORTA</t>
  </si>
  <si>
    <t>32 cm</t>
  </si>
  <si>
    <t>989746</t>
  </si>
  <si>
    <t>CAMISETA GILDAN MANGA CORTA</t>
  </si>
  <si>
    <t>s</t>
  </si>
  <si>
    <t>46 cm</t>
  </si>
  <si>
    <t>71 cm</t>
  </si>
  <si>
    <t>76 cm</t>
  </si>
  <si>
    <t>79 cm</t>
  </si>
  <si>
    <t>Categorías</t>
  </si>
  <si>
    <t>Legales</t>
  </si>
  <si>
    <t>No está permitido el comercio de réplicas ni falsificaciones. Ten en cuenta que la venta de réplicas o falsificaciones es una infracción de propiedad intelectual. Asegúrate de cumplir con esta política para evitar que demos de baja tus publicaciones.Ver política</t>
  </si>
  <si>
    <t>Geeks</t>
  </si>
  <si>
    <t>Iron Maiden</t>
  </si>
  <si>
    <t xml:space="preserve">¡Descubre la Comodidad en Cada Hilo! 
¡Despierta tu estilo con nuestra camiseta manga corta de algodón premium! Con colores vibrantes y un tacto suave, esta prenda se convertirá en tu nueva favorita. </t>
  </si>
  <si>
    <t>Camiseta Iron Maiden  Cs0001</t>
  </si>
  <si>
    <t>Camiseta Iron Maiden Cs0001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</si>
</sst>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2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</font>
    <font>
      <b/>
      <sz val="12"/>
      <color rgb="FF666666"/>
      <name val="Arial"/>
    </font>
    <font>
      <b/>
      <sz val="16"/>
      <color rgb="FF333333"/>
      <name val="Arial"/>
    </font>
    <font>
      <sz val="10"/>
      <color rgb="FF666666"/>
      <name val="Arial"/>
    </font>
    <font>
      <sz val="11"/>
      <color rgb="FF666666"/>
      <name val="Arial"/>
    </font>
    <font>
      <sz val="11"/>
      <color rgb="FF666666"/>
      <name val="Arial"/>
    </font>
    <font>
      <b/>
      <sz val="12"/>
      <color rgb="FF333333"/>
      <name val="Arial"/>
    </font>
    <font>
      <b/>
      <sz val="9"/>
      <color rgb="FF666666"/>
      <name val="Arial"/>
    </font>
    <font>
      <sz val="9"/>
      <color rgb="FF666666"/>
      <name val="Arial"/>
    </font>
    <font>
      <b/>
      <sz val="9"/>
      <color rgb="FFF44336"/>
      <name val="Arial"/>
    </font>
    <font>
      <sz val="9"/>
      <color rgb="FFF44336"/>
      <name val="Arial"/>
    </font>
    <font>
      <sz val="10"/>
      <color rgb="FF333333"/>
      <name val="Arial"/>
    </font>
    <font>
      <u/>
      <sz val="10"/>
      <color rgb="FF1155CC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i/>
      <sz val="10"/>
      <color rgb="FFB22222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b/>
      <sz val="10"/>
      <color rgb="FF333333"/>
      <name val="Arial"/>
    </font>
    <font>
      <sz val="11"/>
      <name val="Arial"/>
    </font>
    <font>
      <i/>
      <sz val="8"/>
      <name val="Arial"/>
    </font>
    <font>
      <b/>
      <sz val="9"/>
      <name val="Arial"/>
    </font>
    <font>
      <i/>
      <sz val="9"/>
      <color rgb="FF85200C"/>
      <name val="Arial"/>
    </font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u/>
      <sz val="9"/>
      <color rgb="FF1218DC"/>
      <name val="Roboto"/>
    </font>
    <font>
      <b/>
      <sz val="14"/>
      <name val="Arial"/>
    </font>
    <font>
      <b/>
      <sz val="10"/>
      <color rgb="FF919191"/>
      <name val="Arial"/>
    </font>
    <font>
      <b/>
      <sz val="14"/>
      <name val="Arial"/>
    </font>
    <font>
      <b/>
      <sz val="9"/>
      <name val="Arial"/>
    </font>
    <font>
      <sz val="11"/>
      <name val="Arial"/>
    </font>
    <font>
      <u/>
      <sz val="10"/>
      <color rgb="FF6FA8DC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sz val="11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sz val="11"/>
      <name val="Arial"/>
    </font>
    <font>
      <sz val="9"/>
      <color rgb="FFFFFFFF"/>
      <name val="Arial"/>
    </font>
    <font>
      <u/>
      <sz val="9"/>
      <color rgb="FFFFFFFF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1"/>
      <color rgb="FF073763"/>
      <name val="Arial"/>
    </font>
    <font>
      <sz val="9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i/>
      <sz val="8"/>
      <color rgb="FF000000"/>
      <name val="Arial"/>
    </font>
    <font>
      <b/>
      <sz val="9"/>
      <color rgb="FF000000"/>
      <name val="Arial"/>
    </font>
    <font>
      <b/>
      <sz val="9"/>
      <color rgb="FF073763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proxima nova"/>
    </font>
    <font>
      <sz val="10"/>
      <color rgb="FF000000"/>
      <name val="proxima nova"/>
    </font>
    <font>
      <b/>
      <u/>
      <sz val="9"/>
      <color rgb="FF1218DC"/>
      <name val="Roboto"/>
    </font>
    <font>
      <b/>
      <sz val="10"/>
      <name val="proxima nova"/>
    </font>
    <font>
      <sz val="8"/>
      <name val="Arial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D9D2E9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6C9DD4"/>
      </patternFill>
    </fill>
    <fill>
      <patternFill patternType="solid">
        <fgColor rgb="FFC5D3E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  <fill>
      <patternFill patternType="solid">
        <fgColor rgb="FF4A86E8"/>
      </patternFill>
    </fill>
    <fill>
      <patternFill patternType="solid">
        <fgColor rgb="FFB4A7D6"/>
      </patternFill>
    </fill>
    <fill>
      <patternFill patternType="solid">
        <fgColor rgb="FFF8DFD2"/>
      </patternFill>
    </fill>
    <fill>
      <patternFill patternType="solid">
        <fgColor rgb="FFD3E6F2"/>
      </patternFill>
    </fill>
    <fill>
      <patternFill patternType="solid">
        <fgColor rgb="FFF7ECE6"/>
      </patternFill>
    </fill>
    <fill>
      <patternFill patternType="solid">
        <fgColor rgb="FFE4EFF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98"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0" fontId="32" fillId="2" borderId="9" xfId="0" applyFont="1" applyFill="1" applyBorder="1" applyAlignment="1" applyProtection="1">
      <alignment horizontal="center" vertical="center" wrapText="1"/>
      <protection locked="0"/>
    </xf>
    <xf numFmtId="0" fontId="33" fillId="10" borderId="9" xfId="0" applyFont="1" applyFill="1" applyBorder="1" applyAlignment="1" applyProtection="1">
      <alignment horizontal="center" vertical="center" wrapText="1"/>
      <protection locked="0"/>
    </xf>
    <xf numFmtId="0" fontId="34" fillId="10" borderId="9" xfId="0" applyFont="1" applyFill="1" applyBorder="1" applyAlignment="1">
      <alignment horizontal="center" vertical="center" wrapText="1"/>
    </xf>
    <xf numFmtId="0" fontId="37" fillId="10" borderId="9" xfId="0" applyFont="1" applyFill="1" applyBorder="1" applyAlignment="1" applyProtection="1">
      <alignment horizontal="center" vertical="center" wrapText="1"/>
      <protection locked="0"/>
    </xf>
    <xf numFmtId="0" fontId="41" fillId="12" borderId="9" xfId="0" applyFont="1" applyFill="1" applyBorder="1" applyAlignment="1" applyProtection="1">
      <alignment horizontal="center" vertical="center" wrapText="1"/>
      <protection locked="0"/>
    </xf>
    <xf numFmtId="49" fontId="42" fillId="0" borderId="0" xfId="0" applyNumberFormat="1" applyFont="1" applyProtection="1">
      <protection locked="0"/>
    </xf>
    <xf numFmtId="0" fontId="44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7" fillId="14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48" fillId="0" borderId="9" xfId="0" applyFont="1" applyBorder="1" applyAlignment="1" applyProtection="1">
      <alignment wrapText="1"/>
      <protection locked="0"/>
    </xf>
    <xf numFmtId="0" fontId="49" fillId="10" borderId="9" xfId="0" applyFont="1" applyFill="1" applyBorder="1" applyAlignment="1" applyProtection="1">
      <alignment horizontal="center" vertical="center"/>
      <protection locked="0"/>
    </xf>
    <xf numFmtId="0" fontId="0" fillId="0" borderId="0" xfId="0" applyNumberFormat="1"/>
    <xf numFmtId="0" fontId="51" fillId="16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53" fillId="18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56" fillId="20" borderId="9" xfId="0" applyFont="1" applyFill="1" applyBorder="1" applyAlignment="1" applyProtection="1">
      <alignment horizontal="center" vertical="center" wrapText="1"/>
      <protection locked="0"/>
    </xf>
    <xf numFmtId="0" fontId="58" fillId="10" borderId="9" xfId="0" applyFont="1" applyFill="1" applyBorder="1" applyAlignment="1">
      <alignment horizontal="left"/>
    </xf>
    <xf numFmtId="0" fontId="59" fillId="22" borderId="9" xfId="0" applyFont="1" applyFill="1" applyBorder="1" applyAlignment="1" applyProtection="1">
      <alignment horizontal="center" vertical="center"/>
      <protection locked="0"/>
    </xf>
    <xf numFmtId="0" fontId="61" fillId="24" borderId="9" xfId="0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center" wrapText="1"/>
      <protection locked="0"/>
    </xf>
    <xf numFmtId="0" fontId="76" fillId="0" borderId="0" xfId="0" applyFont="1" applyAlignment="1" applyProtection="1">
      <alignment horizontal="center" vertical="center" wrapText="1"/>
      <protection locked="0"/>
    </xf>
    <xf numFmtId="0" fontId="77" fillId="2" borderId="0" xfId="0" applyFont="1" applyFill="1" applyAlignment="1" applyProtection="1">
      <alignment vertical="center" wrapText="1"/>
      <protection locked="0"/>
    </xf>
    <xf numFmtId="0" fontId="78" fillId="0" borderId="0" xfId="0" applyFont="1" applyAlignment="1" applyProtection="1">
      <alignment vertical="center" wrapText="1"/>
      <protection locked="0"/>
    </xf>
    <xf numFmtId="0" fontId="79" fillId="0" borderId="0" xfId="0" applyFont="1" applyProtection="1">
      <protection locked="0"/>
    </xf>
    <xf numFmtId="0" fontId="30" fillId="0" borderId="9" xfId="0" applyFont="1" applyBorder="1" applyAlignment="1" applyProtection="1">
      <alignment vertical="top" wrapText="1"/>
      <protection locked="0"/>
    </xf>
    <xf numFmtId="0" fontId="26" fillId="4" borderId="3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27" fillId="4" borderId="3" xfId="0" applyFont="1" applyFill="1" applyBorder="1" applyAlignment="1" applyProtection="1">
      <alignment horizontal="left" vertical="center" wrapText="1"/>
      <protection locked="0"/>
    </xf>
    <xf numFmtId="0" fontId="24" fillId="4" borderId="3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29" fillId="4" borderId="3" xfId="0" applyFont="1" applyFill="1" applyBorder="1" applyAlignment="1" applyProtection="1">
      <alignment horizontal="left" vertical="top" wrapText="1"/>
      <protection locked="0"/>
    </xf>
    <xf numFmtId="0" fontId="28" fillId="2" borderId="0" xfId="0" applyFont="1" applyFill="1" applyAlignment="1" applyProtection="1">
      <alignment horizontal="left" vertical="center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9" borderId="8" xfId="0" applyFont="1" applyFill="1" applyBorder="1" applyAlignment="1" applyProtection="1">
      <alignment horizontal="left" vertical="center" wrapText="1"/>
      <protection locked="0"/>
    </xf>
    <xf numFmtId="49" fontId="0" fillId="0" borderId="0" xfId="0" applyNumberFormat="1" applyFont="1" applyAlignmen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62" fillId="10" borderId="0" xfId="0" applyFont="1" applyFill="1" applyProtection="1">
      <protection locked="0"/>
    </xf>
    <xf numFmtId="0" fontId="58" fillId="10" borderId="9" xfId="0" applyFont="1" applyFill="1" applyBorder="1" applyAlignment="1">
      <alignment horizontal="left"/>
    </xf>
    <xf numFmtId="0" fontId="63" fillId="0" borderId="0" xfId="0" applyFont="1" applyProtection="1">
      <protection locked="0"/>
    </xf>
    <xf numFmtId="0" fontId="54" fillId="19" borderId="0" xfId="0" applyFont="1" applyFill="1" applyBorder="1" applyAlignment="1" applyProtection="1">
      <alignment horizontal="left" vertical="center"/>
      <protection locked="0"/>
    </xf>
    <xf numFmtId="0" fontId="34" fillId="10" borderId="9" xfId="0" applyFont="1" applyFill="1" applyBorder="1" applyAlignment="1">
      <alignment horizontal="center" vertical="center" wrapText="1"/>
    </xf>
    <xf numFmtId="49" fontId="42" fillId="0" borderId="0" xfId="0" applyNumberFormat="1" applyFont="1" applyProtection="1">
      <protection locked="0"/>
    </xf>
    <xf numFmtId="0" fontId="0" fillId="0" borderId="0" xfId="0" applyNumberFormat="1"/>
    <xf numFmtId="0" fontId="55" fillId="19" borderId="0" xfId="0" applyFont="1" applyFill="1" applyBorder="1" applyAlignment="1" applyProtection="1">
      <alignment horizontal="center" vertical="center"/>
      <protection locked="0"/>
    </xf>
    <xf numFmtId="0" fontId="45" fillId="10" borderId="9" xfId="0" applyFont="1" applyFill="1" applyBorder="1" applyAlignment="1" applyProtection="1">
      <alignment horizontal="center" vertical="center" wrapText="1"/>
      <protection locked="0"/>
    </xf>
    <xf numFmtId="0" fontId="57" fillId="21" borderId="9" xfId="0" applyFont="1" applyFill="1" applyBorder="1" applyAlignment="1" applyProtection="1">
      <alignment horizontal="center" vertical="center" wrapText="1"/>
      <protection locked="0"/>
    </xf>
    <xf numFmtId="0" fontId="60" fillId="23" borderId="9" xfId="0" applyFont="1" applyFill="1" applyBorder="1" applyAlignment="1" applyProtection="1">
      <alignment horizontal="center" vertical="center"/>
      <protection locked="0"/>
    </xf>
    <xf numFmtId="0" fontId="49" fillId="10" borderId="9" xfId="0" applyFont="1" applyFill="1" applyBorder="1" applyAlignment="1" applyProtection="1">
      <alignment horizontal="center" vertical="center"/>
      <protection locked="0"/>
    </xf>
    <xf numFmtId="0" fontId="48" fillId="0" borderId="9" xfId="0" applyFont="1" applyBorder="1" applyAlignment="1" applyProtection="1">
      <alignment wrapText="1"/>
      <protection locked="0"/>
    </xf>
    <xf numFmtId="0" fontId="50" fillId="15" borderId="9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164" fontId="0" fillId="0" borderId="0" xfId="0" applyNumberFormat="1"/>
    <xf numFmtId="0" fontId="52" fillId="17" borderId="9" xfId="0" applyFont="1" applyFill="1" applyBorder="1" applyAlignment="1" applyProtection="1">
      <alignment horizontal="center" vertical="center" wrapText="1"/>
      <protection locked="0"/>
    </xf>
    <xf numFmtId="0" fontId="37" fillId="10" borderId="9" xfId="0" applyFont="1" applyFill="1" applyBorder="1" applyAlignment="1" applyProtection="1">
      <alignment horizontal="center" vertical="center" wrapText="1"/>
      <protection locked="0"/>
    </xf>
    <xf numFmtId="0" fontId="38" fillId="10" borderId="0" xfId="0" applyFont="1" applyFill="1" applyBorder="1" applyAlignment="1" applyProtection="1">
      <alignment horizontal="left" vertical="center"/>
      <protection locked="0"/>
    </xf>
    <xf numFmtId="0" fontId="39" fillId="11" borderId="0" xfId="0" applyFont="1" applyFill="1" applyBorder="1" applyAlignment="1" applyProtection="1">
      <alignment horizontal="left" vertical="center"/>
      <protection locked="0"/>
    </xf>
    <xf numFmtId="0" fontId="40" fillId="11" borderId="0" xfId="0" applyFont="1" applyFill="1" applyBorder="1" applyAlignment="1" applyProtection="1">
      <alignment horizontal="left" vertical="center"/>
      <protection locked="0"/>
    </xf>
    <xf numFmtId="0" fontId="44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0" fontId="46" fillId="13" borderId="9" xfId="0" applyFont="1" applyFill="1" applyBorder="1" applyAlignment="1" applyProtection="1">
      <alignment horizontal="center" vertical="center" wrapText="1"/>
      <protection locked="0"/>
    </xf>
    <xf numFmtId="0" fontId="74" fillId="30" borderId="9" xfId="0" applyFont="1" applyFill="1" applyBorder="1" applyAlignment="1" applyProtection="1">
      <alignment horizontal="center" vertical="center" wrapText="1"/>
      <protection locked="0"/>
    </xf>
    <xf numFmtId="0" fontId="70" fillId="2" borderId="9" xfId="0" applyFont="1" applyFill="1" applyBorder="1" applyAlignment="1" applyProtection="1">
      <alignment horizontal="center" vertical="center" wrapText="1"/>
      <protection locked="0"/>
    </xf>
    <xf numFmtId="0" fontId="73" fillId="29" borderId="9" xfId="0" applyFont="1" applyFill="1" applyBorder="1" applyAlignment="1" applyProtection="1">
      <alignment horizontal="center" vertical="center" wrapText="1"/>
      <protection locked="0"/>
    </xf>
    <xf numFmtId="0" fontId="64" fillId="25" borderId="0" xfId="0" applyFont="1" applyFill="1" applyAlignment="1" applyProtection="1">
      <alignment horizontal="left" vertical="center" wrapText="1"/>
      <protection locked="0"/>
    </xf>
    <xf numFmtId="0" fontId="66" fillId="26" borderId="0" xfId="0" applyFont="1" applyFill="1" applyAlignment="1" applyProtection="1">
      <alignment horizontal="left" vertical="center" wrapText="1"/>
      <protection locked="0"/>
    </xf>
    <xf numFmtId="0" fontId="67" fillId="27" borderId="0" xfId="0" applyFont="1" applyFill="1" applyAlignment="1" applyProtection="1">
      <alignment horizontal="center" vertical="center" wrapText="1"/>
      <protection locked="0"/>
    </xf>
    <xf numFmtId="0" fontId="68" fillId="28" borderId="0" xfId="0" applyFont="1" applyFill="1" applyAlignment="1" applyProtection="1">
      <alignment horizontal="center" vertical="center" wrapText="1"/>
      <protection locked="0"/>
    </xf>
    <xf numFmtId="0" fontId="69" fillId="7" borderId="0" xfId="0" applyFont="1" applyFill="1" applyAlignment="1" applyProtection="1">
      <alignment horizontal="left" vertical="center" wrapText="1"/>
      <protection locked="0"/>
    </xf>
    <xf numFmtId="0" fontId="80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27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co/gestion_de_fotos" TargetMode="External"/><Relationship Id="rId3" Type="http://schemas.openxmlformats.org/officeDocument/2006/relationships/hyperlink" Target="https://www.mercadolibre.com.co/catalogo/explorar/codigos" TargetMode="External"/><Relationship Id="rId7" Type="http://schemas.openxmlformats.org/officeDocument/2006/relationships/hyperlink" Target="https://www.mercadolibre.com.co/gestion_de_fotos" TargetMode="External"/><Relationship Id="rId2" Type="http://schemas.openxmlformats.org/officeDocument/2006/relationships/hyperlink" Target="https://www.mercadolibre.com.co/publicar-masivamente/upload" TargetMode="External"/><Relationship Id="rId1" Type="http://schemas.openxmlformats.org/officeDocument/2006/relationships/hyperlink" Target="https://www.mercadolibre.com.co/gestion_de_fotos" TargetMode="External"/><Relationship Id="rId6" Type="http://schemas.openxmlformats.org/officeDocument/2006/relationships/hyperlink" Target="https://www.mercadolibre.com.co/ayuda/variantes-excel_5167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mercadolibre.com.co/ayuda/C-mo-agregar-las-fotos-de-mis-_5124" TargetMode="External"/><Relationship Id="rId10" Type="http://schemas.openxmlformats.org/officeDocument/2006/relationships/hyperlink" Target="https://www.mercadolibre.com.co/ayuda/Como-calcular-el-peso-de-tu-envio_4420" TargetMode="External"/><Relationship Id="rId4" Type="http://schemas.openxmlformats.org/officeDocument/2006/relationships/hyperlink" Target="https://www.mercadolibre.com.co/gestion_de_fotos" TargetMode="External"/><Relationship Id="rId9" Type="http://schemas.openxmlformats.org/officeDocument/2006/relationships/hyperlink" Target="https://vendedores.mercadolibre.com.co/nota/requisitos-de-fotos-para-sofa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co/gestion_de_fotos?from=excel" TargetMode="External"/><Relationship Id="rId13" Type="http://schemas.openxmlformats.org/officeDocument/2006/relationships/hyperlink" Target="https://www.mercadolibre.com.co/simulador-de-costos" TargetMode="External"/><Relationship Id="rId3" Type="http://schemas.openxmlformats.org/officeDocument/2006/relationships/hyperlink" Target="https://www.mercadolibre.com.co/ayuda/variantes-excel_5167" TargetMode="External"/><Relationship Id="rId7" Type="http://schemas.openxmlformats.org/officeDocument/2006/relationships/hyperlink" Target="https://www.mercadolibre.com.co/moda/tallas?source=puma" TargetMode="External"/><Relationship Id="rId12" Type="http://schemas.openxmlformats.org/officeDocument/2006/relationships/hyperlink" Target="https://www.mercadolibre.com.co/ayuda/Como-calcular-el-peso-de-tu-envio_4420" TargetMode="External"/><Relationship Id="rId2" Type="http://schemas.openxmlformats.org/officeDocument/2006/relationships/hyperlink" Target="https://www.mercadolibre.com.co/ayuda/variantes-excel_5167" TargetMode="External"/><Relationship Id="rId1" Type="http://schemas.openxmlformats.org/officeDocument/2006/relationships/hyperlink" Target="https://www.mercadolibre.com.co/ayuda/31926" TargetMode="External"/><Relationship Id="rId6" Type="http://schemas.openxmlformats.org/officeDocument/2006/relationships/hyperlink" Target="https://www.mercadolibre.com.co/moda/tallas?source=puma" TargetMode="External"/><Relationship Id="rId11" Type="http://schemas.openxmlformats.org/officeDocument/2006/relationships/hyperlink" Target="https://www.mercadolibre.com.co/ayuda/Como-calcular-el-peso-de-tu-envio_4420" TargetMode="External"/><Relationship Id="rId5" Type="http://schemas.openxmlformats.org/officeDocument/2006/relationships/hyperlink" Target="https://www.mercadolibre.com.co/moda/tallas?source=puma" TargetMode="External"/><Relationship Id="rId10" Type="http://schemas.openxmlformats.org/officeDocument/2006/relationships/hyperlink" Target="https://www.mercadolibre.com.co/ayuda/Como-calcular-el-peso-de-tu-envio_4420" TargetMode="External"/><Relationship Id="rId4" Type="http://schemas.openxmlformats.org/officeDocument/2006/relationships/hyperlink" Target="https://www.mercadolibre.com.co/ayuda/variantes-excel_5167" TargetMode="External"/><Relationship Id="rId9" Type="http://schemas.openxmlformats.org/officeDocument/2006/relationships/hyperlink" Target="https://www.mercadolibre.com.co/ayuda/Como-calcular-el-peso-de-tu-envio_4420" TargetMode="External"/><Relationship Id="rId14" Type="http://schemas.openxmlformats.org/officeDocument/2006/relationships/hyperlink" Target="https://vendedores.mercadolibre.com.co/nota/aprende-a-completar-tu-excel-para-publicar-masivament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co/moda/tallas?source=pum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co/ayuda/Publicaciones-que-violen-la-pr_10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>
      <selection sqref="A1:A3"/>
    </sheetView>
  </sheetViews>
  <sheetFormatPr baseColWidth="10" defaultColWidth="12.5703125" defaultRowHeight="15.7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>
      <c r="A1" s="53"/>
      <c r="B1" s="53" t="s">
        <v>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20.25" customHeight="1">
      <c r="A2" s="54"/>
      <c r="B2" s="55" t="s">
        <v>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3" ht="16.5" customHeight="1">
      <c r="A3" s="54"/>
      <c r="B3" s="56" t="s">
        <v>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</row>
    <row r="4" spans="1:23" ht="14.25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>
      <c r="A6" s="3"/>
      <c r="B6" s="3"/>
      <c r="C6" s="57" t="s">
        <v>7</v>
      </c>
      <c r="D6" s="46"/>
      <c r="E6" s="3"/>
      <c r="F6" s="4"/>
      <c r="G6" s="41" t="s">
        <v>19</v>
      </c>
      <c r="H6" s="38"/>
      <c r="I6" s="3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>
      <c r="A8" s="3"/>
      <c r="B8" s="3"/>
      <c r="C8" s="58" t="s">
        <v>8</v>
      </c>
      <c r="D8" s="46"/>
      <c r="E8" s="3"/>
      <c r="F8" s="4"/>
      <c r="G8" s="44" t="s">
        <v>20</v>
      </c>
      <c r="H8" s="38"/>
      <c r="I8" s="3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>
      <c r="A9" s="3"/>
      <c r="B9" s="3"/>
      <c r="C9" s="59" t="s">
        <v>9</v>
      </c>
      <c r="D9" s="46"/>
      <c r="E9" s="3"/>
      <c r="F9" s="4"/>
      <c r="G9" s="38"/>
      <c r="H9" s="38"/>
      <c r="I9" s="3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>
      <c r="A10" s="3"/>
      <c r="B10" s="3"/>
      <c r="C10" s="46"/>
      <c r="D10" s="46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>
      <c r="A12" s="3"/>
      <c r="B12" s="3"/>
      <c r="C12" s="3"/>
      <c r="D12" s="3"/>
      <c r="E12" s="3"/>
      <c r="F12" s="4"/>
      <c r="G12" s="47" t="s">
        <v>21</v>
      </c>
      <c r="H12" s="38"/>
      <c r="I12" s="5" t="s">
        <v>26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>
      <c r="A13" s="3"/>
      <c r="B13" s="3"/>
      <c r="C13" s="60" t="s">
        <v>10</v>
      </c>
      <c r="D13" s="46"/>
      <c r="E13" s="3"/>
      <c r="F13" s="4"/>
      <c r="G13" s="48" t="s">
        <v>22</v>
      </c>
      <c r="H13" s="38"/>
      <c r="I13" s="5" t="s">
        <v>27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>
      <c r="A14" s="3"/>
      <c r="B14" s="3"/>
      <c r="C14" s="61" t="s">
        <v>11</v>
      </c>
      <c r="D14" s="46"/>
      <c r="E14" s="3"/>
      <c r="F14" s="4"/>
      <c r="G14" s="49" t="s">
        <v>23</v>
      </c>
      <c r="H14" s="38"/>
      <c r="I14" s="5" t="s">
        <v>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>
      <c r="A15" s="3"/>
      <c r="B15" s="3"/>
      <c r="C15" s="46"/>
      <c r="D15" s="46"/>
      <c r="E15" s="3"/>
      <c r="F15" s="4"/>
      <c r="G15" s="50" t="s">
        <v>24</v>
      </c>
      <c r="H15" s="38"/>
      <c r="I15" s="5" t="s">
        <v>29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>
      <c r="A16" s="3"/>
      <c r="B16" s="3"/>
      <c r="C16" s="46"/>
      <c r="D16" s="46"/>
      <c r="E16" s="3"/>
      <c r="F16" s="4"/>
      <c r="G16" s="51" t="s">
        <v>25</v>
      </c>
      <c r="H16" s="38"/>
      <c r="I16" s="5" t="s">
        <v>30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>
      <c r="A18" s="3"/>
      <c r="B18" s="3"/>
      <c r="C18" s="57" t="s">
        <v>12</v>
      </c>
      <c r="D18" s="46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>
      <c r="A19" s="3"/>
      <c r="B19" s="3"/>
      <c r="C19" s="62" t="s">
        <v>13</v>
      </c>
      <c r="D19" s="46"/>
      <c r="E19" s="3"/>
      <c r="F19" s="4"/>
      <c r="G19" s="41" t="s">
        <v>31</v>
      </c>
      <c r="H19" s="38"/>
      <c r="I19" s="3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>
      <c r="A20" s="3"/>
      <c r="B20" s="3"/>
      <c r="C20" s="63" t="s">
        <v>14</v>
      </c>
      <c r="D20" s="46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>
      <c r="A21" s="3"/>
      <c r="B21" s="3"/>
      <c r="C21" s="3"/>
      <c r="D21" s="3"/>
      <c r="E21" s="3"/>
      <c r="F21" s="4"/>
      <c r="G21" s="44" t="s">
        <v>32</v>
      </c>
      <c r="H21" s="38"/>
      <c r="I21" s="3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>
      <c r="A22" s="3"/>
      <c r="B22" s="3"/>
      <c r="C22" s="57" t="s">
        <v>15</v>
      </c>
      <c r="D22" s="46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>
      <c r="A23" s="3"/>
      <c r="B23" s="3"/>
      <c r="C23" s="64" t="s">
        <v>16</v>
      </c>
      <c r="D23" s="46"/>
      <c r="E23" s="3"/>
      <c r="F23" s="4"/>
      <c r="G23" s="38" t="s">
        <v>33</v>
      </c>
      <c r="H23" s="38"/>
      <c r="I23" s="3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>
      <c r="A24" s="3"/>
      <c r="B24" s="3"/>
      <c r="C24" s="46"/>
      <c r="D24" s="46"/>
      <c r="E24" s="3"/>
      <c r="F24" s="4"/>
      <c r="G24" s="38"/>
      <c r="H24" s="38"/>
      <c r="I24" s="3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>
      <c r="A25" s="3"/>
      <c r="B25" s="3"/>
      <c r="C25" s="3"/>
      <c r="D25" s="3"/>
      <c r="E25" s="3"/>
      <c r="F25" s="4"/>
      <c r="G25" s="40" t="s">
        <v>34</v>
      </c>
      <c r="H25" s="38"/>
      <c r="I25" s="3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>
      <c r="A26" s="3"/>
      <c r="B26" s="3"/>
      <c r="C26" s="64" t="s">
        <v>17</v>
      </c>
      <c r="D26" s="46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>
      <c r="A27" s="3"/>
      <c r="B27" s="3"/>
      <c r="C27" s="45" t="s">
        <v>18</v>
      </c>
      <c r="D27" s="46"/>
      <c r="E27" s="3"/>
      <c r="F27" s="4"/>
      <c r="G27" s="38" t="s">
        <v>35</v>
      </c>
      <c r="H27" s="38"/>
      <c r="I27" s="3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>
      <c r="A28" s="3"/>
      <c r="B28" s="3"/>
      <c r="C28" s="3"/>
      <c r="D28" s="3"/>
      <c r="E28" s="3"/>
      <c r="F28" s="4"/>
      <c r="G28" s="44" t="s">
        <v>36</v>
      </c>
      <c r="H28" s="38"/>
      <c r="I28" s="3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>
      <c r="A29" s="3"/>
      <c r="B29" s="3"/>
      <c r="C29" s="3"/>
      <c r="D29" s="3"/>
      <c r="E29" s="3"/>
      <c r="F29" s="4"/>
      <c r="G29" s="44" t="s">
        <v>37</v>
      </c>
      <c r="H29" s="38"/>
      <c r="I29" s="3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>
      <c r="A31" s="3"/>
      <c r="B31" s="3"/>
      <c r="C31" s="3"/>
      <c r="D31" s="3"/>
      <c r="E31" s="3"/>
      <c r="F31" s="4"/>
      <c r="G31" s="40" t="s">
        <v>38</v>
      </c>
      <c r="H31" s="38"/>
      <c r="I31" s="3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>
      <c r="A32" s="3"/>
      <c r="B32" s="3"/>
      <c r="C32" s="3"/>
      <c r="D32" s="3"/>
      <c r="E32" s="3"/>
      <c r="F32" s="4"/>
      <c r="G32" s="44" t="s">
        <v>39</v>
      </c>
      <c r="H32" s="38"/>
      <c r="I32" s="3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>
      <c r="A34" s="3"/>
      <c r="B34" s="3"/>
      <c r="C34" s="3"/>
      <c r="D34" s="3"/>
      <c r="E34" s="3"/>
      <c r="F34" s="4"/>
      <c r="G34" s="41" t="s">
        <v>40</v>
      </c>
      <c r="H34" s="38"/>
      <c r="I34" s="3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>
      <c r="A36" s="3"/>
      <c r="B36" s="3"/>
      <c r="C36" s="3"/>
      <c r="D36" s="3"/>
      <c r="E36" s="3"/>
      <c r="F36" s="4"/>
      <c r="G36" s="38" t="s">
        <v>41</v>
      </c>
      <c r="H36" s="38"/>
      <c r="I36" s="3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>
      <c r="A38" s="3"/>
      <c r="B38" s="3"/>
      <c r="C38" s="3"/>
      <c r="D38" s="3"/>
      <c r="E38" s="3"/>
      <c r="F38" s="4"/>
      <c r="G38" s="38" t="s">
        <v>42</v>
      </c>
      <c r="H38" s="38"/>
      <c r="I38" s="3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>
      <c r="A39" s="3"/>
      <c r="B39" s="3"/>
      <c r="C39" s="3"/>
      <c r="D39" s="3"/>
      <c r="E39" s="3"/>
      <c r="F39" s="4"/>
      <c r="G39" s="38" t="s">
        <v>43</v>
      </c>
      <c r="H39" s="38"/>
      <c r="I39" s="3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>
      <c r="A40" s="3"/>
      <c r="B40" s="3"/>
      <c r="C40" s="3"/>
      <c r="D40" s="3"/>
      <c r="E40" s="3"/>
      <c r="F40" s="4"/>
      <c r="G40" s="37" t="s">
        <v>44</v>
      </c>
      <c r="H40" s="38"/>
      <c r="I40" s="3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>
      <c r="A41" s="3"/>
      <c r="B41" s="3"/>
      <c r="C41" s="3"/>
      <c r="D41" s="3"/>
      <c r="E41" s="3"/>
      <c r="F41" s="4"/>
      <c r="G41" s="38" t="s">
        <v>45</v>
      </c>
      <c r="H41" s="38"/>
      <c r="I41" s="3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>
      <c r="A43" s="3"/>
      <c r="B43" s="3"/>
      <c r="C43" s="3"/>
      <c r="D43" s="3"/>
      <c r="E43" s="3"/>
      <c r="F43" s="4"/>
      <c r="G43" s="39" t="s">
        <v>46</v>
      </c>
      <c r="H43" s="38"/>
      <c r="I43" s="3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>
      <c r="A45" s="3"/>
      <c r="B45" s="3"/>
      <c r="C45" s="3"/>
      <c r="D45" s="3"/>
      <c r="E45" s="3"/>
      <c r="F45" s="4"/>
      <c r="G45" s="38" t="s">
        <v>47</v>
      </c>
      <c r="H45" s="38"/>
      <c r="I45" s="3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>
      <c r="A46" s="3"/>
      <c r="B46" s="3"/>
      <c r="C46" s="3"/>
      <c r="D46" s="3"/>
      <c r="E46" s="3"/>
      <c r="F46" s="4"/>
      <c r="G46" s="38"/>
      <c r="H46" s="38"/>
      <c r="I46" s="3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>
      <c r="A48" s="3"/>
      <c r="B48" s="3"/>
      <c r="C48" s="3"/>
      <c r="D48" s="3"/>
      <c r="E48" s="3"/>
      <c r="F48" s="4"/>
      <c r="G48" s="39" t="s">
        <v>48</v>
      </c>
      <c r="H48" s="38"/>
      <c r="I48" s="3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>
      <c r="A50" s="3"/>
      <c r="B50" s="3"/>
      <c r="C50" s="3"/>
      <c r="D50" s="3"/>
      <c r="E50" s="3"/>
      <c r="F50" s="4"/>
      <c r="G50" s="41" t="s">
        <v>49</v>
      </c>
      <c r="H50" s="38"/>
      <c r="I50" s="3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>
      <c r="A52" s="3"/>
      <c r="B52" s="3"/>
      <c r="C52" s="3"/>
      <c r="D52" s="3"/>
      <c r="E52" s="3"/>
      <c r="F52" s="4"/>
      <c r="G52" s="37" t="s">
        <v>50</v>
      </c>
      <c r="H52" s="38"/>
      <c r="I52" s="3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>
      <c r="A53" s="3"/>
      <c r="B53" s="3"/>
      <c r="C53" s="3"/>
      <c r="D53" s="3"/>
      <c r="E53" s="3"/>
      <c r="F53" s="4"/>
      <c r="G53" s="38"/>
      <c r="H53" s="38"/>
      <c r="I53" s="3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>
      <c r="A55" s="3"/>
      <c r="B55" s="3"/>
      <c r="C55" s="3"/>
      <c r="D55" s="3"/>
      <c r="E55" s="3"/>
      <c r="F55" s="4"/>
      <c r="G55" s="38" t="s">
        <v>51</v>
      </c>
      <c r="H55" s="38"/>
      <c r="I55" s="3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>
      <c r="A56" s="3"/>
      <c r="B56" s="3"/>
      <c r="C56" s="3"/>
      <c r="D56" s="3"/>
      <c r="E56" s="3"/>
      <c r="F56" s="4"/>
      <c r="G56" s="38" t="s">
        <v>52</v>
      </c>
      <c r="H56" s="38"/>
      <c r="I56" s="3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>
      <c r="A57" s="3"/>
      <c r="B57" s="3"/>
      <c r="C57" s="3"/>
      <c r="D57" s="3"/>
      <c r="E57" s="3"/>
      <c r="F57" s="4"/>
      <c r="G57" s="38" t="s">
        <v>53</v>
      </c>
      <c r="H57" s="38"/>
      <c r="I57" s="3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>
      <c r="A58" s="3"/>
      <c r="B58" s="3"/>
      <c r="C58" s="3"/>
      <c r="D58" s="3"/>
      <c r="E58" s="3"/>
      <c r="F58" s="4"/>
      <c r="G58" s="38" t="s">
        <v>54</v>
      </c>
      <c r="H58" s="38"/>
      <c r="I58" s="3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>
      <c r="A60" s="3"/>
      <c r="B60" s="3"/>
      <c r="C60" s="3"/>
      <c r="D60" s="3"/>
      <c r="E60" s="3"/>
      <c r="F60" s="4"/>
      <c r="G60" s="39" t="s">
        <v>55</v>
      </c>
      <c r="H60" s="38"/>
      <c r="I60" s="3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>
      <c r="A62" s="3"/>
      <c r="B62" s="3"/>
      <c r="C62" s="3"/>
      <c r="D62" s="3"/>
      <c r="E62" s="3"/>
      <c r="F62" s="4"/>
      <c r="G62" s="43" t="s">
        <v>56</v>
      </c>
      <c r="H62" s="38"/>
      <c r="I62" s="3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>
      <c r="A64" s="3"/>
      <c r="B64" s="3"/>
      <c r="C64" s="3"/>
      <c r="D64" s="3"/>
      <c r="E64" s="3"/>
      <c r="F64" s="4"/>
      <c r="G64" s="4"/>
      <c r="H64" s="42" t="s">
        <v>57</v>
      </c>
      <c r="I64" s="3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>
      <c r="A65" s="3"/>
      <c r="B65" s="3"/>
      <c r="C65" s="3"/>
      <c r="D65" s="3"/>
      <c r="E65" s="3"/>
      <c r="F65" s="4"/>
      <c r="G65" s="4"/>
      <c r="H65" s="38" t="s">
        <v>58</v>
      </c>
      <c r="I65" s="3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>
      <c r="A66" s="3"/>
      <c r="B66" s="3"/>
      <c r="C66" s="3"/>
      <c r="D66" s="3"/>
      <c r="E66" s="3"/>
      <c r="F66" s="4"/>
      <c r="G66" s="4"/>
      <c r="H66" s="38" t="s">
        <v>59</v>
      </c>
      <c r="I66" s="3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>
      <c r="A67" s="3"/>
      <c r="B67" s="3"/>
      <c r="C67" s="3"/>
      <c r="D67" s="3"/>
      <c r="E67" s="3"/>
      <c r="F67" s="4"/>
      <c r="G67" s="4"/>
      <c r="H67" s="38" t="s">
        <v>60</v>
      </c>
      <c r="I67" s="3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>
      <c r="A68" s="3"/>
      <c r="B68" s="3"/>
      <c r="C68" s="3"/>
      <c r="D68" s="3"/>
      <c r="E68" s="3"/>
      <c r="F68" s="4"/>
      <c r="G68" s="4"/>
      <c r="H68" s="39" t="s">
        <v>55</v>
      </c>
      <c r="I68" s="3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>
      <c r="A70" s="3"/>
      <c r="B70" s="3"/>
      <c r="C70" s="3"/>
      <c r="D70" s="3"/>
      <c r="E70" s="3"/>
      <c r="F70" s="4"/>
      <c r="G70" s="4"/>
      <c r="H70" s="42" t="s">
        <v>61</v>
      </c>
      <c r="I70" s="3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>
      <c r="A71" s="3"/>
      <c r="B71" s="3"/>
      <c r="C71" s="3"/>
      <c r="D71" s="3"/>
      <c r="E71" s="3"/>
      <c r="F71" s="4"/>
      <c r="G71" s="4"/>
      <c r="H71" s="38" t="s">
        <v>62</v>
      </c>
      <c r="I71" s="3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>
      <c r="A72" s="3"/>
      <c r="B72" s="3"/>
      <c r="C72" s="3"/>
      <c r="D72" s="3"/>
      <c r="E72" s="3"/>
      <c r="F72" s="4"/>
      <c r="G72" s="4"/>
      <c r="H72" s="38" t="s">
        <v>63</v>
      </c>
      <c r="I72" s="3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>
      <c r="A73" s="3"/>
      <c r="B73" s="3"/>
      <c r="C73" s="3"/>
      <c r="D73" s="3"/>
      <c r="E73" s="3"/>
      <c r="F73" s="4"/>
      <c r="G73" s="4"/>
      <c r="H73" s="38" t="s">
        <v>64</v>
      </c>
      <c r="I73" s="3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>
      <c r="A74" s="3"/>
      <c r="B74" s="3"/>
      <c r="C74" s="3"/>
      <c r="D74" s="3"/>
      <c r="E74" s="3"/>
      <c r="F74" s="4"/>
      <c r="G74" s="4"/>
      <c r="H74" s="39" t="s">
        <v>55</v>
      </c>
      <c r="I74" s="3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.100000000000001" customHeight="1">
      <c r="A76" s="3"/>
      <c r="B76" s="3"/>
      <c r="C76" s="3"/>
      <c r="D76" s="3"/>
      <c r="E76" s="3"/>
      <c r="F76" s="4"/>
      <c r="G76" s="4"/>
      <c r="H76" s="42" t="s">
        <v>65</v>
      </c>
      <c r="I76" s="3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4.95" customHeight="1">
      <c r="A77" s="3"/>
      <c r="B77" s="3"/>
      <c r="C77" s="3"/>
      <c r="D77" s="3"/>
      <c r="E77" s="3"/>
      <c r="F77" s="4"/>
      <c r="G77" s="4"/>
      <c r="H77" s="38" t="s">
        <v>66</v>
      </c>
      <c r="I77" s="3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4.95" customHeight="1">
      <c r="A78" s="3"/>
      <c r="B78" s="3"/>
      <c r="C78" s="3"/>
      <c r="D78" s="3"/>
      <c r="E78" s="3"/>
      <c r="F78" s="4"/>
      <c r="G78" s="4"/>
      <c r="H78" s="38" t="s">
        <v>67</v>
      </c>
      <c r="I78" s="3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.100000000000001" customHeight="1">
      <c r="A79" s="3"/>
      <c r="B79" s="3"/>
      <c r="C79" s="3"/>
      <c r="D79" s="3"/>
      <c r="E79" s="3"/>
      <c r="F79" s="4"/>
      <c r="G79" s="4"/>
      <c r="H79" s="38" t="s">
        <v>68</v>
      </c>
      <c r="I79" s="3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.100000000000001" customHeight="1">
      <c r="A80" s="3"/>
      <c r="B80" s="3"/>
      <c r="C80" s="3"/>
      <c r="D80" s="3"/>
      <c r="E80" s="3"/>
      <c r="F80" s="4"/>
      <c r="G80" s="4"/>
      <c r="H80" s="39" t="s">
        <v>55</v>
      </c>
      <c r="I80" s="3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7.100000000000001" customHeight="1">
      <c r="A82" s="3"/>
      <c r="B82" s="3"/>
      <c r="C82" s="3"/>
      <c r="D82" s="3"/>
      <c r="E82" s="3"/>
      <c r="F82" s="4"/>
      <c r="G82" s="41" t="s">
        <v>69</v>
      </c>
      <c r="H82" s="38"/>
      <c r="I82" s="3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7.100000000000001" customHeight="1">
      <c r="A84" s="3"/>
      <c r="B84" s="3"/>
      <c r="C84" s="3"/>
      <c r="D84" s="3"/>
      <c r="E84" s="3"/>
      <c r="F84" s="4"/>
      <c r="G84" s="37" t="s">
        <v>70</v>
      </c>
      <c r="H84" s="38"/>
      <c r="I84" s="3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21.95" customHeight="1">
      <c r="A86" s="3"/>
      <c r="B86" s="3"/>
      <c r="C86" s="3"/>
      <c r="D86" s="3"/>
      <c r="E86" s="3"/>
      <c r="F86" s="4"/>
      <c r="G86" s="40" t="s">
        <v>71</v>
      </c>
      <c r="H86" s="38"/>
      <c r="I86" s="3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5" customHeight="1">
      <c r="A88" s="3"/>
      <c r="B88" s="3"/>
      <c r="C88" s="3"/>
      <c r="D88" s="3"/>
      <c r="E88" s="3"/>
      <c r="F88" s="4"/>
      <c r="G88" s="37" t="s">
        <v>72</v>
      </c>
      <c r="H88" s="38"/>
      <c r="I88" s="3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5" customHeight="1">
      <c r="A89" s="3" t="s">
        <v>0</v>
      </c>
      <c r="B89" s="3"/>
      <c r="C89" s="3"/>
      <c r="D89" s="3"/>
      <c r="E89" s="3"/>
      <c r="F89" s="4"/>
      <c r="G89" s="37" t="s">
        <v>73</v>
      </c>
      <c r="H89" s="38"/>
      <c r="I89" s="3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21.95" customHeight="1">
      <c r="A91" s="3"/>
      <c r="B91" s="3"/>
      <c r="C91" s="3"/>
      <c r="D91" s="3"/>
      <c r="E91" s="3"/>
      <c r="F91" s="4"/>
      <c r="G91" s="40" t="s">
        <v>74</v>
      </c>
      <c r="H91" s="38"/>
      <c r="I91" s="3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" customHeight="1">
      <c r="A93" s="3"/>
      <c r="B93" s="3"/>
      <c r="C93" s="3"/>
      <c r="D93" s="3"/>
      <c r="E93" s="3"/>
      <c r="F93" s="4"/>
      <c r="G93" s="37" t="s">
        <v>75</v>
      </c>
      <c r="H93" s="38"/>
      <c r="I93" s="3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" customHeight="1">
      <c r="A94" s="3"/>
      <c r="B94" s="3"/>
      <c r="C94" s="3"/>
      <c r="D94" s="3"/>
      <c r="E94" s="3"/>
      <c r="F94" s="4"/>
      <c r="G94" s="37" t="s">
        <v>76</v>
      </c>
      <c r="H94" s="38"/>
      <c r="I94" s="3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" customHeight="1">
      <c r="A95" s="3"/>
      <c r="B95" s="3"/>
      <c r="C95" s="3"/>
      <c r="D95" s="3"/>
      <c r="E95" s="3"/>
      <c r="F95" s="4"/>
      <c r="G95" s="37" t="s">
        <v>77</v>
      </c>
      <c r="H95" s="38"/>
      <c r="I95" s="3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7.100000000000001" customHeight="1">
      <c r="A97" s="3"/>
      <c r="B97" s="3"/>
      <c r="C97" s="3"/>
      <c r="D97" s="3"/>
      <c r="E97" s="3"/>
      <c r="F97" s="4"/>
      <c r="G97" s="37" t="s">
        <v>78</v>
      </c>
      <c r="H97" s="38"/>
      <c r="I97" s="3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7.100000000000001" customHeight="1">
      <c r="A99" s="3"/>
      <c r="B99" s="3"/>
      <c r="C99" s="3"/>
      <c r="D99" s="3"/>
      <c r="E99" s="3"/>
      <c r="F99" s="4"/>
      <c r="G99" s="39" t="s">
        <v>55</v>
      </c>
      <c r="H99" s="38"/>
      <c r="I99" s="3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>
      <c r="A10001" s="52"/>
      <c r="B10001" s="52"/>
      <c r="C10001" s="52"/>
      <c r="D10001" s="52"/>
      <c r="E10001" s="52"/>
      <c r="F10001" s="52"/>
      <c r="G10001" s="52"/>
      <c r="H10001" s="52"/>
      <c r="I10001" s="52"/>
      <c r="J10001" s="52"/>
      <c r="K10001" s="52"/>
      <c r="L10001" s="52"/>
      <c r="M10001" s="52"/>
      <c r="N10001" s="52"/>
      <c r="O10001" s="52"/>
      <c r="P10001" s="52"/>
      <c r="Q10001" s="52"/>
      <c r="R10001" s="52"/>
      <c r="S10001" s="52"/>
      <c r="T10001" s="52"/>
      <c r="U10001" s="52"/>
      <c r="V10001" s="52"/>
      <c r="W10001" s="52"/>
    </row>
  </sheetData>
  <mergeCells count="76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  <mergeCell ref="G82:I82"/>
    <mergeCell ref="G84:I84"/>
    <mergeCell ref="G86:I86"/>
    <mergeCell ref="G88:I88"/>
    <mergeCell ref="G97:I97"/>
    <mergeCell ref="G99:I99"/>
    <mergeCell ref="G89:I89"/>
    <mergeCell ref="G91:I91"/>
    <mergeCell ref="G93:I93"/>
    <mergeCell ref="G94:I94"/>
    <mergeCell ref="G95:I95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  <hyperlink ref="H80" r:id="rId9" xr:uid="{00000000-0004-0000-0000-000008000000}"/>
    <hyperlink ref="G99" r:id="rId10" xr:uid="{00000000-0004-0000-0000-000009000000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8"/>
  <sheetViews>
    <sheetView workbookViewId="0"/>
  </sheetViews>
  <sheetFormatPr baseColWidth="10" defaultColWidth="9.140625" defaultRowHeight="12.75"/>
  <sheetData>
    <row r="1" spans="1:75">
      <c r="A1" t="s">
        <v>1</v>
      </c>
      <c r="B1" t="s">
        <v>2</v>
      </c>
      <c r="C1" t="s">
        <v>3</v>
      </c>
    </row>
    <row r="2" spans="1:75">
      <c r="A2" t="s">
        <v>85</v>
      </c>
      <c r="B2" t="s">
        <v>86</v>
      </c>
    </row>
    <row r="3" spans="1:7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  <c r="AF3" t="s">
        <v>123</v>
      </c>
      <c r="AG3" t="s">
        <v>124</v>
      </c>
      <c r="AH3" t="s">
        <v>125</v>
      </c>
      <c r="AI3" t="s">
        <v>126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P3" t="s">
        <v>133</v>
      </c>
      <c r="AQ3" t="s">
        <v>134</v>
      </c>
      <c r="AR3" t="s">
        <v>135</v>
      </c>
      <c r="AS3" t="s">
        <v>136</v>
      </c>
      <c r="AT3" t="s">
        <v>137</v>
      </c>
      <c r="AU3" t="s">
        <v>138</v>
      </c>
      <c r="AV3" t="s">
        <v>139</v>
      </c>
      <c r="AW3" t="s">
        <v>140</v>
      </c>
      <c r="AX3" t="s">
        <v>141</v>
      </c>
      <c r="AY3" t="s">
        <v>142</v>
      </c>
      <c r="AZ3" t="s">
        <v>143</v>
      </c>
    </row>
    <row r="4" spans="1:75">
      <c r="A4" t="s">
        <v>92</v>
      </c>
      <c r="B4" t="s">
        <v>146</v>
      </c>
      <c r="C4" t="s">
        <v>147</v>
      </c>
      <c r="D4" t="s">
        <v>148</v>
      </c>
    </row>
    <row r="5" spans="1:75">
      <c r="A5" t="s">
        <v>92</v>
      </c>
      <c r="B5" t="s">
        <v>151</v>
      </c>
      <c r="C5" t="s">
        <v>152</v>
      </c>
      <c r="D5" t="s">
        <v>153</v>
      </c>
      <c r="E5" t="s">
        <v>154</v>
      </c>
    </row>
    <row r="6" spans="1:75">
      <c r="A6" t="s">
        <v>92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I6" t="s">
        <v>164</v>
      </c>
      <c r="J6" t="s">
        <v>165</v>
      </c>
      <c r="K6" t="s">
        <v>166</v>
      </c>
      <c r="L6" t="s">
        <v>167</v>
      </c>
      <c r="M6" t="s">
        <v>168</v>
      </c>
      <c r="N6" t="s">
        <v>169</v>
      </c>
      <c r="O6" t="s">
        <v>170</v>
      </c>
      <c r="P6" t="s">
        <v>171</v>
      </c>
      <c r="Q6" t="s">
        <v>172</v>
      </c>
      <c r="R6" t="s">
        <v>173</v>
      </c>
      <c r="S6" t="s">
        <v>174</v>
      </c>
      <c r="T6" t="s">
        <v>175</v>
      </c>
      <c r="U6" t="s">
        <v>176</v>
      </c>
      <c r="V6" t="s">
        <v>177</v>
      </c>
      <c r="W6" t="s">
        <v>178</v>
      </c>
      <c r="X6" t="s">
        <v>179</v>
      </c>
      <c r="Y6" t="s">
        <v>180</v>
      </c>
      <c r="Z6" t="s">
        <v>181</v>
      </c>
      <c r="AA6" t="s">
        <v>182</v>
      </c>
      <c r="AB6" t="s">
        <v>183</v>
      </c>
      <c r="AC6" t="s">
        <v>184</v>
      </c>
      <c r="AD6" t="s">
        <v>185</v>
      </c>
      <c r="AE6" t="s">
        <v>186</v>
      </c>
      <c r="AF6" t="s">
        <v>187</v>
      </c>
      <c r="AG6" t="s">
        <v>188</v>
      </c>
    </row>
    <row r="7" spans="1:75">
      <c r="A7" t="s">
        <v>92</v>
      </c>
      <c r="B7" t="s">
        <v>192</v>
      </c>
      <c r="C7" t="s">
        <v>193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199</v>
      </c>
      <c r="J7" t="s">
        <v>200</v>
      </c>
      <c r="K7" t="s">
        <v>201</v>
      </c>
      <c r="L7" t="s">
        <v>202</v>
      </c>
      <c r="M7" t="s">
        <v>203</v>
      </c>
      <c r="N7" t="s">
        <v>204</v>
      </c>
      <c r="O7" t="s">
        <v>205</v>
      </c>
      <c r="P7" t="s">
        <v>206</v>
      </c>
      <c r="Q7" t="s">
        <v>207</v>
      </c>
      <c r="R7" t="s">
        <v>208</v>
      </c>
      <c r="S7" t="s">
        <v>209</v>
      </c>
      <c r="T7" t="s">
        <v>210</v>
      </c>
      <c r="U7" t="s">
        <v>211</v>
      </c>
      <c r="V7" t="s">
        <v>212</v>
      </c>
      <c r="W7" t="s">
        <v>213</v>
      </c>
      <c r="X7" t="s">
        <v>214</v>
      </c>
      <c r="Y7" t="s">
        <v>215</v>
      </c>
      <c r="Z7" t="s">
        <v>216</v>
      </c>
      <c r="AA7" t="s">
        <v>217</v>
      </c>
      <c r="AB7" t="s">
        <v>218</v>
      </c>
      <c r="AC7" t="s">
        <v>219</v>
      </c>
      <c r="AD7" t="s">
        <v>220</v>
      </c>
      <c r="AE7" t="s">
        <v>221</v>
      </c>
      <c r="AF7" t="s">
        <v>222</v>
      </c>
      <c r="AG7" t="s">
        <v>223</v>
      </c>
      <c r="AH7" t="s">
        <v>224</v>
      </c>
      <c r="AI7" t="s">
        <v>225</v>
      </c>
      <c r="AJ7" t="s">
        <v>226</v>
      </c>
      <c r="AK7" t="s">
        <v>227</v>
      </c>
      <c r="AL7" t="s">
        <v>228</v>
      </c>
      <c r="AM7" t="s">
        <v>229</v>
      </c>
      <c r="AN7" t="s">
        <v>230</v>
      </c>
      <c r="AO7" t="s">
        <v>231</v>
      </c>
      <c r="AP7" t="s">
        <v>232</v>
      </c>
      <c r="AQ7" t="s">
        <v>233</v>
      </c>
      <c r="AR7" t="s">
        <v>234</v>
      </c>
      <c r="AS7" t="s">
        <v>235</v>
      </c>
      <c r="AT7" t="s">
        <v>236</v>
      </c>
      <c r="AU7" t="s">
        <v>237</v>
      </c>
      <c r="AV7" t="s">
        <v>238</v>
      </c>
      <c r="AW7" t="s">
        <v>239</v>
      </c>
      <c r="AX7" t="s">
        <v>240</v>
      </c>
      <c r="AY7" t="s">
        <v>241</v>
      </c>
      <c r="AZ7" t="s">
        <v>242</v>
      </c>
      <c r="BA7" t="s">
        <v>243</v>
      </c>
      <c r="BB7" t="s">
        <v>244</v>
      </c>
      <c r="BC7" t="s">
        <v>245</v>
      </c>
      <c r="BD7" t="s">
        <v>246</v>
      </c>
      <c r="BE7" t="s">
        <v>247</v>
      </c>
      <c r="BF7" t="s">
        <v>248</v>
      </c>
      <c r="BG7" t="s">
        <v>249</v>
      </c>
      <c r="BH7" t="s">
        <v>250</v>
      </c>
      <c r="BI7" t="s">
        <v>251</v>
      </c>
      <c r="BJ7" t="s">
        <v>252</v>
      </c>
      <c r="BK7" t="s">
        <v>253</v>
      </c>
      <c r="BL7" t="s">
        <v>254</v>
      </c>
      <c r="BM7" t="s">
        <v>255</v>
      </c>
      <c r="BN7" t="s">
        <v>256</v>
      </c>
      <c r="BO7" t="s">
        <v>257</v>
      </c>
      <c r="BP7" t="s">
        <v>258</v>
      </c>
      <c r="BQ7" t="s">
        <v>259</v>
      </c>
      <c r="BR7" t="s">
        <v>260</v>
      </c>
      <c r="BS7" t="s">
        <v>261</v>
      </c>
      <c r="BT7" t="s">
        <v>262</v>
      </c>
      <c r="BU7" t="s">
        <v>263</v>
      </c>
      <c r="BV7" t="s">
        <v>264</v>
      </c>
      <c r="BW7" t="s">
        <v>265</v>
      </c>
    </row>
    <row r="8" spans="1:75">
      <c r="A8" t="s">
        <v>268</v>
      </c>
      <c r="B8" t="s">
        <v>269</v>
      </c>
      <c r="C8" t="s">
        <v>270</v>
      </c>
      <c r="D8" t="s">
        <v>271</v>
      </c>
      <c r="E8" t="s">
        <v>272</v>
      </c>
      <c r="F8" t="s">
        <v>273</v>
      </c>
      <c r="G8" t="s">
        <v>274</v>
      </c>
      <c r="H8" t="s">
        <v>275</v>
      </c>
    </row>
    <row r="9" spans="1:75">
      <c r="A9" t="s">
        <v>278</v>
      </c>
      <c r="B9" t="s">
        <v>279</v>
      </c>
      <c r="C9" t="s">
        <v>280</v>
      </c>
      <c r="D9" t="s">
        <v>281</v>
      </c>
      <c r="E9" t="s">
        <v>282</v>
      </c>
      <c r="F9" t="s">
        <v>283</v>
      </c>
      <c r="G9" t="s">
        <v>284</v>
      </c>
      <c r="H9" t="s">
        <v>285</v>
      </c>
      <c r="I9" t="s">
        <v>286</v>
      </c>
      <c r="J9" t="s">
        <v>287</v>
      </c>
      <c r="K9" t="s">
        <v>288</v>
      </c>
    </row>
    <row r="10" spans="1:75">
      <c r="A10" t="s">
        <v>92</v>
      </c>
      <c r="B10" t="s">
        <v>295</v>
      </c>
      <c r="C10" t="s">
        <v>296</v>
      </c>
      <c r="D10" t="s">
        <v>297</v>
      </c>
      <c r="E10" t="s">
        <v>298</v>
      </c>
    </row>
    <row r="11" spans="1:75">
      <c r="A11" t="s">
        <v>268</v>
      </c>
      <c r="B11" t="s">
        <v>306</v>
      </c>
      <c r="C11" t="s">
        <v>307</v>
      </c>
    </row>
    <row r="12" spans="1:75">
      <c r="A12" t="s">
        <v>322</v>
      </c>
      <c r="B12" t="s">
        <v>321</v>
      </c>
    </row>
    <row r="13" spans="1:75">
      <c r="A13" t="s">
        <v>326</v>
      </c>
      <c r="B13" t="s">
        <v>327</v>
      </c>
    </row>
    <row r="14" spans="1:75">
      <c r="A14" t="s">
        <v>329</v>
      </c>
      <c r="B14" t="s">
        <v>330</v>
      </c>
    </row>
    <row r="15" spans="1:75">
      <c r="A15" t="s">
        <v>334</v>
      </c>
      <c r="B15" t="s">
        <v>335</v>
      </c>
    </row>
    <row r="16" spans="1:75">
      <c r="A16" t="s">
        <v>337</v>
      </c>
      <c r="B16" t="s">
        <v>338</v>
      </c>
      <c r="C16" t="s">
        <v>339</v>
      </c>
    </row>
    <row r="17" spans="1:28">
      <c r="A17" t="s">
        <v>268</v>
      </c>
      <c r="B17" t="s">
        <v>342</v>
      </c>
      <c r="C17" t="s">
        <v>343</v>
      </c>
      <c r="D17" t="s">
        <v>344</v>
      </c>
    </row>
    <row r="18" spans="1:28">
      <c r="A18" t="s">
        <v>268</v>
      </c>
      <c r="B18" t="s">
        <v>350</v>
      </c>
      <c r="C18" t="s">
        <v>351</v>
      </c>
    </row>
    <row r="19" spans="1:28">
      <c r="A19" t="s">
        <v>92</v>
      </c>
      <c r="B19" t="s">
        <v>353</v>
      </c>
      <c r="C19" t="s">
        <v>354</v>
      </c>
      <c r="D19" t="s">
        <v>355</v>
      </c>
      <c r="E19" t="s">
        <v>356</v>
      </c>
      <c r="F19" t="s">
        <v>357</v>
      </c>
      <c r="G19" t="s">
        <v>358</v>
      </c>
      <c r="H19" t="s">
        <v>359</v>
      </c>
      <c r="I19" t="s">
        <v>360</v>
      </c>
      <c r="J19" t="s">
        <v>361</v>
      </c>
      <c r="K19" t="s">
        <v>362</v>
      </c>
      <c r="L19" t="s">
        <v>363</v>
      </c>
      <c r="M19" t="s">
        <v>364</v>
      </c>
      <c r="N19" t="s">
        <v>365</v>
      </c>
      <c r="O19" t="s">
        <v>366</v>
      </c>
      <c r="P19" t="s">
        <v>367</v>
      </c>
      <c r="Q19" t="s">
        <v>368</v>
      </c>
      <c r="R19" t="s">
        <v>369</v>
      </c>
      <c r="S19" t="s">
        <v>370</v>
      </c>
      <c r="T19" t="s">
        <v>371</v>
      </c>
      <c r="U19" t="s">
        <v>372</v>
      </c>
      <c r="V19" t="s">
        <v>373</v>
      </c>
      <c r="W19" t="s">
        <v>374</v>
      </c>
      <c r="X19" t="s">
        <v>375</v>
      </c>
      <c r="Y19" t="s">
        <v>376</v>
      </c>
      <c r="Z19" t="s">
        <v>377</v>
      </c>
      <c r="AA19" t="s">
        <v>378</v>
      </c>
      <c r="AB19" t="s">
        <v>379</v>
      </c>
    </row>
    <row r="20" spans="1:28">
      <c r="A20" t="s">
        <v>268</v>
      </c>
      <c r="B20" t="s">
        <v>381</v>
      </c>
      <c r="C20" t="s">
        <v>382</v>
      </c>
    </row>
    <row r="21" spans="1:28">
      <c r="A21" t="s">
        <v>92</v>
      </c>
      <c r="B21" t="s">
        <v>384</v>
      </c>
      <c r="C21" t="s">
        <v>385</v>
      </c>
    </row>
    <row r="22" spans="1:28">
      <c r="A22" t="s">
        <v>92</v>
      </c>
      <c r="B22" t="s">
        <v>387</v>
      </c>
      <c r="C22" t="s">
        <v>368</v>
      </c>
    </row>
    <row r="23" spans="1:28">
      <c r="A23" t="s">
        <v>92</v>
      </c>
      <c r="B23" t="s">
        <v>355</v>
      </c>
      <c r="C23" t="s">
        <v>363</v>
      </c>
    </row>
    <row r="24" spans="1:28">
      <c r="A24" t="s">
        <v>268</v>
      </c>
      <c r="B24" t="s">
        <v>390</v>
      </c>
      <c r="C24" t="s">
        <v>391</v>
      </c>
      <c r="D24" t="s">
        <v>392</v>
      </c>
      <c r="E24" t="s">
        <v>393</v>
      </c>
      <c r="F24" t="s">
        <v>394</v>
      </c>
    </row>
    <row r="25" spans="1:28">
      <c r="A25" t="s">
        <v>268</v>
      </c>
      <c r="B25" t="s">
        <v>396</v>
      </c>
      <c r="C25" t="s">
        <v>351</v>
      </c>
      <c r="D25" t="s">
        <v>397</v>
      </c>
      <c r="E25" t="s">
        <v>398</v>
      </c>
      <c r="F25" t="s">
        <v>399</v>
      </c>
      <c r="G25" t="s">
        <v>400</v>
      </c>
    </row>
    <row r="26" spans="1:28">
      <c r="A26" t="s">
        <v>268</v>
      </c>
      <c r="B26" t="s">
        <v>402</v>
      </c>
      <c r="C26" t="s">
        <v>403</v>
      </c>
      <c r="D26" t="s">
        <v>404</v>
      </c>
      <c r="E26" t="s">
        <v>405</v>
      </c>
    </row>
    <row r="27" spans="1:28">
      <c r="A27" t="s">
        <v>268</v>
      </c>
      <c r="B27" t="s">
        <v>381</v>
      </c>
      <c r="C27" t="s">
        <v>382</v>
      </c>
    </row>
    <row r="28" spans="1:28">
      <c r="A28" t="s">
        <v>268</v>
      </c>
      <c r="B28" t="s">
        <v>381</v>
      </c>
      <c r="C28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00"/>
  <sheetViews>
    <sheetView tabSelected="1" topLeftCell="C1" workbookViewId="0">
      <selection activeCell="K5" sqref="K5"/>
    </sheetView>
  </sheetViews>
  <sheetFormatPr baseColWidth="10" defaultColWidth="9.140625" defaultRowHeight="14.25"/>
  <cols>
    <col min="1" max="1" width="62.42578125" style="6" customWidth="1"/>
    <col min="2" max="2" width="8.7109375" customWidth="1"/>
    <col min="3" max="8" width="26.140625" customWidth="1"/>
    <col min="9" max="9" width="26.140625" style="12" customWidth="1"/>
    <col min="10" max="10" width="39.5703125" customWidth="1"/>
    <col min="11" max="11" width="65.140625" style="13" customWidth="1"/>
    <col min="12" max="12" width="35.140625" customWidth="1"/>
    <col min="13" max="13" width="26.140625" customWidth="1"/>
    <col min="14" max="14" width="16.42578125" style="14" customWidth="1"/>
    <col min="15" max="15" width="23.42578125" style="15" customWidth="1"/>
    <col min="16" max="16" width="26.140625" style="12" customWidth="1"/>
    <col min="17" max="17" width="26.140625" style="17" customWidth="1"/>
    <col min="18" max="18" width="43" style="18" customWidth="1"/>
    <col min="19" max="19" width="26.140625" style="20" customWidth="1"/>
    <col min="20" max="20" width="26.140625" style="22" customWidth="1"/>
    <col min="21" max="21" width="26.140625" style="23" customWidth="1"/>
    <col min="22" max="22" width="26.140625" style="24" customWidth="1"/>
    <col min="23" max="23" width="19.5703125" style="9" customWidth="1"/>
    <col min="24" max="24" width="39.42578125" customWidth="1"/>
    <col min="25" max="25" width="19.5703125" style="9" customWidth="1"/>
    <col min="26" max="26" width="35.5703125" customWidth="1"/>
    <col min="27" max="28" width="27.28515625" customWidth="1"/>
    <col min="29" max="29" width="26.140625" style="12" customWidth="1"/>
    <col min="30" max="30" width="26.140625" style="26" customWidth="1"/>
    <col min="31" max="32" width="26.140625" customWidth="1"/>
    <col min="33" max="33" width="26.140625" style="12" customWidth="1"/>
    <col min="34" max="34" width="26.140625" customWidth="1"/>
    <col min="35" max="35" width="26.140625" style="12" customWidth="1"/>
    <col min="36" max="38" width="26.140625" customWidth="1"/>
    <col min="39" max="43" width="26.140625" style="12" customWidth="1"/>
    <col min="44" max="44" width="31.28515625" customWidth="1"/>
    <col min="45" max="46" width="15.5703125" style="28" hidden="1" customWidth="1"/>
  </cols>
  <sheetData>
    <row r="1" spans="1:46" ht="15" customHeight="1">
      <c r="A1" s="84" t="s">
        <v>89</v>
      </c>
      <c r="B1" s="52"/>
      <c r="C1" s="52"/>
      <c r="D1" s="88" t="s">
        <v>302</v>
      </c>
      <c r="E1" s="52"/>
      <c r="F1" s="52"/>
      <c r="G1" s="52"/>
      <c r="H1" s="52"/>
      <c r="I1" s="70"/>
      <c r="J1" s="52"/>
      <c r="K1" s="86"/>
      <c r="L1" s="52"/>
      <c r="M1" s="52"/>
      <c r="N1" s="87"/>
      <c r="O1" s="78" t="s">
        <v>22</v>
      </c>
      <c r="P1" s="70"/>
      <c r="Q1" s="71"/>
      <c r="R1" s="77"/>
      <c r="S1" s="81" t="s">
        <v>23</v>
      </c>
      <c r="T1" s="71"/>
      <c r="U1" s="71"/>
      <c r="V1" s="80"/>
      <c r="W1" s="72" t="s">
        <v>347</v>
      </c>
      <c r="X1" s="52"/>
      <c r="Y1" s="69"/>
      <c r="Z1" s="52"/>
      <c r="AA1" s="52"/>
      <c r="AB1" s="52"/>
      <c r="AC1" s="70"/>
      <c r="AD1" s="71"/>
      <c r="AE1" s="52"/>
      <c r="AF1" s="74" t="s">
        <v>408</v>
      </c>
      <c r="AG1" s="70"/>
      <c r="AH1" s="52"/>
      <c r="AI1" s="70"/>
      <c r="AJ1" s="52"/>
      <c r="AK1" s="52"/>
      <c r="AL1" s="52"/>
      <c r="AM1" s="70"/>
      <c r="AN1" s="70"/>
      <c r="AO1" s="70"/>
      <c r="AP1" s="70"/>
      <c r="AQ1" s="70"/>
      <c r="AR1" s="75" t="s">
        <v>82</v>
      </c>
      <c r="AS1" s="67" t="s">
        <v>82</v>
      </c>
      <c r="AT1" s="66"/>
    </row>
    <row r="2" spans="1:46" ht="27" customHeight="1">
      <c r="A2" s="85" t="s">
        <v>90</v>
      </c>
      <c r="B2" s="52"/>
      <c r="C2" s="52"/>
      <c r="D2" s="52"/>
      <c r="E2" s="52"/>
      <c r="F2" s="52"/>
      <c r="G2" s="52"/>
      <c r="H2" s="52"/>
      <c r="I2" s="70"/>
      <c r="J2" s="52"/>
      <c r="K2" s="86"/>
      <c r="L2" s="52"/>
      <c r="M2" s="52"/>
      <c r="N2" s="87"/>
      <c r="O2" s="79"/>
      <c r="P2" s="70"/>
      <c r="Q2" s="71"/>
      <c r="R2" s="77"/>
      <c r="S2" s="71"/>
      <c r="T2" s="71"/>
      <c r="U2" s="71"/>
      <c r="V2" s="80"/>
      <c r="W2" s="69"/>
      <c r="X2" s="52"/>
      <c r="Y2" s="69"/>
      <c r="Z2" s="52"/>
      <c r="AA2" s="52"/>
      <c r="AB2" s="52"/>
      <c r="AC2" s="70"/>
      <c r="AD2" s="71"/>
      <c r="AE2" s="52"/>
      <c r="AF2" s="52"/>
      <c r="AG2" s="70"/>
      <c r="AH2" s="52"/>
      <c r="AI2" s="70"/>
      <c r="AJ2" s="52"/>
      <c r="AK2" s="52"/>
      <c r="AL2" s="52"/>
      <c r="AM2" s="70"/>
      <c r="AN2" s="70"/>
      <c r="AO2" s="70"/>
      <c r="AP2" s="70"/>
      <c r="AQ2" s="70"/>
      <c r="AR2" s="52"/>
      <c r="AS2" s="66"/>
      <c r="AT2" s="66"/>
    </row>
    <row r="3" spans="1:46" ht="37.5" customHeight="1">
      <c r="A3" s="7" t="s">
        <v>79</v>
      </c>
      <c r="B3" s="7" t="s">
        <v>83</v>
      </c>
      <c r="C3" s="7" t="s">
        <v>84</v>
      </c>
      <c r="D3" s="11" t="s">
        <v>91</v>
      </c>
      <c r="E3" s="11" t="s">
        <v>145</v>
      </c>
      <c r="F3" s="11" t="s">
        <v>150</v>
      </c>
      <c r="G3" s="11" t="s">
        <v>156</v>
      </c>
      <c r="H3" s="11" t="s">
        <v>191</v>
      </c>
      <c r="I3" s="11" t="s">
        <v>267</v>
      </c>
      <c r="J3" s="11" t="s">
        <v>277</v>
      </c>
      <c r="K3" s="11" t="s">
        <v>291</v>
      </c>
      <c r="L3" s="11" t="s">
        <v>294</v>
      </c>
      <c r="M3" s="11" t="s">
        <v>300</v>
      </c>
      <c r="N3" s="11" t="s">
        <v>301</v>
      </c>
      <c r="O3" s="16" t="s">
        <v>303</v>
      </c>
      <c r="P3" s="16" t="s">
        <v>305</v>
      </c>
      <c r="Q3" s="16" t="s">
        <v>308</v>
      </c>
      <c r="R3" s="16" t="s">
        <v>310</v>
      </c>
      <c r="S3" s="21" t="s">
        <v>312</v>
      </c>
      <c r="T3" s="21" t="s">
        <v>315</v>
      </c>
      <c r="U3" s="21" t="s">
        <v>316</v>
      </c>
      <c r="V3" s="21" t="s">
        <v>317</v>
      </c>
      <c r="W3" s="25" t="s">
        <v>319</v>
      </c>
      <c r="X3" s="25" t="s">
        <v>321</v>
      </c>
      <c r="Y3" s="25" t="s">
        <v>323</v>
      </c>
      <c r="Z3" s="25" t="s">
        <v>325</v>
      </c>
      <c r="AA3" s="25" t="s">
        <v>328</v>
      </c>
      <c r="AB3" s="25" t="s">
        <v>333</v>
      </c>
      <c r="AC3" s="25" t="s">
        <v>336</v>
      </c>
      <c r="AD3" s="25" t="s">
        <v>340</v>
      </c>
      <c r="AE3" s="25" t="s">
        <v>341</v>
      </c>
      <c r="AF3" s="27" t="s">
        <v>348</v>
      </c>
      <c r="AG3" s="27" t="s">
        <v>349</v>
      </c>
      <c r="AH3" s="27" t="s">
        <v>352</v>
      </c>
      <c r="AI3" s="27" t="s">
        <v>380</v>
      </c>
      <c r="AJ3" s="27" t="s">
        <v>383</v>
      </c>
      <c r="AK3" s="27" t="s">
        <v>386</v>
      </c>
      <c r="AL3" s="27" t="s">
        <v>388</v>
      </c>
      <c r="AM3" s="27" t="s">
        <v>389</v>
      </c>
      <c r="AN3" s="27" t="s">
        <v>395</v>
      </c>
      <c r="AO3" s="27" t="s">
        <v>401</v>
      </c>
      <c r="AP3" s="27" t="s">
        <v>406</v>
      </c>
      <c r="AQ3" s="27" t="s">
        <v>407</v>
      </c>
      <c r="AR3" s="29" t="s">
        <v>409</v>
      </c>
      <c r="AS3" s="30" t="s">
        <v>412</v>
      </c>
      <c r="AT3" s="30" t="s">
        <v>413</v>
      </c>
    </row>
    <row r="4" spans="1:46" ht="17.25" customHeight="1">
      <c r="A4" s="8" t="s">
        <v>80</v>
      </c>
      <c r="B4" s="8" t="s">
        <v>82</v>
      </c>
      <c r="C4" s="8" t="s">
        <v>80</v>
      </c>
      <c r="D4" s="8" t="s">
        <v>80</v>
      </c>
      <c r="E4" s="8" t="s">
        <v>82</v>
      </c>
      <c r="F4" s="8" t="s">
        <v>82</v>
      </c>
      <c r="G4" s="8" t="s">
        <v>80</v>
      </c>
      <c r="H4" s="8" t="s">
        <v>80</v>
      </c>
      <c r="I4" s="8" t="s">
        <v>80</v>
      </c>
      <c r="J4" s="8" t="s">
        <v>80</v>
      </c>
      <c r="K4" s="8" t="s">
        <v>80</v>
      </c>
      <c r="L4" s="8" t="s">
        <v>80</v>
      </c>
      <c r="M4" s="8" t="s">
        <v>82</v>
      </c>
      <c r="N4" s="8" t="s">
        <v>80</v>
      </c>
      <c r="O4" s="8" t="s">
        <v>80</v>
      </c>
      <c r="P4" s="8" t="s">
        <v>82</v>
      </c>
      <c r="Q4" s="8" t="s">
        <v>82</v>
      </c>
      <c r="R4" s="8" t="s">
        <v>82</v>
      </c>
      <c r="S4" s="8" t="s">
        <v>80</v>
      </c>
      <c r="T4" s="8" t="s">
        <v>80</v>
      </c>
      <c r="U4" s="8" t="s">
        <v>80</v>
      </c>
      <c r="V4" s="8" t="s">
        <v>80</v>
      </c>
      <c r="W4" s="8" t="s">
        <v>82</v>
      </c>
      <c r="X4" s="8" t="s">
        <v>80</v>
      </c>
      <c r="Y4" s="8" t="s">
        <v>82</v>
      </c>
      <c r="Z4" s="8" t="s">
        <v>80</v>
      </c>
      <c r="AA4" s="8" t="s">
        <v>80</v>
      </c>
      <c r="AB4" s="8" t="s">
        <v>80</v>
      </c>
      <c r="AC4" s="8" t="s">
        <v>82</v>
      </c>
      <c r="AD4" s="8" t="s">
        <v>82</v>
      </c>
      <c r="AE4" s="8" t="s">
        <v>82</v>
      </c>
      <c r="AF4" s="8" t="s">
        <v>80</v>
      </c>
      <c r="AG4" s="8" t="s">
        <v>80</v>
      </c>
      <c r="AH4" s="8" t="s">
        <v>80</v>
      </c>
      <c r="AI4" s="8" t="s">
        <v>82</v>
      </c>
      <c r="AJ4" s="8" t="s">
        <v>82</v>
      </c>
      <c r="AK4" s="8" t="s">
        <v>82</v>
      </c>
      <c r="AL4" s="8" t="s">
        <v>82</v>
      </c>
      <c r="AM4" s="8" t="s">
        <v>82</v>
      </c>
      <c r="AN4" s="8" t="s">
        <v>82</v>
      </c>
      <c r="AO4" s="8" t="s">
        <v>82</v>
      </c>
      <c r="AP4" s="8" t="s">
        <v>82</v>
      </c>
      <c r="AQ4" s="8" t="s">
        <v>82</v>
      </c>
      <c r="AR4" s="8" t="s">
        <v>82</v>
      </c>
      <c r="AS4" s="8" t="s">
        <v>82</v>
      </c>
      <c r="AT4" s="8" t="s">
        <v>82</v>
      </c>
    </row>
    <row r="5" spans="1:46" ht="117" customHeight="1">
      <c r="A5" s="69" t="s">
        <v>81</v>
      </c>
      <c r="B5" s="69" t="s">
        <v>81</v>
      </c>
      <c r="C5" s="9" t="s">
        <v>87</v>
      </c>
      <c r="D5" s="9"/>
      <c r="E5" s="9" t="s">
        <v>149</v>
      </c>
      <c r="F5" s="9" t="s">
        <v>155</v>
      </c>
      <c r="G5" s="9" t="s">
        <v>189</v>
      </c>
      <c r="H5" s="9" t="s">
        <v>266</v>
      </c>
      <c r="I5" s="9" t="s">
        <v>276</v>
      </c>
      <c r="J5" s="9" t="s">
        <v>289</v>
      </c>
      <c r="K5" s="9" t="s">
        <v>292</v>
      </c>
      <c r="L5" s="9" t="s">
        <v>299</v>
      </c>
      <c r="M5" s="9"/>
      <c r="N5" s="9"/>
      <c r="O5" s="9" t="s">
        <v>304</v>
      </c>
      <c r="P5" s="9"/>
      <c r="Q5" s="9" t="s">
        <v>309</v>
      </c>
      <c r="R5" s="9" t="s">
        <v>311</v>
      </c>
      <c r="S5" s="9" t="s">
        <v>313</v>
      </c>
      <c r="T5" s="9" t="s">
        <v>313</v>
      </c>
      <c r="U5" s="9" t="s">
        <v>313</v>
      </c>
      <c r="V5" s="9" t="s">
        <v>318</v>
      </c>
      <c r="W5" s="9" t="s">
        <v>320</v>
      </c>
      <c r="X5" s="9" t="s">
        <v>82</v>
      </c>
      <c r="Y5" s="9" t="s">
        <v>324</v>
      </c>
      <c r="Z5" s="9"/>
      <c r="AA5" s="9" t="s">
        <v>331</v>
      </c>
      <c r="AB5" s="9"/>
      <c r="AC5" s="9"/>
      <c r="AD5" s="9" t="s">
        <v>309</v>
      </c>
      <c r="AE5" s="9" t="s">
        <v>345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 t="s">
        <v>410</v>
      </c>
      <c r="AS5" s="9"/>
      <c r="AT5" s="9"/>
    </row>
    <row r="6" spans="1:46" ht="27.6" customHeight="1">
      <c r="A6" s="9" t="s">
        <v>82</v>
      </c>
      <c r="B6" s="9" t="s">
        <v>82</v>
      </c>
      <c r="C6" s="10" t="s">
        <v>88</v>
      </c>
      <c r="D6" s="82" t="s">
        <v>144</v>
      </c>
      <c r="E6" s="82" t="s">
        <v>144</v>
      </c>
      <c r="F6" s="82" t="s">
        <v>144</v>
      </c>
      <c r="G6" s="10" t="s">
        <v>190</v>
      </c>
      <c r="H6" s="9" t="s">
        <v>82</v>
      </c>
      <c r="I6" s="9" t="s">
        <v>82</v>
      </c>
      <c r="J6" s="10" t="s">
        <v>290</v>
      </c>
      <c r="K6" s="10" t="s">
        <v>293</v>
      </c>
      <c r="L6" s="9" t="s">
        <v>82</v>
      </c>
      <c r="M6" s="9" t="s">
        <v>82</v>
      </c>
      <c r="N6" s="9" t="s">
        <v>82</v>
      </c>
      <c r="O6" s="9" t="s">
        <v>82</v>
      </c>
      <c r="P6" s="9" t="s">
        <v>82</v>
      </c>
      <c r="Q6" s="9" t="s">
        <v>82</v>
      </c>
      <c r="R6" s="9" t="s">
        <v>82</v>
      </c>
      <c r="S6" s="82" t="s">
        <v>314</v>
      </c>
      <c r="T6" s="82" t="s">
        <v>314</v>
      </c>
      <c r="U6" s="82" t="s">
        <v>314</v>
      </c>
      <c r="V6" s="82" t="s">
        <v>314</v>
      </c>
      <c r="W6" s="9" t="s">
        <v>82</v>
      </c>
      <c r="X6" s="9" t="s">
        <v>82</v>
      </c>
      <c r="Y6" s="9" t="s">
        <v>82</v>
      </c>
      <c r="Z6" s="9" t="s">
        <v>82</v>
      </c>
      <c r="AA6" s="10" t="s">
        <v>332</v>
      </c>
      <c r="AB6" s="9" t="s">
        <v>82</v>
      </c>
      <c r="AC6" s="9" t="s">
        <v>82</v>
      </c>
      <c r="AD6" s="9" t="s">
        <v>82</v>
      </c>
      <c r="AE6" s="9" t="s">
        <v>82</v>
      </c>
      <c r="AF6" s="9" t="s">
        <v>82</v>
      </c>
      <c r="AG6" s="9" t="s">
        <v>82</v>
      </c>
      <c r="AH6" s="9" t="s">
        <v>82</v>
      </c>
      <c r="AI6" s="9" t="s">
        <v>82</v>
      </c>
      <c r="AJ6" s="9" t="s">
        <v>82</v>
      </c>
      <c r="AK6" s="9" t="s">
        <v>82</v>
      </c>
      <c r="AL6" s="9" t="s">
        <v>82</v>
      </c>
      <c r="AM6" s="9" t="s">
        <v>82</v>
      </c>
      <c r="AN6" s="9" t="s">
        <v>82</v>
      </c>
      <c r="AO6" s="9" t="s">
        <v>82</v>
      </c>
      <c r="AP6" s="9" t="s">
        <v>82</v>
      </c>
      <c r="AQ6" s="9" t="s">
        <v>82</v>
      </c>
      <c r="AR6" s="10" t="s">
        <v>411</v>
      </c>
      <c r="AS6" s="9" t="s">
        <v>82</v>
      </c>
      <c r="AT6" s="9" t="s">
        <v>82</v>
      </c>
    </row>
    <row r="7" spans="1:46" ht="15" customHeight="1">
      <c r="A7" s="83"/>
      <c r="B7" s="52"/>
      <c r="C7" s="52"/>
      <c r="D7" s="73"/>
      <c r="E7" s="52"/>
      <c r="F7" s="52"/>
      <c r="G7" s="52"/>
      <c r="H7" s="52"/>
      <c r="I7" s="70"/>
      <c r="J7" s="52"/>
      <c r="K7" s="86"/>
      <c r="L7" s="52"/>
      <c r="M7" s="52"/>
      <c r="N7" s="87"/>
      <c r="O7" s="76"/>
      <c r="P7" s="70"/>
      <c r="Q7" s="71"/>
      <c r="R7" s="77"/>
      <c r="S7" s="73"/>
      <c r="T7" s="71"/>
      <c r="U7" s="71"/>
      <c r="V7" s="80"/>
      <c r="W7" s="68" t="s">
        <v>346</v>
      </c>
      <c r="X7" s="52"/>
      <c r="Y7" s="69"/>
      <c r="Z7" s="52"/>
      <c r="AA7" s="52"/>
      <c r="AB7" s="52"/>
      <c r="AC7" s="70"/>
      <c r="AD7" s="71"/>
      <c r="AE7" s="52"/>
      <c r="AF7" s="73"/>
      <c r="AG7" s="70"/>
      <c r="AH7" s="52"/>
      <c r="AI7" s="70"/>
      <c r="AJ7" s="52"/>
      <c r="AK7" s="52"/>
      <c r="AL7" s="52"/>
      <c r="AM7" s="70"/>
      <c r="AN7" s="70"/>
      <c r="AO7" s="70"/>
      <c r="AP7" s="70"/>
      <c r="AQ7" s="70"/>
      <c r="AR7" s="19"/>
      <c r="AS7" s="65"/>
      <c r="AT7" s="66"/>
    </row>
    <row r="8" spans="1:46" ht="87" customHeight="1">
      <c r="A8" s="6" t="s">
        <v>507</v>
      </c>
      <c r="B8">
        <f t="shared" ref="B8:B70" ca="1" si="0">LEN(INDIRECT(ADDRESS(ROW() + (0),COLUMN() + (-1))))</f>
        <v>28</v>
      </c>
      <c r="C8" t="s">
        <v>85</v>
      </c>
      <c r="D8" t="s">
        <v>139</v>
      </c>
      <c r="E8" t="s">
        <v>504</v>
      </c>
      <c r="F8" t="s">
        <v>151</v>
      </c>
      <c r="G8" t="s">
        <v>181</v>
      </c>
      <c r="H8" t="s">
        <v>505</v>
      </c>
      <c r="I8" s="12" t="s">
        <v>270</v>
      </c>
      <c r="J8" t="s">
        <v>288</v>
      </c>
      <c r="L8" t="s">
        <v>298</v>
      </c>
      <c r="N8" s="14">
        <v>1</v>
      </c>
      <c r="O8" s="15">
        <v>54999</v>
      </c>
      <c r="P8" s="12" t="s">
        <v>306</v>
      </c>
      <c r="Q8" s="17">
        <v>6</v>
      </c>
      <c r="R8" s="36" t="s">
        <v>506</v>
      </c>
      <c r="S8" s="20">
        <v>30</v>
      </c>
      <c r="T8" s="22">
        <v>20</v>
      </c>
      <c r="U8" s="23">
        <v>10</v>
      </c>
      <c r="V8" s="24">
        <v>1</v>
      </c>
      <c r="W8" s="9" t="str">
        <f t="shared" ref="W8:W70" ca="1" si="1">IF(INDIRECT(ADDRESS(ROW() + (0),COLUMN() + (1)))="Cuotas extra", IF(("21.5%")="", "-", "21.5%"), IF(INDIRECT(ADDRESS(ROW() + (0),COLUMN() + (1)))="Cuotas", IF(("18.5%")="", "-", "18.5%"), "-"))</f>
        <v>18.5%</v>
      </c>
      <c r="X8" t="s">
        <v>321</v>
      </c>
      <c r="Y8" s="9" t="str">
        <f t="shared" ref="Y8:Y70" ca="1" si="2">IF(INDIRECT(ADDRESS(ROW() + (0),COLUMN() + (-1)))="Cuotas extra", IF(("")="", "Sin costo", ""), IF(INDIRECT(ADDRESS(ROW() + (0),COLUMN() + (-1)))="Cuotas", IF(("")="", "Sin costo", ""), "-"))</f>
        <v>Sin costo</v>
      </c>
      <c r="Z8" t="s">
        <v>327</v>
      </c>
      <c r="AA8" t="s">
        <v>329</v>
      </c>
      <c r="AB8" t="s">
        <v>334</v>
      </c>
      <c r="AC8" s="12" t="s">
        <v>339</v>
      </c>
      <c r="AF8" t="s">
        <v>505</v>
      </c>
      <c r="AG8" s="12" t="s">
        <v>350</v>
      </c>
      <c r="AH8" t="s">
        <v>355</v>
      </c>
      <c r="AI8" s="12" t="s">
        <v>382</v>
      </c>
      <c r="AJ8" t="s">
        <v>92</v>
      </c>
      <c r="AK8" t="s">
        <v>92</v>
      </c>
      <c r="AL8" t="s">
        <v>355</v>
      </c>
      <c r="AM8" s="12" t="s">
        <v>390</v>
      </c>
      <c r="AN8" s="12" t="s">
        <v>396</v>
      </c>
      <c r="AO8" s="12" t="s">
        <v>402</v>
      </c>
      <c r="AP8" s="12" t="s">
        <v>268</v>
      </c>
      <c r="AQ8" s="12" t="s">
        <v>381</v>
      </c>
      <c r="AR8" s="28" t="str">
        <f t="shared" ref="AR8:AR70" ca="1" si="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 xml:space="preserve"> - Fotos</v>
      </c>
      <c r="AS8" s="28" t="b">
        <f t="shared" ref="AS8:AS70" ca="1" si="4">IF(TRIM(INDIRECT("A"&amp;ROW())) &lt;&gt; "",FALSE,"")</f>
        <v>0</v>
      </c>
    </row>
    <row r="9" spans="1:46" ht="27" customHeight="1">
      <c r="A9" s="6" t="s">
        <v>507</v>
      </c>
      <c r="B9">
        <f t="shared" ca="1" si="0"/>
        <v>28</v>
      </c>
      <c r="C9" t="s">
        <v>85</v>
      </c>
      <c r="D9" t="s">
        <v>139</v>
      </c>
      <c r="E9" t="s">
        <v>504</v>
      </c>
      <c r="F9" t="s">
        <v>151</v>
      </c>
      <c r="G9" t="s">
        <v>174</v>
      </c>
      <c r="H9" t="s">
        <v>505</v>
      </c>
      <c r="I9" s="12" t="s">
        <v>270</v>
      </c>
      <c r="J9" t="s">
        <v>288</v>
      </c>
      <c r="L9" t="s">
        <v>298</v>
      </c>
      <c r="N9" s="14">
        <v>1</v>
      </c>
      <c r="O9" s="15">
        <v>54999</v>
      </c>
      <c r="P9" s="12" t="s">
        <v>306</v>
      </c>
      <c r="Q9" s="26">
        <v>6</v>
      </c>
      <c r="R9" s="36" t="s">
        <v>506</v>
      </c>
      <c r="S9" s="26">
        <v>30</v>
      </c>
      <c r="T9" s="26">
        <v>20</v>
      </c>
      <c r="U9" s="26">
        <v>10</v>
      </c>
      <c r="V9" s="24">
        <v>1</v>
      </c>
      <c r="W9" s="9" t="str">
        <f t="shared" ca="1" si="1"/>
        <v>18.5%</v>
      </c>
      <c r="X9" t="s">
        <v>321</v>
      </c>
      <c r="Y9" s="9" t="str">
        <f t="shared" ca="1" si="2"/>
        <v>Sin costo</v>
      </c>
      <c r="Z9" t="s">
        <v>327</v>
      </c>
      <c r="AA9" t="s">
        <v>329</v>
      </c>
      <c r="AB9" t="s">
        <v>334</v>
      </c>
      <c r="AC9" s="12" t="s">
        <v>339</v>
      </c>
      <c r="AE9" t="s">
        <v>268</v>
      </c>
      <c r="AF9" t="s">
        <v>505</v>
      </c>
      <c r="AG9" s="12" t="s">
        <v>350</v>
      </c>
      <c r="AH9" t="s">
        <v>355</v>
      </c>
      <c r="AI9" s="12" t="s">
        <v>382</v>
      </c>
      <c r="AJ9" t="s">
        <v>92</v>
      </c>
      <c r="AK9" t="s">
        <v>92</v>
      </c>
      <c r="AL9" t="s">
        <v>355</v>
      </c>
      <c r="AM9" s="12" t="s">
        <v>268</v>
      </c>
      <c r="AN9" s="12" t="s">
        <v>268</v>
      </c>
      <c r="AO9" s="12" t="s">
        <v>268</v>
      </c>
      <c r="AP9" s="12" t="s">
        <v>268</v>
      </c>
      <c r="AQ9" s="12" t="s">
        <v>381</v>
      </c>
      <c r="AR9" s="28" t="str">
        <f t="shared" ca="1" si="3"/>
        <v xml:space="preserve"> - Fotos</v>
      </c>
      <c r="AS9" s="28" t="b">
        <f t="shared" ca="1" si="4"/>
        <v>0</v>
      </c>
    </row>
    <row r="10" spans="1:46" ht="27.6" customHeight="1">
      <c r="A10" s="6" t="s">
        <v>508</v>
      </c>
      <c r="B10">
        <f t="shared" ca="1" si="0"/>
        <v>27</v>
      </c>
      <c r="C10" t="s">
        <v>85</v>
      </c>
      <c r="D10" t="s">
        <v>139</v>
      </c>
      <c r="E10" t="s">
        <v>504</v>
      </c>
      <c r="F10" t="s">
        <v>151</v>
      </c>
      <c r="G10" t="s">
        <v>172</v>
      </c>
      <c r="H10" t="s">
        <v>505</v>
      </c>
      <c r="I10" s="12" t="s">
        <v>270</v>
      </c>
      <c r="J10" t="s">
        <v>288</v>
      </c>
      <c r="L10" t="s">
        <v>298</v>
      </c>
      <c r="N10" s="14">
        <v>1</v>
      </c>
      <c r="O10" s="15">
        <v>54999</v>
      </c>
      <c r="P10" s="12" t="s">
        <v>306</v>
      </c>
      <c r="Q10" s="26">
        <v>6</v>
      </c>
      <c r="R10" s="36" t="s">
        <v>506</v>
      </c>
      <c r="S10" s="26">
        <v>30</v>
      </c>
      <c r="T10" s="26">
        <v>20</v>
      </c>
      <c r="U10" s="26">
        <v>10</v>
      </c>
      <c r="V10" s="24">
        <v>1</v>
      </c>
      <c r="W10" s="9" t="str">
        <f t="shared" ca="1" si="1"/>
        <v>18.5%</v>
      </c>
      <c r="X10" t="s">
        <v>321</v>
      </c>
      <c r="Y10" s="9" t="str">
        <f t="shared" ca="1" si="2"/>
        <v>Sin costo</v>
      </c>
      <c r="Z10" t="s">
        <v>327</v>
      </c>
      <c r="AA10" t="s">
        <v>329</v>
      </c>
      <c r="AB10" t="s">
        <v>334</v>
      </c>
      <c r="AC10" s="12" t="s">
        <v>339</v>
      </c>
      <c r="AE10" t="s">
        <v>268</v>
      </c>
      <c r="AF10" t="s">
        <v>505</v>
      </c>
      <c r="AG10" s="12" t="s">
        <v>350</v>
      </c>
      <c r="AH10" t="s">
        <v>355</v>
      </c>
      <c r="AI10" s="12" t="s">
        <v>382</v>
      </c>
      <c r="AJ10" t="s">
        <v>92</v>
      </c>
      <c r="AK10" t="s">
        <v>92</v>
      </c>
      <c r="AL10" t="s">
        <v>355</v>
      </c>
      <c r="AM10" s="12" t="s">
        <v>268</v>
      </c>
      <c r="AN10" s="12" t="s">
        <v>268</v>
      </c>
      <c r="AO10" s="12" t="s">
        <v>268</v>
      </c>
      <c r="AP10" s="12" t="s">
        <v>268</v>
      </c>
      <c r="AQ10" s="12" t="s">
        <v>381</v>
      </c>
      <c r="AR10" s="28" t="str">
        <f t="shared" ca="1" si="3"/>
        <v xml:space="preserve"> - Fotos</v>
      </c>
      <c r="AS10" s="28" t="b">
        <f t="shared" ca="1" si="4"/>
        <v>0</v>
      </c>
    </row>
    <row r="11" spans="1:46" ht="27.6" customHeight="1">
      <c r="A11" s="6" t="s">
        <v>508</v>
      </c>
      <c r="B11">
        <f t="shared" ca="1" si="0"/>
        <v>27</v>
      </c>
      <c r="C11" t="s">
        <v>85</v>
      </c>
      <c r="D11" t="s">
        <v>139</v>
      </c>
      <c r="E11" t="s">
        <v>504</v>
      </c>
      <c r="F11" t="s">
        <v>151</v>
      </c>
      <c r="G11" t="s">
        <v>176</v>
      </c>
      <c r="H11" t="s">
        <v>505</v>
      </c>
      <c r="I11" s="12" t="s">
        <v>270</v>
      </c>
      <c r="J11" t="s">
        <v>288</v>
      </c>
      <c r="L11" t="s">
        <v>298</v>
      </c>
      <c r="N11" s="14">
        <v>1</v>
      </c>
      <c r="O11" s="15">
        <v>54999</v>
      </c>
      <c r="P11" s="12" t="s">
        <v>306</v>
      </c>
      <c r="Q11" s="26">
        <v>6</v>
      </c>
      <c r="R11" s="36" t="s">
        <v>506</v>
      </c>
      <c r="S11" s="26">
        <v>30</v>
      </c>
      <c r="T11" s="26">
        <v>20</v>
      </c>
      <c r="U11" s="26">
        <v>10</v>
      </c>
      <c r="V11" s="24">
        <v>1</v>
      </c>
      <c r="W11" s="9" t="str">
        <f t="shared" ca="1" si="1"/>
        <v>18.5%</v>
      </c>
      <c r="X11" t="s">
        <v>321</v>
      </c>
      <c r="Y11" s="9" t="str">
        <f t="shared" ca="1" si="2"/>
        <v>Sin costo</v>
      </c>
      <c r="Z11" t="s">
        <v>327</v>
      </c>
      <c r="AA11" t="s">
        <v>329</v>
      </c>
      <c r="AB11" t="s">
        <v>334</v>
      </c>
      <c r="AC11" s="12" t="s">
        <v>339</v>
      </c>
      <c r="AE11" t="s">
        <v>268</v>
      </c>
      <c r="AF11" t="s">
        <v>505</v>
      </c>
      <c r="AG11" s="12" t="s">
        <v>350</v>
      </c>
      <c r="AH11" t="s">
        <v>355</v>
      </c>
      <c r="AI11" s="12" t="s">
        <v>382</v>
      </c>
      <c r="AJ11" t="s">
        <v>92</v>
      </c>
      <c r="AK11" t="s">
        <v>92</v>
      </c>
      <c r="AL11" t="s">
        <v>355</v>
      </c>
      <c r="AM11" s="12" t="s">
        <v>268</v>
      </c>
      <c r="AN11" s="12" t="s">
        <v>268</v>
      </c>
      <c r="AO11" s="12" t="s">
        <v>268</v>
      </c>
      <c r="AP11" s="12" t="s">
        <v>268</v>
      </c>
      <c r="AQ11" s="12" t="s">
        <v>381</v>
      </c>
      <c r="AR11" s="28" t="str">
        <f t="shared" ca="1" si="3"/>
        <v xml:space="preserve"> - Fotos</v>
      </c>
      <c r="AS11" s="28" t="b">
        <f t="shared" ca="1" si="4"/>
        <v>0</v>
      </c>
    </row>
    <row r="12" spans="1:46" ht="27.6" customHeight="1">
      <c r="B12">
        <f t="shared" ca="1" si="0"/>
        <v>0</v>
      </c>
      <c r="C12" t="s">
        <v>85</v>
      </c>
      <c r="D12" t="s">
        <v>92</v>
      </c>
      <c r="E12" t="s">
        <v>92</v>
      </c>
      <c r="F12" t="s">
        <v>92</v>
      </c>
      <c r="G12" t="s">
        <v>92</v>
      </c>
      <c r="H12" t="s">
        <v>92</v>
      </c>
      <c r="I12" s="12" t="s">
        <v>268</v>
      </c>
      <c r="J12" t="s">
        <v>278</v>
      </c>
      <c r="L12" t="s">
        <v>92</v>
      </c>
      <c r="N12" s="14">
        <v>1</v>
      </c>
      <c r="P12" s="12" t="s">
        <v>268</v>
      </c>
      <c r="W12" s="9" t="str">
        <f t="shared" ca="1" si="1"/>
        <v>18.5%</v>
      </c>
      <c r="X12" t="s">
        <v>321</v>
      </c>
      <c r="Y12" s="9" t="str">
        <f t="shared" ca="1" si="2"/>
        <v>Sin costo</v>
      </c>
      <c r="Z12" t="s">
        <v>327</v>
      </c>
      <c r="AA12" t="s">
        <v>329</v>
      </c>
      <c r="AB12" t="s">
        <v>334</v>
      </c>
      <c r="AC12" s="12" t="s">
        <v>339</v>
      </c>
      <c r="AE12" t="s">
        <v>268</v>
      </c>
      <c r="AG12" s="12" t="s">
        <v>268</v>
      </c>
      <c r="AH12" t="s">
        <v>92</v>
      </c>
      <c r="AI12" s="12" t="s">
        <v>268</v>
      </c>
      <c r="AJ12" t="s">
        <v>92</v>
      </c>
      <c r="AK12" t="s">
        <v>92</v>
      </c>
      <c r="AL12" t="s">
        <v>92</v>
      </c>
      <c r="AM12" s="12" t="s">
        <v>268</v>
      </c>
      <c r="AN12" s="12" t="s">
        <v>268</v>
      </c>
      <c r="AO12" s="12" t="s">
        <v>268</v>
      </c>
      <c r="AP12" s="12" t="s">
        <v>268</v>
      </c>
      <c r="AQ12" s="12" t="s">
        <v>268</v>
      </c>
      <c r="AR12" s="28" t="str">
        <f t="shared" ca="1" si="3"/>
        <v/>
      </c>
      <c r="AS12" s="28" t="str">
        <f t="shared" ca="1" si="4"/>
        <v/>
      </c>
    </row>
    <row r="13" spans="1:46" ht="27.6" customHeight="1">
      <c r="B13">
        <f t="shared" ca="1" si="0"/>
        <v>0</v>
      </c>
      <c r="C13" t="s">
        <v>85</v>
      </c>
      <c r="D13" t="s">
        <v>92</v>
      </c>
      <c r="E13" t="s">
        <v>92</v>
      </c>
      <c r="F13" t="s">
        <v>92</v>
      </c>
      <c r="G13" t="s">
        <v>92</v>
      </c>
      <c r="H13" t="s">
        <v>92</v>
      </c>
      <c r="I13" s="12" t="s">
        <v>268</v>
      </c>
      <c r="J13" t="s">
        <v>278</v>
      </c>
      <c r="L13" t="s">
        <v>92</v>
      </c>
      <c r="N13" s="14">
        <v>1</v>
      </c>
      <c r="P13" s="12" t="s">
        <v>268</v>
      </c>
      <c r="W13" s="9" t="str">
        <f t="shared" ca="1" si="1"/>
        <v>18.5%</v>
      </c>
      <c r="X13" t="s">
        <v>321</v>
      </c>
      <c r="Y13" s="9" t="str">
        <f t="shared" ca="1" si="2"/>
        <v>Sin costo</v>
      </c>
      <c r="Z13" t="s">
        <v>327</v>
      </c>
      <c r="AA13" t="s">
        <v>329</v>
      </c>
      <c r="AB13" t="s">
        <v>334</v>
      </c>
      <c r="AC13" s="12" t="s">
        <v>339</v>
      </c>
      <c r="AE13" t="s">
        <v>268</v>
      </c>
      <c r="AG13" s="12" t="s">
        <v>268</v>
      </c>
      <c r="AH13" t="s">
        <v>92</v>
      </c>
      <c r="AI13" s="12" t="s">
        <v>268</v>
      </c>
      <c r="AJ13" t="s">
        <v>92</v>
      </c>
      <c r="AK13" t="s">
        <v>92</v>
      </c>
      <c r="AL13" t="s">
        <v>92</v>
      </c>
      <c r="AM13" s="12" t="s">
        <v>268</v>
      </c>
      <c r="AN13" s="12" t="s">
        <v>268</v>
      </c>
      <c r="AO13" s="12" t="s">
        <v>268</v>
      </c>
      <c r="AP13" s="12" t="s">
        <v>268</v>
      </c>
      <c r="AQ13" s="12" t="s">
        <v>268</v>
      </c>
      <c r="AR13" s="28" t="str">
        <f t="shared" ca="1" si="3"/>
        <v/>
      </c>
      <c r="AS13" s="28" t="str">
        <f t="shared" ca="1" si="4"/>
        <v/>
      </c>
    </row>
    <row r="14" spans="1:46" ht="27.6" customHeight="1">
      <c r="B14">
        <f t="shared" ca="1" si="0"/>
        <v>0</v>
      </c>
      <c r="C14" t="s">
        <v>85</v>
      </c>
      <c r="D14" t="s">
        <v>92</v>
      </c>
      <c r="E14" t="s">
        <v>92</v>
      </c>
      <c r="F14" t="s">
        <v>92</v>
      </c>
      <c r="G14" t="s">
        <v>92</v>
      </c>
      <c r="H14" t="s">
        <v>92</v>
      </c>
      <c r="I14" s="12" t="s">
        <v>268</v>
      </c>
      <c r="J14" t="s">
        <v>278</v>
      </c>
      <c r="L14" t="s">
        <v>92</v>
      </c>
      <c r="N14" s="14">
        <v>1</v>
      </c>
      <c r="P14" s="12" t="s">
        <v>268</v>
      </c>
      <c r="W14" s="9" t="str">
        <f t="shared" ca="1" si="1"/>
        <v>18.5%</v>
      </c>
      <c r="X14" t="s">
        <v>321</v>
      </c>
      <c r="Y14" s="9" t="str">
        <f t="shared" ca="1" si="2"/>
        <v>Sin costo</v>
      </c>
      <c r="Z14" t="s">
        <v>327</v>
      </c>
      <c r="AA14" t="s">
        <v>329</v>
      </c>
      <c r="AB14" t="s">
        <v>334</v>
      </c>
      <c r="AC14" s="12" t="s">
        <v>339</v>
      </c>
      <c r="AE14" t="s">
        <v>268</v>
      </c>
      <c r="AG14" s="12" t="s">
        <v>268</v>
      </c>
      <c r="AH14" t="s">
        <v>92</v>
      </c>
      <c r="AI14" s="12" t="s">
        <v>268</v>
      </c>
      <c r="AJ14" t="s">
        <v>92</v>
      </c>
      <c r="AK14" t="s">
        <v>92</v>
      </c>
      <c r="AL14" t="s">
        <v>92</v>
      </c>
      <c r="AM14" s="12" t="s">
        <v>268</v>
      </c>
      <c r="AN14" s="12" t="s">
        <v>268</v>
      </c>
      <c r="AO14" s="12" t="s">
        <v>268</v>
      </c>
      <c r="AP14" s="12" t="s">
        <v>268</v>
      </c>
      <c r="AQ14" s="12" t="s">
        <v>268</v>
      </c>
      <c r="AR14" s="28" t="str">
        <f t="shared" ca="1" si="3"/>
        <v/>
      </c>
      <c r="AS14" s="28" t="str">
        <f t="shared" ca="1" si="4"/>
        <v/>
      </c>
    </row>
    <row r="15" spans="1:46" ht="27.6" customHeight="1">
      <c r="B15">
        <f t="shared" ca="1" si="0"/>
        <v>0</v>
      </c>
      <c r="C15" t="s">
        <v>85</v>
      </c>
      <c r="D15" t="s">
        <v>92</v>
      </c>
      <c r="E15" t="s">
        <v>92</v>
      </c>
      <c r="F15" t="s">
        <v>92</v>
      </c>
      <c r="G15" t="s">
        <v>92</v>
      </c>
      <c r="H15" t="s">
        <v>92</v>
      </c>
      <c r="I15" s="12" t="s">
        <v>268</v>
      </c>
      <c r="J15" t="s">
        <v>278</v>
      </c>
      <c r="L15" t="s">
        <v>92</v>
      </c>
      <c r="N15" s="14">
        <v>1</v>
      </c>
      <c r="P15" s="12" t="s">
        <v>268</v>
      </c>
      <c r="W15" s="9" t="str">
        <f t="shared" ca="1" si="1"/>
        <v>18.5%</v>
      </c>
      <c r="X15" t="s">
        <v>321</v>
      </c>
      <c r="Y15" s="9" t="str">
        <f t="shared" ca="1" si="2"/>
        <v>Sin costo</v>
      </c>
      <c r="Z15" t="s">
        <v>327</v>
      </c>
      <c r="AA15" t="s">
        <v>329</v>
      </c>
      <c r="AB15" t="s">
        <v>334</v>
      </c>
      <c r="AC15" s="12" t="s">
        <v>339</v>
      </c>
      <c r="AE15" t="s">
        <v>268</v>
      </c>
      <c r="AG15" s="12" t="s">
        <v>268</v>
      </c>
      <c r="AH15" t="s">
        <v>92</v>
      </c>
      <c r="AI15" s="12" t="s">
        <v>268</v>
      </c>
      <c r="AJ15" t="s">
        <v>92</v>
      </c>
      <c r="AK15" t="s">
        <v>92</v>
      </c>
      <c r="AL15" t="s">
        <v>92</v>
      </c>
      <c r="AM15" s="12" t="s">
        <v>268</v>
      </c>
      <c r="AN15" s="12" t="s">
        <v>268</v>
      </c>
      <c r="AO15" s="12" t="s">
        <v>268</v>
      </c>
      <c r="AP15" s="12" t="s">
        <v>268</v>
      </c>
      <c r="AQ15" s="12" t="s">
        <v>268</v>
      </c>
      <c r="AR15" s="28" t="str">
        <f t="shared" ca="1" si="3"/>
        <v/>
      </c>
      <c r="AS15" s="28" t="str">
        <f t="shared" ca="1" si="4"/>
        <v/>
      </c>
    </row>
    <row r="16" spans="1:46" ht="27.6" customHeight="1">
      <c r="B16">
        <f t="shared" ca="1" si="0"/>
        <v>0</v>
      </c>
      <c r="C16" t="s">
        <v>85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s="12" t="s">
        <v>268</v>
      </c>
      <c r="J16" t="s">
        <v>278</v>
      </c>
      <c r="L16" t="s">
        <v>92</v>
      </c>
      <c r="N16" s="14">
        <v>1</v>
      </c>
      <c r="P16" s="12" t="s">
        <v>268</v>
      </c>
      <c r="W16" s="9" t="str">
        <f t="shared" ca="1" si="1"/>
        <v>18.5%</v>
      </c>
      <c r="X16" t="s">
        <v>321</v>
      </c>
      <c r="Y16" s="9" t="str">
        <f t="shared" ca="1" si="2"/>
        <v>Sin costo</v>
      </c>
      <c r="Z16" t="s">
        <v>327</v>
      </c>
      <c r="AA16" t="s">
        <v>329</v>
      </c>
      <c r="AB16" t="s">
        <v>334</v>
      </c>
      <c r="AC16" s="12" t="s">
        <v>339</v>
      </c>
      <c r="AE16" t="s">
        <v>268</v>
      </c>
      <c r="AG16" s="12" t="s">
        <v>268</v>
      </c>
      <c r="AH16" t="s">
        <v>92</v>
      </c>
      <c r="AI16" s="12" t="s">
        <v>268</v>
      </c>
      <c r="AJ16" t="s">
        <v>92</v>
      </c>
      <c r="AK16" t="s">
        <v>92</v>
      </c>
      <c r="AL16" t="s">
        <v>92</v>
      </c>
      <c r="AM16" s="12" t="s">
        <v>268</v>
      </c>
      <c r="AN16" s="12" t="s">
        <v>268</v>
      </c>
      <c r="AO16" s="12" t="s">
        <v>268</v>
      </c>
      <c r="AP16" s="12" t="s">
        <v>268</v>
      </c>
      <c r="AQ16" s="12" t="s">
        <v>268</v>
      </c>
      <c r="AR16" s="28" t="str">
        <f t="shared" ca="1" si="3"/>
        <v/>
      </c>
      <c r="AS16" s="28" t="str">
        <f t="shared" ca="1" si="4"/>
        <v/>
      </c>
    </row>
    <row r="17" spans="2:45" ht="27.6" customHeight="1">
      <c r="B17">
        <f t="shared" ca="1" si="0"/>
        <v>0</v>
      </c>
      <c r="C17" t="s">
        <v>85</v>
      </c>
      <c r="D17" t="s">
        <v>92</v>
      </c>
      <c r="E17" t="s">
        <v>92</v>
      </c>
      <c r="F17" t="s">
        <v>92</v>
      </c>
      <c r="G17" t="s">
        <v>92</v>
      </c>
      <c r="H17" t="s">
        <v>92</v>
      </c>
      <c r="I17" s="12" t="s">
        <v>268</v>
      </c>
      <c r="J17" t="s">
        <v>278</v>
      </c>
      <c r="L17" t="s">
        <v>92</v>
      </c>
      <c r="N17" s="14">
        <v>1</v>
      </c>
      <c r="P17" s="12" t="s">
        <v>268</v>
      </c>
      <c r="W17" s="9" t="str">
        <f t="shared" ca="1" si="1"/>
        <v>18.5%</v>
      </c>
      <c r="X17" t="s">
        <v>321</v>
      </c>
      <c r="Y17" s="9" t="str">
        <f t="shared" ca="1" si="2"/>
        <v>Sin costo</v>
      </c>
      <c r="Z17" t="s">
        <v>327</v>
      </c>
      <c r="AA17" t="s">
        <v>329</v>
      </c>
      <c r="AB17" t="s">
        <v>334</v>
      </c>
      <c r="AC17" s="12" t="s">
        <v>339</v>
      </c>
      <c r="AE17" t="s">
        <v>268</v>
      </c>
      <c r="AG17" s="12" t="s">
        <v>268</v>
      </c>
      <c r="AH17" t="s">
        <v>92</v>
      </c>
      <c r="AI17" s="12" t="s">
        <v>268</v>
      </c>
      <c r="AJ17" t="s">
        <v>92</v>
      </c>
      <c r="AK17" t="s">
        <v>92</v>
      </c>
      <c r="AL17" t="s">
        <v>92</v>
      </c>
      <c r="AM17" s="12" t="s">
        <v>268</v>
      </c>
      <c r="AN17" s="12" t="s">
        <v>268</v>
      </c>
      <c r="AO17" s="12" t="s">
        <v>268</v>
      </c>
      <c r="AP17" s="12" t="s">
        <v>268</v>
      </c>
      <c r="AQ17" s="12" t="s">
        <v>268</v>
      </c>
      <c r="AR17" s="28" t="str">
        <f t="shared" ca="1" si="3"/>
        <v/>
      </c>
      <c r="AS17" s="28" t="str">
        <f t="shared" ca="1" si="4"/>
        <v/>
      </c>
    </row>
    <row r="18" spans="2:45" ht="27.6" customHeight="1">
      <c r="B18">
        <f t="shared" ca="1" si="0"/>
        <v>0</v>
      </c>
      <c r="C18" t="s">
        <v>85</v>
      </c>
      <c r="D18" t="s">
        <v>92</v>
      </c>
      <c r="E18" t="s">
        <v>92</v>
      </c>
      <c r="F18" t="s">
        <v>92</v>
      </c>
      <c r="G18" t="s">
        <v>92</v>
      </c>
      <c r="H18" t="s">
        <v>92</v>
      </c>
      <c r="I18" s="12" t="s">
        <v>268</v>
      </c>
      <c r="J18" t="s">
        <v>278</v>
      </c>
      <c r="L18" t="s">
        <v>92</v>
      </c>
      <c r="N18" s="14">
        <v>1</v>
      </c>
      <c r="P18" s="12" t="s">
        <v>268</v>
      </c>
      <c r="W18" s="9" t="str">
        <f t="shared" ca="1" si="1"/>
        <v>18.5%</v>
      </c>
      <c r="X18" t="s">
        <v>321</v>
      </c>
      <c r="Y18" s="9" t="str">
        <f t="shared" ca="1" si="2"/>
        <v>Sin costo</v>
      </c>
      <c r="Z18" t="s">
        <v>327</v>
      </c>
      <c r="AA18" t="s">
        <v>329</v>
      </c>
      <c r="AB18" t="s">
        <v>334</v>
      </c>
      <c r="AC18" s="12" t="s">
        <v>339</v>
      </c>
      <c r="AE18" t="s">
        <v>268</v>
      </c>
      <c r="AG18" s="12" t="s">
        <v>268</v>
      </c>
      <c r="AH18" t="s">
        <v>92</v>
      </c>
      <c r="AI18" s="12" t="s">
        <v>268</v>
      </c>
      <c r="AJ18" t="s">
        <v>92</v>
      </c>
      <c r="AK18" t="s">
        <v>92</v>
      </c>
      <c r="AL18" t="s">
        <v>92</v>
      </c>
      <c r="AM18" s="12" t="s">
        <v>268</v>
      </c>
      <c r="AN18" s="12" t="s">
        <v>268</v>
      </c>
      <c r="AO18" s="12" t="s">
        <v>268</v>
      </c>
      <c r="AP18" s="12" t="s">
        <v>268</v>
      </c>
      <c r="AQ18" s="12" t="s">
        <v>268</v>
      </c>
      <c r="AR18" s="28" t="str">
        <f t="shared" ca="1" si="3"/>
        <v/>
      </c>
      <c r="AS18" s="28" t="str">
        <f t="shared" ca="1" si="4"/>
        <v/>
      </c>
    </row>
    <row r="19" spans="2:45" ht="27.6" customHeight="1">
      <c r="B19">
        <f t="shared" ca="1" si="0"/>
        <v>0</v>
      </c>
      <c r="C19" t="s">
        <v>85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s="12" t="s">
        <v>268</v>
      </c>
      <c r="J19" t="s">
        <v>278</v>
      </c>
      <c r="L19" t="s">
        <v>92</v>
      </c>
      <c r="N19" s="14">
        <v>1</v>
      </c>
      <c r="P19" s="12" t="s">
        <v>268</v>
      </c>
      <c r="W19" s="9" t="str">
        <f t="shared" ca="1" si="1"/>
        <v>18.5%</v>
      </c>
      <c r="X19" t="s">
        <v>321</v>
      </c>
      <c r="Y19" s="9" t="str">
        <f t="shared" ca="1" si="2"/>
        <v>Sin costo</v>
      </c>
      <c r="Z19" t="s">
        <v>327</v>
      </c>
      <c r="AA19" t="s">
        <v>329</v>
      </c>
      <c r="AB19" t="s">
        <v>334</v>
      </c>
      <c r="AC19" s="12" t="s">
        <v>339</v>
      </c>
      <c r="AE19" t="s">
        <v>268</v>
      </c>
      <c r="AG19" s="12" t="s">
        <v>268</v>
      </c>
      <c r="AH19" t="s">
        <v>92</v>
      </c>
      <c r="AI19" s="12" t="s">
        <v>268</v>
      </c>
      <c r="AJ19" t="s">
        <v>92</v>
      </c>
      <c r="AK19" t="s">
        <v>92</v>
      </c>
      <c r="AL19" t="s">
        <v>92</v>
      </c>
      <c r="AM19" s="12" t="s">
        <v>268</v>
      </c>
      <c r="AN19" s="12" t="s">
        <v>268</v>
      </c>
      <c r="AO19" s="12" t="s">
        <v>268</v>
      </c>
      <c r="AP19" s="12" t="s">
        <v>268</v>
      </c>
      <c r="AQ19" s="12" t="s">
        <v>268</v>
      </c>
      <c r="AR19" s="28" t="str">
        <f t="shared" ca="1" si="3"/>
        <v/>
      </c>
      <c r="AS19" s="28" t="str">
        <f t="shared" ca="1" si="4"/>
        <v/>
      </c>
    </row>
    <row r="20" spans="2:45" ht="27.6" customHeight="1">
      <c r="B20">
        <f t="shared" ca="1" si="0"/>
        <v>0</v>
      </c>
      <c r="C20" t="s">
        <v>85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s="12" t="s">
        <v>268</v>
      </c>
      <c r="J20" t="s">
        <v>278</v>
      </c>
      <c r="L20" t="s">
        <v>92</v>
      </c>
      <c r="N20" s="14">
        <v>1</v>
      </c>
      <c r="P20" s="12" t="s">
        <v>268</v>
      </c>
      <c r="W20" s="9" t="str">
        <f t="shared" ca="1" si="1"/>
        <v>18.5%</v>
      </c>
      <c r="X20" t="s">
        <v>321</v>
      </c>
      <c r="Y20" s="9" t="str">
        <f t="shared" ca="1" si="2"/>
        <v>Sin costo</v>
      </c>
      <c r="Z20" t="s">
        <v>327</v>
      </c>
      <c r="AA20" t="s">
        <v>329</v>
      </c>
      <c r="AB20" t="s">
        <v>334</v>
      </c>
      <c r="AC20" s="12" t="s">
        <v>339</v>
      </c>
      <c r="AE20" t="s">
        <v>268</v>
      </c>
      <c r="AG20" s="12" t="s">
        <v>268</v>
      </c>
      <c r="AH20" t="s">
        <v>92</v>
      </c>
      <c r="AI20" s="12" t="s">
        <v>268</v>
      </c>
      <c r="AJ20" t="s">
        <v>92</v>
      </c>
      <c r="AK20" t="s">
        <v>92</v>
      </c>
      <c r="AL20" t="s">
        <v>92</v>
      </c>
      <c r="AM20" s="12" t="s">
        <v>268</v>
      </c>
      <c r="AN20" s="12" t="s">
        <v>268</v>
      </c>
      <c r="AO20" s="12" t="s">
        <v>268</v>
      </c>
      <c r="AP20" s="12" t="s">
        <v>268</v>
      </c>
      <c r="AQ20" s="12" t="s">
        <v>268</v>
      </c>
      <c r="AR20" s="28" t="str">
        <f t="shared" ca="1" si="3"/>
        <v/>
      </c>
      <c r="AS20" s="28" t="str">
        <f t="shared" ca="1" si="4"/>
        <v/>
      </c>
    </row>
    <row r="21" spans="2:45" ht="27.6" customHeight="1">
      <c r="B21">
        <f t="shared" ca="1" si="0"/>
        <v>0</v>
      </c>
      <c r="C21" t="s">
        <v>85</v>
      </c>
      <c r="D21" t="s">
        <v>92</v>
      </c>
      <c r="E21" t="s">
        <v>92</v>
      </c>
      <c r="F21" t="s">
        <v>92</v>
      </c>
      <c r="G21" t="s">
        <v>92</v>
      </c>
      <c r="H21" t="s">
        <v>92</v>
      </c>
      <c r="I21" s="12" t="s">
        <v>268</v>
      </c>
      <c r="J21" t="s">
        <v>278</v>
      </c>
      <c r="L21" t="s">
        <v>92</v>
      </c>
      <c r="N21" s="14">
        <v>1</v>
      </c>
      <c r="P21" s="12" t="s">
        <v>268</v>
      </c>
      <c r="W21" s="9" t="str">
        <f t="shared" ca="1" si="1"/>
        <v>18.5%</v>
      </c>
      <c r="X21" t="s">
        <v>321</v>
      </c>
      <c r="Y21" s="9" t="str">
        <f t="shared" ca="1" si="2"/>
        <v>Sin costo</v>
      </c>
      <c r="Z21" t="s">
        <v>327</v>
      </c>
      <c r="AA21" t="s">
        <v>329</v>
      </c>
      <c r="AB21" t="s">
        <v>334</v>
      </c>
      <c r="AC21" s="12" t="s">
        <v>339</v>
      </c>
      <c r="AE21" t="s">
        <v>268</v>
      </c>
      <c r="AG21" s="12" t="s">
        <v>268</v>
      </c>
      <c r="AH21" t="s">
        <v>92</v>
      </c>
      <c r="AI21" s="12" t="s">
        <v>268</v>
      </c>
      <c r="AJ21" t="s">
        <v>92</v>
      </c>
      <c r="AK21" t="s">
        <v>92</v>
      </c>
      <c r="AL21" t="s">
        <v>92</v>
      </c>
      <c r="AM21" s="12" t="s">
        <v>268</v>
      </c>
      <c r="AN21" s="12" t="s">
        <v>268</v>
      </c>
      <c r="AO21" s="12" t="s">
        <v>268</v>
      </c>
      <c r="AP21" s="12" t="s">
        <v>268</v>
      </c>
      <c r="AQ21" s="12" t="s">
        <v>268</v>
      </c>
      <c r="AR21" s="28" t="str">
        <f t="shared" ca="1" si="3"/>
        <v/>
      </c>
      <c r="AS21" s="28" t="str">
        <f t="shared" ca="1" si="4"/>
        <v/>
      </c>
    </row>
    <row r="22" spans="2:45" ht="27.6" customHeight="1">
      <c r="B22">
        <f t="shared" ca="1" si="0"/>
        <v>0</v>
      </c>
      <c r="C22" t="s">
        <v>85</v>
      </c>
      <c r="D22" t="s">
        <v>92</v>
      </c>
      <c r="E22" t="s">
        <v>92</v>
      </c>
      <c r="F22" t="s">
        <v>92</v>
      </c>
      <c r="G22" t="s">
        <v>92</v>
      </c>
      <c r="H22" t="s">
        <v>92</v>
      </c>
      <c r="I22" s="12" t="s">
        <v>268</v>
      </c>
      <c r="J22" t="s">
        <v>278</v>
      </c>
      <c r="L22" t="s">
        <v>92</v>
      </c>
      <c r="N22" s="14">
        <v>1</v>
      </c>
      <c r="P22" s="12" t="s">
        <v>268</v>
      </c>
      <c r="W22" s="9" t="str">
        <f t="shared" ca="1" si="1"/>
        <v>18.5%</v>
      </c>
      <c r="X22" t="s">
        <v>321</v>
      </c>
      <c r="Y22" s="9" t="str">
        <f t="shared" ca="1" si="2"/>
        <v>Sin costo</v>
      </c>
      <c r="Z22" t="s">
        <v>327</v>
      </c>
      <c r="AA22" t="s">
        <v>329</v>
      </c>
      <c r="AB22" t="s">
        <v>334</v>
      </c>
      <c r="AC22" s="12" t="s">
        <v>339</v>
      </c>
      <c r="AE22" t="s">
        <v>268</v>
      </c>
      <c r="AG22" s="12" t="s">
        <v>268</v>
      </c>
      <c r="AH22" t="s">
        <v>92</v>
      </c>
      <c r="AI22" s="12" t="s">
        <v>268</v>
      </c>
      <c r="AJ22" t="s">
        <v>92</v>
      </c>
      <c r="AK22" t="s">
        <v>92</v>
      </c>
      <c r="AL22" t="s">
        <v>92</v>
      </c>
      <c r="AM22" s="12" t="s">
        <v>268</v>
      </c>
      <c r="AN22" s="12" t="s">
        <v>268</v>
      </c>
      <c r="AO22" s="12" t="s">
        <v>268</v>
      </c>
      <c r="AP22" s="12" t="s">
        <v>268</v>
      </c>
      <c r="AQ22" s="12" t="s">
        <v>268</v>
      </c>
      <c r="AR22" s="28" t="str">
        <f t="shared" ca="1" si="3"/>
        <v/>
      </c>
      <c r="AS22" s="28" t="str">
        <f t="shared" ca="1" si="4"/>
        <v/>
      </c>
    </row>
    <row r="23" spans="2:45" ht="27.6" customHeight="1">
      <c r="B23">
        <f t="shared" ca="1" si="0"/>
        <v>0</v>
      </c>
      <c r="C23" t="s">
        <v>85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s="12" t="s">
        <v>268</v>
      </c>
      <c r="J23" t="s">
        <v>278</v>
      </c>
      <c r="L23" t="s">
        <v>92</v>
      </c>
      <c r="N23" s="14">
        <v>1</v>
      </c>
      <c r="P23" s="12" t="s">
        <v>268</v>
      </c>
      <c r="W23" s="9" t="str">
        <f t="shared" ca="1" si="1"/>
        <v>18.5%</v>
      </c>
      <c r="X23" t="s">
        <v>321</v>
      </c>
      <c r="Y23" s="9" t="str">
        <f t="shared" ca="1" si="2"/>
        <v>Sin costo</v>
      </c>
      <c r="Z23" t="s">
        <v>327</v>
      </c>
      <c r="AA23" t="s">
        <v>329</v>
      </c>
      <c r="AB23" t="s">
        <v>334</v>
      </c>
      <c r="AC23" s="12" t="s">
        <v>339</v>
      </c>
      <c r="AE23" t="s">
        <v>268</v>
      </c>
      <c r="AG23" s="12" t="s">
        <v>268</v>
      </c>
      <c r="AH23" t="s">
        <v>92</v>
      </c>
      <c r="AI23" s="12" t="s">
        <v>268</v>
      </c>
      <c r="AJ23" t="s">
        <v>92</v>
      </c>
      <c r="AK23" t="s">
        <v>92</v>
      </c>
      <c r="AL23" t="s">
        <v>92</v>
      </c>
      <c r="AM23" s="12" t="s">
        <v>268</v>
      </c>
      <c r="AN23" s="12" t="s">
        <v>268</v>
      </c>
      <c r="AO23" s="12" t="s">
        <v>268</v>
      </c>
      <c r="AP23" s="12" t="s">
        <v>268</v>
      </c>
      <c r="AQ23" s="12" t="s">
        <v>268</v>
      </c>
      <c r="AR23" s="28" t="str">
        <f t="shared" ca="1" si="3"/>
        <v/>
      </c>
      <c r="AS23" s="28" t="str">
        <f t="shared" ca="1" si="4"/>
        <v/>
      </c>
    </row>
    <row r="24" spans="2:45" ht="27.6" customHeight="1">
      <c r="B24">
        <f t="shared" ca="1" si="0"/>
        <v>0</v>
      </c>
      <c r="C24" t="s">
        <v>85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s="12" t="s">
        <v>268</v>
      </c>
      <c r="J24" t="s">
        <v>278</v>
      </c>
      <c r="L24" t="s">
        <v>92</v>
      </c>
      <c r="N24" s="14">
        <v>1</v>
      </c>
      <c r="P24" s="12" t="s">
        <v>268</v>
      </c>
      <c r="W24" s="9" t="str">
        <f t="shared" ca="1" si="1"/>
        <v>18.5%</v>
      </c>
      <c r="X24" t="s">
        <v>321</v>
      </c>
      <c r="Y24" s="9" t="str">
        <f t="shared" ca="1" si="2"/>
        <v>Sin costo</v>
      </c>
      <c r="Z24" t="s">
        <v>327</v>
      </c>
      <c r="AA24" t="s">
        <v>329</v>
      </c>
      <c r="AB24" t="s">
        <v>334</v>
      </c>
      <c r="AC24" s="12" t="s">
        <v>339</v>
      </c>
      <c r="AE24" t="s">
        <v>268</v>
      </c>
      <c r="AG24" s="12" t="s">
        <v>268</v>
      </c>
      <c r="AH24" t="s">
        <v>92</v>
      </c>
      <c r="AI24" s="12" t="s">
        <v>268</v>
      </c>
      <c r="AJ24" t="s">
        <v>92</v>
      </c>
      <c r="AK24" t="s">
        <v>92</v>
      </c>
      <c r="AL24" t="s">
        <v>92</v>
      </c>
      <c r="AM24" s="12" t="s">
        <v>268</v>
      </c>
      <c r="AN24" s="12" t="s">
        <v>268</v>
      </c>
      <c r="AO24" s="12" t="s">
        <v>268</v>
      </c>
      <c r="AP24" s="12" t="s">
        <v>268</v>
      </c>
      <c r="AQ24" s="12" t="s">
        <v>268</v>
      </c>
      <c r="AR24" s="28" t="str">
        <f t="shared" ca="1" si="3"/>
        <v/>
      </c>
      <c r="AS24" s="28" t="str">
        <f t="shared" ca="1" si="4"/>
        <v/>
      </c>
    </row>
    <row r="25" spans="2:45" ht="27.6" customHeight="1">
      <c r="B25">
        <f t="shared" ca="1" si="0"/>
        <v>0</v>
      </c>
      <c r="C25" t="s">
        <v>85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s="12" t="s">
        <v>268</v>
      </c>
      <c r="J25" t="s">
        <v>278</v>
      </c>
      <c r="L25" t="s">
        <v>92</v>
      </c>
      <c r="N25" s="14">
        <v>1</v>
      </c>
      <c r="P25" s="12" t="s">
        <v>268</v>
      </c>
      <c r="W25" s="9" t="str">
        <f t="shared" ca="1" si="1"/>
        <v>18.5%</v>
      </c>
      <c r="X25" t="s">
        <v>321</v>
      </c>
      <c r="Y25" s="9" t="str">
        <f t="shared" ca="1" si="2"/>
        <v>Sin costo</v>
      </c>
      <c r="Z25" t="s">
        <v>327</v>
      </c>
      <c r="AA25" t="s">
        <v>329</v>
      </c>
      <c r="AB25" t="s">
        <v>334</v>
      </c>
      <c r="AC25" s="12" t="s">
        <v>339</v>
      </c>
      <c r="AE25" t="s">
        <v>268</v>
      </c>
      <c r="AG25" s="12" t="s">
        <v>268</v>
      </c>
      <c r="AH25" t="s">
        <v>92</v>
      </c>
      <c r="AI25" s="12" t="s">
        <v>268</v>
      </c>
      <c r="AJ25" t="s">
        <v>92</v>
      </c>
      <c r="AK25" t="s">
        <v>92</v>
      </c>
      <c r="AL25" t="s">
        <v>92</v>
      </c>
      <c r="AM25" s="12" t="s">
        <v>268</v>
      </c>
      <c r="AN25" s="12" t="s">
        <v>268</v>
      </c>
      <c r="AO25" s="12" t="s">
        <v>268</v>
      </c>
      <c r="AP25" s="12" t="s">
        <v>268</v>
      </c>
      <c r="AQ25" s="12" t="s">
        <v>268</v>
      </c>
      <c r="AR25" s="28" t="str">
        <f t="shared" ca="1" si="3"/>
        <v/>
      </c>
      <c r="AS25" s="28" t="str">
        <f t="shared" ca="1" si="4"/>
        <v/>
      </c>
    </row>
    <row r="26" spans="2:45" ht="27.6" customHeight="1">
      <c r="B26">
        <f t="shared" ca="1" si="0"/>
        <v>0</v>
      </c>
      <c r="C26" t="s">
        <v>85</v>
      </c>
      <c r="D26" t="s">
        <v>92</v>
      </c>
      <c r="E26" t="s">
        <v>92</v>
      </c>
      <c r="F26" t="s">
        <v>92</v>
      </c>
      <c r="G26" t="s">
        <v>92</v>
      </c>
      <c r="H26" t="s">
        <v>92</v>
      </c>
      <c r="I26" s="12" t="s">
        <v>268</v>
      </c>
      <c r="J26" t="s">
        <v>278</v>
      </c>
      <c r="L26" t="s">
        <v>92</v>
      </c>
      <c r="N26" s="14">
        <v>1</v>
      </c>
      <c r="P26" s="12" t="s">
        <v>268</v>
      </c>
      <c r="W26" s="9" t="str">
        <f t="shared" ca="1" si="1"/>
        <v>18.5%</v>
      </c>
      <c r="X26" t="s">
        <v>321</v>
      </c>
      <c r="Y26" s="9" t="str">
        <f t="shared" ca="1" si="2"/>
        <v>Sin costo</v>
      </c>
      <c r="Z26" t="s">
        <v>327</v>
      </c>
      <c r="AA26" t="s">
        <v>329</v>
      </c>
      <c r="AB26" t="s">
        <v>334</v>
      </c>
      <c r="AC26" s="12" t="s">
        <v>339</v>
      </c>
      <c r="AE26" t="s">
        <v>268</v>
      </c>
      <c r="AG26" s="12" t="s">
        <v>268</v>
      </c>
      <c r="AH26" t="s">
        <v>92</v>
      </c>
      <c r="AI26" s="12" t="s">
        <v>268</v>
      </c>
      <c r="AJ26" t="s">
        <v>92</v>
      </c>
      <c r="AK26" t="s">
        <v>92</v>
      </c>
      <c r="AL26" t="s">
        <v>92</v>
      </c>
      <c r="AM26" s="12" t="s">
        <v>268</v>
      </c>
      <c r="AN26" s="12" t="s">
        <v>268</v>
      </c>
      <c r="AO26" s="12" t="s">
        <v>268</v>
      </c>
      <c r="AP26" s="12" t="s">
        <v>268</v>
      </c>
      <c r="AQ26" s="12" t="s">
        <v>268</v>
      </c>
      <c r="AR26" s="28" t="str">
        <f t="shared" ca="1" si="3"/>
        <v/>
      </c>
      <c r="AS26" s="28" t="str">
        <f t="shared" ca="1" si="4"/>
        <v/>
      </c>
    </row>
    <row r="27" spans="2:45" ht="27.6" customHeight="1">
      <c r="B27">
        <f t="shared" ca="1" si="0"/>
        <v>0</v>
      </c>
      <c r="C27" t="s">
        <v>85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s="12" t="s">
        <v>268</v>
      </c>
      <c r="J27" t="s">
        <v>278</v>
      </c>
      <c r="L27" t="s">
        <v>92</v>
      </c>
      <c r="N27" s="14">
        <v>1</v>
      </c>
      <c r="P27" s="12" t="s">
        <v>268</v>
      </c>
      <c r="W27" s="9" t="str">
        <f t="shared" ca="1" si="1"/>
        <v>18.5%</v>
      </c>
      <c r="X27" t="s">
        <v>321</v>
      </c>
      <c r="Y27" s="9" t="str">
        <f t="shared" ca="1" si="2"/>
        <v>Sin costo</v>
      </c>
      <c r="Z27" t="s">
        <v>327</v>
      </c>
      <c r="AA27" t="s">
        <v>329</v>
      </c>
      <c r="AB27" t="s">
        <v>334</v>
      </c>
      <c r="AC27" s="12" t="s">
        <v>339</v>
      </c>
      <c r="AE27" t="s">
        <v>268</v>
      </c>
      <c r="AG27" s="12" t="s">
        <v>268</v>
      </c>
      <c r="AH27" t="s">
        <v>92</v>
      </c>
      <c r="AI27" s="12" t="s">
        <v>268</v>
      </c>
      <c r="AJ27" t="s">
        <v>92</v>
      </c>
      <c r="AK27" t="s">
        <v>92</v>
      </c>
      <c r="AL27" t="s">
        <v>92</v>
      </c>
      <c r="AM27" s="12" t="s">
        <v>268</v>
      </c>
      <c r="AN27" s="12" t="s">
        <v>268</v>
      </c>
      <c r="AO27" s="12" t="s">
        <v>268</v>
      </c>
      <c r="AP27" s="12" t="s">
        <v>268</v>
      </c>
      <c r="AQ27" s="12" t="s">
        <v>268</v>
      </c>
      <c r="AR27" s="28" t="str">
        <f t="shared" ca="1" si="3"/>
        <v/>
      </c>
      <c r="AS27" s="28" t="str">
        <f t="shared" ca="1" si="4"/>
        <v/>
      </c>
    </row>
    <row r="28" spans="2:45" ht="27.6" customHeight="1">
      <c r="B28">
        <f t="shared" ca="1" si="0"/>
        <v>0</v>
      </c>
      <c r="C28" t="s">
        <v>85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s="12" t="s">
        <v>268</v>
      </c>
      <c r="J28" t="s">
        <v>278</v>
      </c>
      <c r="L28" t="s">
        <v>92</v>
      </c>
      <c r="N28" s="14">
        <v>1</v>
      </c>
      <c r="P28" s="12" t="s">
        <v>268</v>
      </c>
      <c r="W28" s="9" t="str">
        <f t="shared" ca="1" si="1"/>
        <v>18.5%</v>
      </c>
      <c r="X28" t="s">
        <v>321</v>
      </c>
      <c r="Y28" s="9" t="str">
        <f t="shared" ca="1" si="2"/>
        <v>Sin costo</v>
      </c>
      <c r="Z28" t="s">
        <v>327</v>
      </c>
      <c r="AA28" t="s">
        <v>329</v>
      </c>
      <c r="AB28" t="s">
        <v>334</v>
      </c>
      <c r="AC28" s="12" t="s">
        <v>339</v>
      </c>
      <c r="AE28" t="s">
        <v>268</v>
      </c>
      <c r="AG28" s="12" t="s">
        <v>268</v>
      </c>
      <c r="AH28" t="s">
        <v>92</v>
      </c>
      <c r="AI28" s="12" t="s">
        <v>268</v>
      </c>
      <c r="AJ28" t="s">
        <v>92</v>
      </c>
      <c r="AK28" t="s">
        <v>92</v>
      </c>
      <c r="AL28" t="s">
        <v>92</v>
      </c>
      <c r="AM28" s="12" t="s">
        <v>268</v>
      </c>
      <c r="AN28" s="12" t="s">
        <v>268</v>
      </c>
      <c r="AO28" s="12" t="s">
        <v>268</v>
      </c>
      <c r="AP28" s="12" t="s">
        <v>268</v>
      </c>
      <c r="AQ28" s="12" t="s">
        <v>268</v>
      </c>
      <c r="AR28" s="28" t="str">
        <f t="shared" ca="1" si="3"/>
        <v/>
      </c>
      <c r="AS28" s="28" t="str">
        <f t="shared" ca="1" si="4"/>
        <v/>
      </c>
    </row>
    <row r="29" spans="2:45" ht="27.6" customHeight="1">
      <c r="B29">
        <f t="shared" ca="1" si="0"/>
        <v>0</v>
      </c>
      <c r="C29" t="s">
        <v>85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s="12" t="s">
        <v>268</v>
      </c>
      <c r="J29" t="s">
        <v>278</v>
      </c>
      <c r="L29" t="s">
        <v>92</v>
      </c>
      <c r="N29" s="14">
        <v>1</v>
      </c>
      <c r="P29" s="12" t="s">
        <v>268</v>
      </c>
      <c r="W29" s="9" t="str">
        <f t="shared" ca="1" si="1"/>
        <v>18.5%</v>
      </c>
      <c r="X29" t="s">
        <v>321</v>
      </c>
      <c r="Y29" s="9" t="str">
        <f t="shared" ca="1" si="2"/>
        <v>Sin costo</v>
      </c>
      <c r="Z29" t="s">
        <v>327</v>
      </c>
      <c r="AA29" t="s">
        <v>329</v>
      </c>
      <c r="AB29" t="s">
        <v>334</v>
      </c>
      <c r="AC29" s="12" t="s">
        <v>339</v>
      </c>
      <c r="AE29" t="s">
        <v>268</v>
      </c>
      <c r="AG29" s="12" t="s">
        <v>268</v>
      </c>
      <c r="AH29" t="s">
        <v>92</v>
      </c>
      <c r="AI29" s="12" t="s">
        <v>268</v>
      </c>
      <c r="AJ29" t="s">
        <v>92</v>
      </c>
      <c r="AK29" t="s">
        <v>92</v>
      </c>
      <c r="AL29" t="s">
        <v>92</v>
      </c>
      <c r="AM29" s="12" t="s">
        <v>268</v>
      </c>
      <c r="AN29" s="12" t="s">
        <v>268</v>
      </c>
      <c r="AO29" s="12" t="s">
        <v>268</v>
      </c>
      <c r="AP29" s="12" t="s">
        <v>268</v>
      </c>
      <c r="AQ29" s="12" t="s">
        <v>268</v>
      </c>
      <c r="AR29" s="28" t="str">
        <f t="shared" ca="1" si="3"/>
        <v/>
      </c>
      <c r="AS29" s="28" t="str">
        <f t="shared" ca="1" si="4"/>
        <v/>
      </c>
    </row>
    <row r="30" spans="2:45" ht="27.6" customHeight="1">
      <c r="B30">
        <f t="shared" ca="1" si="0"/>
        <v>0</v>
      </c>
      <c r="C30" t="s">
        <v>85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s="12" t="s">
        <v>268</v>
      </c>
      <c r="J30" t="s">
        <v>278</v>
      </c>
      <c r="L30" t="s">
        <v>92</v>
      </c>
      <c r="N30" s="14">
        <v>1</v>
      </c>
      <c r="P30" s="12" t="s">
        <v>268</v>
      </c>
      <c r="W30" s="9" t="str">
        <f t="shared" ca="1" si="1"/>
        <v>18.5%</v>
      </c>
      <c r="X30" t="s">
        <v>321</v>
      </c>
      <c r="Y30" s="9" t="str">
        <f t="shared" ca="1" si="2"/>
        <v>Sin costo</v>
      </c>
      <c r="Z30" t="s">
        <v>327</v>
      </c>
      <c r="AA30" t="s">
        <v>329</v>
      </c>
      <c r="AB30" t="s">
        <v>334</v>
      </c>
      <c r="AC30" s="12" t="s">
        <v>339</v>
      </c>
      <c r="AE30" t="s">
        <v>268</v>
      </c>
      <c r="AG30" s="12" t="s">
        <v>268</v>
      </c>
      <c r="AH30" t="s">
        <v>92</v>
      </c>
      <c r="AI30" s="12" t="s">
        <v>268</v>
      </c>
      <c r="AJ30" t="s">
        <v>92</v>
      </c>
      <c r="AK30" t="s">
        <v>92</v>
      </c>
      <c r="AL30" t="s">
        <v>92</v>
      </c>
      <c r="AM30" s="12" t="s">
        <v>268</v>
      </c>
      <c r="AN30" s="12" t="s">
        <v>268</v>
      </c>
      <c r="AO30" s="12" t="s">
        <v>268</v>
      </c>
      <c r="AP30" s="12" t="s">
        <v>268</v>
      </c>
      <c r="AQ30" s="12" t="s">
        <v>268</v>
      </c>
      <c r="AR30" s="28" t="str">
        <f t="shared" ca="1" si="3"/>
        <v/>
      </c>
      <c r="AS30" s="28" t="str">
        <f t="shared" ca="1" si="4"/>
        <v/>
      </c>
    </row>
    <row r="31" spans="2:45" ht="27.6" customHeight="1">
      <c r="B31">
        <f t="shared" ca="1" si="0"/>
        <v>0</v>
      </c>
      <c r="C31" t="s">
        <v>85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s="12" t="s">
        <v>268</v>
      </c>
      <c r="J31" t="s">
        <v>278</v>
      </c>
      <c r="L31" t="s">
        <v>92</v>
      </c>
      <c r="N31" s="14">
        <v>1</v>
      </c>
      <c r="P31" s="12" t="s">
        <v>268</v>
      </c>
      <c r="W31" s="9" t="str">
        <f t="shared" ca="1" si="1"/>
        <v>18.5%</v>
      </c>
      <c r="X31" t="s">
        <v>321</v>
      </c>
      <c r="Y31" s="9" t="str">
        <f t="shared" ca="1" si="2"/>
        <v>Sin costo</v>
      </c>
      <c r="Z31" t="s">
        <v>327</v>
      </c>
      <c r="AA31" t="s">
        <v>329</v>
      </c>
      <c r="AB31" t="s">
        <v>334</v>
      </c>
      <c r="AC31" s="12" t="s">
        <v>339</v>
      </c>
      <c r="AE31" t="s">
        <v>268</v>
      </c>
      <c r="AG31" s="12" t="s">
        <v>268</v>
      </c>
      <c r="AH31" t="s">
        <v>92</v>
      </c>
      <c r="AI31" s="12" t="s">
        <v>268</v>
      </c>
      <c r="AJ31" t="s">
        <v>92</v>
      </c>
      <c r="AK31" t="s">
        <v>92</v>
      </c>
      <c r="AL31" t="s">
        <v>92</v>
      </c>
      <c r="AM31" s="12" t="s">
        <v>268</v>
      </c>
      <c r="AN31" s="12" t="s">
        <v>268</v>
      </c>
      <c r="AO31" s="12" t="s">
        <v>268</v>
      </c>
      <c r="AP31" s="12" t="s">
        <v>268</v>
      </c>
      <c r="AQ31" s="12" t="s">
        <v>268</v>
      </c>
      <c r="AR31" s="28" t="str">
        <f t="shared" ca="1" si="3"/>
        <v/>
      </c>
      <c r="AS31" s="28" t="str">
        <f t="shared" ca="1" si="4"/>
        <v/>
      </c>
    </row>
    <row r="32" spans="2:45" ht="27.6" customHeight="1">
      <c r="B32">
        <f t="shared" ca="1" si="0"/>
        <v>0</v>
      </c>
      <c r="C32" t="s">
        <v>85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s="12" t="s">
        <v>268</v>
      </c>
      <c r="J32" t="s">
        <v>278</v>
      </c>
      <c r="L32" t="s">
        <v>92</v>
      </c>
      <c r="N32" s="14">
        <v>1</v>
      </c>
      <c r="P32" s="12" t="s">
        <v>268</v>
      </c>
      <c r="W32" s="9" t="str">
        <f t="shared" ca="1" si="1"/>
        <v>18.5%</v>
      </c>
      <c r="X32" t="s">
        <v>321</v>
      </c>
      <c r="Y32" s="9" t="str">
        <f t="shared" ca="1" si="2"/>
        <v>Sin costo</v>
      </c>
      <c r="Z32" t="s">
        <v>327</v>
      </c>
      <c r="AA32" t="s">
        <v>329</v>
      </c>
      <c r="AB32" t="s">
        <v>334</v>
      </c>
      <c r="AC32" s="12" t="s">
        <v>339</v>
      </c>
      <c r="AE32" t="s">
        <v>268</v>
      </c>
      <c r="AG32" s="12" t="s">
        <v>268</v>
      </c>
      <c r="AH32" t="s">
        <v>92</v>
      </c>
      <c r="AI32" s="12" t="s">
        <v>268</v>
      </c>
      <c r="AJ32" t="s">
        <v>92</v>
      </c>
      <c r="AK32" t="s">
        <v>92</v>
      </c>
      <c r="AL32" t="s">
        <v>92</v>
      </c>
      <c r="AM32" s="12" t="s">
        <v>268</v>
      </c>
      <c r="AN32" s="12" t="s">
        <v>268</v>
      </c>
      <c r="AO32" s="12" t="s">
        <v>268</v>
      </c>
      <c r="AP32" s="12" t="s">
        <v>268</v>
      </c>
      <c r="AQ32" s="12" t="s">
        <v>268</v>
      </c>
      <c r="AR32" s="28" t="str">
        <f t="shared" ca="1" si="3"/>
        <v/>
      </c>
      <c r="AS32" s="28" t="str">
        <f t="shared" ca="1" si="4"/>
        <v/>
      </c>
    </row>
    <row r="33" spans="2:45" ht="27.6" customHeight="1">
      <c r="B33">
        <f t="shared" ca="1" si="0"/>
        <v>0</v>
      </c>
      <c r="C33" t="s">
        <v>85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s="12" t="s">
        <v>268</v>
      </c>
      <c r="J33" t="s">
        <v>278</v>
      </c>
      <c r="L33" t="s">
        <v>92</v>
      </c>
      <c r="N33" s="14">
        <v>1</v>
      </c>
      <c r="P33" s="12" t="s">
        <v>268</v>
      </c>
      <c r="W33" s="9" t="str">
        <f t="shared" ca="1" si="1"/>
        <v>18.5%</v>
      </c>
      <c r="X33" t="s">
        <v>321</v>
      </c>
      <c r="Y33" s="9" t="str">
        <f t="shared" ca="1" si="2"/>
        <v>Sin costo</v>
      </c>
      <c r="Z33" t="s">
        <v>327</v>
      </c>
      <c r="AA33" t="s">
        <v>329</v>
      </c>
      <c r="AB33" t="s">
        <v>334</v>
      </c>
      <c r="AC33" s="12" t="s">
        <v>339</v>
      </c>
      <c r="AE33" t="s">
        <v>268</v>
      </c>
      <c r="AG33" s="12" t="s">
        <v>268</v>
      </c>
      <c r="AH33" t="s">
        <v>92</v>
      </c>
      <c r="AI33" s="12" t="s">
        <v>268</v>
      </c>
      <c r="AJ33" t="s">
        <v>92</v>
      </c>
      <c r="AK33" t="s">
        <v>92</v>
      </c>
      <c r="AL33" t="s">
        <v>92</v>
      </c>
      <c r="AM33" s="12" t="s">
        <v>268</v>
      </c>
      <c r="AN33" s="12" t="s">
        <v>268</v>
      </c>
      <c r="AO33" s="12" t="s">
        <v>268</v>
      </c>
      <c r="AP33" s="12" t="s">
        <v>268</v>
      </c>
      <c r="AQ33" s="12" t="s">
        <v>268</v>
      </c>
      <c r="AR33" s="28" t="str">
        <f t="shared" ca="1" si="3"/>
        <v/>
      </c>
      <c r="AS33" s="28" t="str">
        <f t="shared" ca="1" si="4"/>
        <v/>
      </c>
    </row>
    <row r="34" spans="2:45" ht="27.6" customHeight="1">
      <c r="B34">
        <f t="shared" ca="1" si="0"/>
        <v>0</v>
      </c>
      <c r="C34" t="s">
        <v>85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s="12" t="s">
        <v>268</v>
      </c>
      <c r="J34" t="s">
        <v>278</v>
      </c>
      <c r="L34" t="s">
        <v>92</v>
      </c>
      <c r="N34" s="14">
        <v>1</v>
      </c>
      <c r="P34" s="12" t="s">
        <v>268</v>
      </c>
      <c r="W34" s="9" t="str">
        <f t="shared" ca="1" si="1"/>
        <v>18.5%</v>
      </c>
      <c r="X34" t="s">
        <v>321</v>
      </c>
      <c r="Y34" s="9" t="str">
        <f t="shared" ca="1" si="2"/>
        <v>Sin costo</v>
      </c>
      <c r="Z34" t="s">
        <v>327</v>
      </c>
      <c r="AA34" t="s">
        <v>329</v>
      </c>
      <c r="AB34" t="s">
        <v>334</v>
      </c>
      <c r="AC34" s="12" t="s">
        <v>339</v>
      </c>
      <c r="AE34" t="s">
        <v>268</v>
      </c>
      <c r="AG34" s="12" t="s">
        <v>268</v>
      </c>
      <c r="AH34" t="s">
        <v>92</v>
      </c>
      <c r="AI34" s="12" t="s">
        <v>268</v>
      </c>
      <c r="AJ34" t="s">
        <v>92</v>
      </c>
      <c r="AK34" t="s">
        <v>92</v>
      </c>
      <c r="AL34" t="s">
        <v>92</v>
      </c>
      <c r="AM34" s="12" t="s">
        <v>268</v>
      </c>
      <c r="AN34" s="12" t="s">
        <v>268</v>
      </c>
      <c r="AO34" s="12" t="s">
        <v>268</v>
      </c>
      <c r="AP34" s="12" t="s">
        <v>268</v>
      </c>
      <c r="AQ34" s="12" t="s">
        <v>268</v>
      </c>
      <c r="AR34" s="28" t="str">
        <f t="shared" ca="1" si="3"/>
        <v/>
      </c>
      <c r="AS34" s="28" t="str">
        <f t="shared" ca="1" si="4"/>
        <v/>
      </c>
    </row>
    <row r="35" spans="2:45" ht="27.6" customHeight="1">
      <c r="B35">
        <f t="shared" ca="1" si="0"/>
        <v>0</v>
      </c>
      <c r="C35" t="s">
        <v>85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s="12" t="s">
        <v>268</v>
      </c>
      <c r="J35" t="s">
        <v>278</v>
      </c>
      <c r="L35" t="s">
        <v>92</v>
      </c>
      <c r="N35" s="14">
        <v>1</v>
      </c>
      <c r="P35" s="12" t="s">
        <v>268</v>
      </c>
      <c r="W35" s="9" t="str">
        <f t="shared" ca="1" si="1"/>
        <v>18.5%</v>
      </c>
      <c r="X35" t="s">
        <v>321</v>
      </c>
      <c r="Y35" s="9" t="str">
        <f t="shared" ca="1" si="2"/>
        <v>Sin costo</v>
      </c>
      <c r="Z35" t="s">
        <v>327</v>
      </c>
      <c r="AA35" t="s">
        <v>329</v>
      </c>
      <c r="AB35" t="s">
        <v>334</v>
      </c>
      <c r="AC35" s="12" t="s">
        <v>339</v>
      </c>
      <c r="AE35" t="s">
        <v>268</v>
      </c>
      <c r="AG35" s="12" t="s">
        <v>268</v>
      </c>
      <c r="AH35" t="s">
        <v>92</v>
      </c>
      <c r="AI35" s="12" t="s">
        <v>268</v>
      </c>
      <c r="AJ35" t="s">
        <v>92</v>
      </c>
      <c r="AK35" t="s">
        <v>92</v>
      </c>
      <c r="AL35" t="s">
        <v>92</v>
      </c>
      <c r="AM35" s="12" t="s">
        <v>268</v>
      </c>
      <c r="AN35" s="12" t="s">
        <v>268</v>
      </c>
      <c r="AO35" s="12" t="s">
        <v>268</v>
      </c>
      <c r="AP35" s="12" t="s">
        <v>268</v>
      </c>
      <c r="AQ35" s="12" t="s">
        <v>268</v>
      </c>
      <c r="AR35" s="28" t="str">
        <f t="shared" ca="1" si="3"/>
        <v/>
      </c>
      <c r="AS35" s="28" t="str">
        <f t="shared" ca="1" si="4"/>
        <v/>
      </c>
    </row>
    <row r="36" spans="2:45" ht="27.6" customHeight="1">
      <c r="B36">
        <f t="shared" ca="1" si="0"/>
        <v>0</v>
      </c>
      <c r="C36" t="s">
        <v>85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s="12" t="s">
        <v>268</v>
      </c>
      <c r="J36" t="s">
        <v>278</v>
      </c>
      <c r="L36" t="s">
        <v>92</v>
      </c>
      <c r="N36" s="14">
        <v>1</v>
      </c>
      <c r="P36" s="12" t="s">
        <v>268</v>
      </c>
      <c r="W36" s="9" t="str">
        <f t="shared" ca="1" si="1"/>
        <v>18.5%</v>
      </c>
      <c r="X36" t="s">
        <v>321</v>
      </c>
      <c r="Y36" s="9" t="str">
        <f t="shared" ca="1" si="2"/>
        <v>Sin costo</v>
      </c>
      <c r="Z36" t="s">
        <v>327</v>
      </c>
      <c r="AA36" t="s">
        <v>329</v>
      </c>
      <c r="AB36" t="s">
        <v>334</v>
      </c>
      <c r="AC36" s="12" t="s">
        <v>339</v>
      </c>
      <c r="AE36" t="s">
        <v>268</v>
      </c>
      <c r="AG36" s="12" t="s">
        <v>268</v>
      </c>
      <c r="AH36" t="s">
        <v>92</v>
      </c>
      <c r="AI36" s="12" t="s">
        <v>268</v>
      </c>
      <c r="AJ36" t="s">
        <v>92</v>
      </c>
      <c r="AK36" t="s">
        <v>92</v>
      </c>
      <c r="AL36" t="s">
        <v>92</v>
      </c>
      <c r="AM36" s="12" t="s">
        <v>268</v>
      </c>
      <c r="AN36" s="12" t="s">
        <v>268</v>
      </c>
      <c r="AO36" s="12" t="s">
        <v>268</v>
      </c>
      <c r="AP36" s="12" t="s">
        <v>268</v>
      </c>
      <c r="AQ36" s="12" t="s">
        <v>268</v>
      </c>
      <c r="AR36" s="28" t="str">
        <f t="shared" ca="1" si="3"/>
        <v/>
      </c>
      <c r="AS36" s="28" t="str">
        <f t="shared" ca="1" si="4"/>
        <v/>
      </c>
    </row>
    <row r="37" spans="2:45" ht="27.6" customHeight="1">
      <c r="B37">
        <f t="shared" ca="1" si="0"/>
        <v>0</v>
      </c>
      <c r="C37" t="s">
        <v>85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s="12" t="s">
        <v>268</v>
      </c>
      <c r="J37" t="s">
        <v>278</v>
      </c>
      <c r="L37" t="s">
        <v>92</v>
      </c>
      <c r="N37" s="14">
        <v>1</v>
      </c>
      <c r="P37" s="12" t="s">
        <v>268</v>
      </c>
      <c r="W37" s="9" t="str">
        <f t="shared" ca="1" si="1"/>
        <v>18.5%</v>
      </c>
      <c r="X37" t="s">
        <v>321</v>
      </c>
      <c r="Y37" s="9" t="str">
        <f t="shared" ca="1" si="2"/>
        <v>Sin costo</v>
      </c>
      <c r="Z37" t="s">
        <v>327</v>
      </c>
      <c r="AA37" t="s">
        <v>329</v>
      </c>
      <c r="AB37" t="s">
        <v>334</v>
      </c>
      <c r="AC37" s="12" t="s">
        <v>339</v>
      </c>
      <c r="AE37" t="s">
        <v>268</v>
      </c>
      <c r="AG37" s="12" t="s">
        <v>268</v>
      </c>
      <c r="AH37" t="s">
        <v>92</v>
      </c>
      <c r="AI37" s="12" t="s">
        <v>268</v>
      </c>
      <c r="AJ37" t="s">
        <v>92</v>
      </c>
      <c r="AK37" t="s">
        <v>92</v>
      </c>
      <c r="AL37" t="s">
        <v>92</v>
      </c>
      <c r="AM37" s="12" t="s">
        <v>268</v>
      </c>
      <c r="AN37" s="12" t="s">
        <v>268</v>
      </c>
      <c r="AO37" s="12" t="s">
        <v>268</v>
      </c>
      <c r="AP37" s="12" t="s">
        <v>268</v>
      </c>
      <c r="AQ37" s="12" t="s">
        <v>268</v>
      </c>
      <c r="AR37" s="28" t="str">
        <f t="shared" ca="1" si="3"/>
        <v/>
      </c>
      <c r="AS37" s="28" t="str">
        <f t="shared" ca="1" si="4"/>
        <v/>
      </c>
    </row>
    <row r="38" spans="2:45" ht="27.6" customHeight="1">
      <c r="B38">
        <f t="shared" ca="1" si="0"/>
        <v>0</v>
      </c>
      <c r="C38" t="s">
        <v>85</v>
      </c>
      <c r="D38" t="s">
        <v>92</v>
      </c>
      <c r="E38" t="s">
        <v>92</v>
      </c>
      <c r="F38" t="s">
        <v>92</v>
      </c>
      <c r="G38" t="s">
        <v>92</v>
      </c>
      <c r="H38" t="s">
        <v>92</v>
      </c>
      <c r="I38" s="12" t="s">
        <v>268</v>
      </c>
      <c r="J38" t="s">
        <v>278</v>
      </c>
      <c r="L38" t="s">
        <v>92</v>
      </c>
      <c r="N38" s="14">
        <v>1</v>
      </c>
      <c r="P38" s="12" t="s">
        <v>268</v>
      </c>
      <c r="W38" s="9" t="str">
        <f t="shared" ca="1" si="1"/>
        <v>18.5%</v>
      </c>
      <c r="X38" t="s">
        <v>321</v>
      </c>
      <c r="Y38" s="9" t="str">
        <f t="shared" ca="1" si="2"/>
        <v>Sin costo</v>
      </c>
      <c r="Z38" t="s">
        <v>327</v>
      </c>
      <c r="AA38" t="s">
        <v>329</v>
      </c>
      <c r="AB38" t="s">
        <v>334</v>
      </c>
      <c r="AC38" s="12" t="s">
        <v>339</v>
      </c>
      <c r="AE38" t="s">
        <v>268</v>
      </c>
      <c r="AG38" s="12" t="s">
        <v>268</v>
      </c>
      <c r="AH38" t="s">
        <v>92</v>
      </c>
      <c r="AI38" s="12" t="s">
        <v>268</v>
      </c>
      <c r="AJ38" t="s">
        <v>92</v>
      </c>
      <c r="AK38" t="s">
        <v>92</v>
      </c>
      <c r="AL38" t="s">
        <v>92</v>
      </c>
      <c r="AM38" s="12" t="s">
        <v>268</v>
      </c>
      <c r="AN38" s="12" t="s">
        <v>268</v>
      </c>
      <c r="AO38" s="12" t="s">
        <v>268</v>
      </c>
      <c r="AP38" s="12" t="s">
        <v>268</v>
      </c>
      <c r="AQ38" s="12" t="s">
        <v>268</v>
      </c>
      <c r="AR38" s="28" t="str">
        <f t="shared" ca="1" si="3"/>
        <v/>
      </c>
      <c r="AS38" s="28" t="str">
        <f t="shared" ca="1" si="4"/>
        <v/>
      </c>
    </row>
    <row r="39" spans="2:45" ht="27.6" customHeight="1">
      <c r="B39">
        <f t="shared" ca="1" si="0"/>
        <v>0</v>
      </c>
      <c r="C39" t="s">
        <v>85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s="12" t="s">
        <v>268</v>
      </c>
      <c r="J39" t="s">
        <v>278</v>
      </c>
      <c r="L39" t="s">
        <v>92</v>
      </c>
      <c r="N39" s="14">
        <v>1</v>
      </c>
      <c r="P39" s="12" t="s">
        <v>268</v>
      </c>
      <c r="W39" s="9" t="str">
        <f t="shared" ca="1" si="1"/>
        <v>18.5%</v>
      </c>
      <c r="X39" t="s">
        <v>321</v>
      </c>
      <c r="Y39" s="9" t="str">
        <f t="shared" ca="1" si="2"/>
        <v>Sin costo</v>
      </c>
      <c r="Z39" t="s">
        <v>327</v>
      </c>
      <c r="AA39" t="s">
        <v>329</v>
      </c>
      <c r="AB39" t="s">
        <v>334</v>
      </c>
      <c r="AC39" s="12" t="s">
        <v>339</v>
      </c>
      <c r="AE39" t="s">
        <v>268</v>
      </c>
      <c r="AG39" s="12" t="s">
        <v>268</v>
      </c>
      <c r="AH39" t="s">
        <v>92</v>
      </c>
      <c r="AI39" s="12" t="s">
        <v>268</v>
      </c>
      <c r="AJ39" t="s">
        <v>92</v>
      </c>
      <c r="AK39" t="s">
        <v>92</v>
      </c>
      <c r="AL39" t="s">
        <v>92</v>
      </c>
      <c r="AM39" s="12" t="s">
        <v>268</v>
      </c>
      <c r="AN39" s="12" t="s">
        <v>268</v>
      </c>
      <c r="AO39" s="12" t="s">
        <v>268</v>
      </c>
      <c r="AP39" s="12" t="s">
        <v>268</v>
      </c>
      <c r="AQ39" s="12" t="s">
        <v>268</v>
      </c>
      <c r="AR39" s="28" t="str">
        <f t="shared" ca="1" si="3"/>
        <v/>
      </c>
      <c r="AS39" s="28" t="str">
        <f t="shared" ca="1" si="4"/>
        <v/>
      </c>
    </row>
    <row r="40" spans="2:45" ht="27.6" customHeight="1">
      <c r="B40">
        <f t="shared" ca="1" si="0"/>
        <v>0</v>
      </c>
      <c r="C40" t="s">
        <v>85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s="12" t="s">
        <v>268</v>
      </c>
      <c r="J40" t="s">
        <v>278</v>
      </c>
      <c r="L40" t="s">
        <v>92</v>
      </c>
      <c r="N40" s="14">
        <v>1</v>
      </c>
      <c r="P40" s="12" t="s">
        <v>268</v>
      </c>
      <c r="W40" s="9" t="str">
        <f t="shared" ca="1" si="1"/>
        <v>18.5%</v>
      </c>
      <c r="X40" t="s">
        <v>321</v>
      </c>
      <c r="Y40" s="9" t="str">
        <f t="shared" ca="1" si="2"/>
        <v>Sin costo</v>
      </c>
      <c r="Z40" t="s">
        <v>327</v>
      </c>
      <c r="AA40" t="s">
        <v>329</v>
      </c>
      <c r="AB40" t="s">
        <v>334</v>
      </c>
      <c r="AC40" s="12" t="s">
        <v>339</v>
      </c>
      <c r="AE40" t="s">
        <v>268</v>
      </c>
      <c r="AG40" s="12" t="s">
        <v>268</v>
      </c>
      <c r="AH40" t="s">
        <v>92</v>
      </c>
      <c r="AI40" s="12" t="s">
        <v>268</v>
      </c>
      <c r="AJ40" t="s">
        <v>92</v>
      </c>
      <c r="AK40" t="s">
        <v>92</v>
      </c>
      <c r="AL40" t="s">
        <v>92</v>
      </c>
      <c r="AM40" s="12" t="s">
        <v>268</v>
      </c>
      <c r="AN40" s="12" t="s">
        <v>268</v>
      </c>
      <c r="AO40" s="12" t="s">
        <v>268</v>
      </c>
      <c r="AP40" s="12" t="s">
        <v>268</v>
      </c>
      <c r="AQ40" s="12" t="s">
        <v>268</v>
      </c>
      <c r="AR40" s="28" t="str">
        <f t="shared" ca="1" si="3"/>
        <v/>
      </c>
      <c r="AS40" s="28" t="str">
        <f t="shared" ca="1" si="4"/>
        <v/>
      </c>
    </row>
    <row r="41" spans="2:45" ht="27.6" customHeight="1">
      <c r="B41">
        <f t="shared" ca="1" si="0"/>
        <v>0</v>
      </c>
      <c r="C41" t="s">
        <v>85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s="12" t="s">
        <v>268</v>
      </c>
      <c r="J41" t="s">
        <v>278</v>
      </c>
      <c r="L41" t="s">
        <v>92</v>
      </c>
      <c r="N41" s="14">
        <v>1</v>
      </c>
      <c r="P41" s="12" t="s">
        <v>268</v>
      </c>
      <c r="W41" s="9" t="str">
        <f t="shared" ca="1" si="1"/>
        <v>18.5%</v>
      </c>
      <c r="X41" t="s">
        <v>321</v>
      </c>
      <c r="Y41" s="9" t="str">
        <f t="shared" ca="1" si="2"/>
        <v>Sin costo</v>
      </c>
      <c r="Z41" t="s">
        <v>327</v>
      </c>
      <c r="AA41" t="s">
        <v>329</v>
      </c>
      <c r="AB41" t="s">
        <v>334</v>
      </c>
      <c r="AC41" s="12" t="s">
        <v>339</v>
      </c>
      <c r="AE41" t="s">
        <v>268</v>
      </c>
      <c r="AG41" s="12" t="s">
        <v>268</v>
      </c>
      <c r="AH41" t="s">
        <v>92</v>
      </c>
      <c r="AI41" s="12" t="s">
        <v>268</v>
      </c>
      <c r="AJ41" t="s">
        <v>92</v>
      </c>
      <c r="AK41" t="s">
        <v>92</v>
      </c>
      <c r="AL41" t="s">
        <v>92</v>
      </c>
      <c r="AM41" s="12" t="s">
        <v>268</v>
      </c>
      <c r="AN41" s="12" t="s">
        <v>268</v>
      </c>
      <c r="AO41" s="12" t="s">
        <v>268</v>
      </c>
      <c r="AP41" s="12" t="s">
        <v>268</v>
      </c>
      <c r="AQ41" s="12" t="s">
        <v>268</v>
      </c>
      <c r="AR41" s="28" t="str">
        <f t="shared" ca="1" si="3"/>
        <v/>
      </c>
      <c r="AS41" s="28" t="str">
        <f t="shared" ca="1" si="4"/>
        <v/>
      </c>
    </row>
    <row r="42" spans="2:45" ht="27.6" customHeight="1">
      <c r="B42">
        <f t="shared" ca="1" si="0"/>
        <v>0</v>
      </c>
      <c r="C42" t="s">
        <v>85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s="12" t="s">
        <v>268</v>
      </c>
      <c r="J42" t="s">
        <v>278</v>
      </c>
      <c r="L42" t="s">
        <v>92</v>
      </c>
      <c r="N42" s="14">
        <v>1</v>
      </c>
      <c r="P42" s="12" t="s">
        <v>268</v>
      </c>
      <c r="W42" s="9" t="str">
        <f t="shared" ca="1" si="1"/>
        <v>18.5%</v>
      </c>
      <c r="X42" t="s">
        <v>321</v>
      </c>
      <c r="Y42" s="9" t="str">
        <f t="shared" ca="1" si="2"/>
        <v>Sin costo</v>
      </c>
      <c r="Z42" t="s">
        <v>327</v>
      </c>
      <c r="AA42" t="s">
        <v>329</v>
      </c>
      <c r="AB42" t="s">
        <v>334</v>
      </c>
      <c r="AC42" s="12" t="s">
        <v>339</v>
      </c>
      <c r="AE42" t="s">
        <v>268</v>
      </c>
      <c r="AG42" s="12" t="s">
        <v>268</v>
      </c>
      <c r="AH42" t="s">
        <v>92</v>
      </c>
      <c r="AI42" s="12" t="s">
        <v>268</v>
      </c>
      <c r="AJ42" t="s">
        <v>92</v>
      </c>
      <c r="AK42" t="s">
        <v>92</v>
      </c>
      <c r="AL42" t="s">
        <v>92</v>
      </c>
      <c r="AM42" s="12" t="s">
        <v>268</v>
      </c>
      <c r="AN42" s="12" t="s">
        <v>268</v>
      </c>
      <c r="AO42" s="12" t="s">
        <v>268</v>
      </c>
      <c r="AP42" s="12" t="s">
        <v>268</v>
      </c>
      <c r="AQ42" s="12" t="s">
        <v>268</v>
      </c>
      <c r="AR42" s="28" t="str">
        <f t="shared" ca="1" si="3"/>
        <v/>
      </c>
      <c r="AS42" s="28" t="str">
        <f t="shared" ca="1" si="4"/>
        <v/>
      </c>
    </row>
    <row r="43" spans="2:45" ht="27.6" customHeight="1">
      <c r="B43">
        <f t="shared" ca="1" si="0"/>
        <v>0</v>
      </c>
      <c r="C43" t="s">
        <v>85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s="12" t="s">
        <v>268</v>
      </c>
      <c r="J43" t="s">
        <v>278</v>
      </c>
      <c r="L43" t="s">
        <v>92</v>
      </c>
      <c r="N43" s="14">
        <v>1</v>
      </c>
      <c r="P43" s="12" t="s">
        <v>268</v>
      </c>
      <c r="W43" s="9" t="str">
        <f t="shared" ca="1" si="1"/>
        <v>18.5%</v>
      </c>
      <c r="X43" t="s">
        <v>321</v>
      </c>
      <c r="Y43" s="9" t="str">
        <f t="shared" ca="1" si="2"/>
        <v>Sin costo</v>
      </c>
      <c r="Z43" t="s">
        <v>327</v>
      </c>
      <c r="AA43" t="s">
        <v>329</v>
      </c>
      <c r="AB43" t="s">
        <v>334</v>
      </c>
      <c r="AC43" s="12" t="s">
        <v>339</v>
      </c>
      <c r="AE43" t="s">
        <v>268</v>
      </c>
      <c r="AG43" s="12" t="s">
        <v>268</v>
      </c>
      <c r="AH43" t="s">
        <v>92</v>
      </c>
      <c r="AI43" s="12" t="s">
        <v>268</v>
      </c>
      <c r="AJ43" t="s">
        <v>92</v>
      </c>
      <c r="AK43" t="s">
        <v>92</v>
      </c>
      <c r="AL43" t="s">
        <v>92</v>
      </c>
      <c r="AM43" s="12" t="s">
        <v>268</v>
      </c>
      <c r="AN43" s="12" t="s">
        <v>268</v>
      </c>
      <c r="AO43" s="12" t="s">
        <v>268</v>
      </c>
      <c r="AP43" s="12" t="s">
        <v>268</v>
      </c>
      <c r="AQ43" s="12" t="s">
        <v>268</v>
      </c>
      <c r="AR43" s="28" t="str">
        <f t="shared" ca="1" si="3"/>
        <v/>
      </c>
      <c r="AS43" s="28" t="str">
        <f t="shared" ca="1" si="4"/>
        <v/>
      </c>
    </row>
    <row r="44" spans="2:45" ht="27.6" customHeight="1">
      <c r="B44">
        <f t="shared" ca="1" si="0"/>
        <v>0</v>
      </c>
      <c r="C44" t="s">
        <v>85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s="12" t="s">
        <v>268</v>
      </c>
      <c r="J44" t="s">
        <v>278</v>
      </c>
      <c r="L44" t="s">
        <v>92</v>
      </c>
      <c r="N44" s="14">
        <v>1</v>
      </c>
      <c r="P44" s="12" t="s">
        <v>268</v>
      </c>
      <c r="W44" s="9" t="str">
        <f t="shared" ca="1" si="1"/>
        <v>18.5%</v>
      </c>
      <c r="X44" t="s">
        <v>321</v>
      </c>
      <c r="Y44" s="9" t="str">
        <f t="shared" ca="1" si="2"/>
        <v>Sin costo</v>
      </c>
      <c r="Z44" t="s">
        <v>327</v>
      </c>
      <c r="AA44" t="s">
        <v>329</v>
      </c>
      <c r="AB44" t="s">
        <v>334</v>
      </c>
      <c r="AC44" s="12" t="s">
        <v>339</v>
      </c>
      <c r="AE44" t="s">
        <v>268</v>
      </c>
      <c r="AG44" s="12" t="s">
        <v>268</v>
      </c>
      <c r="AH44" t="s">
        <v>92</v>
      </c>
      <c r="AI44" s="12" t="s">
        <v>268</v>
      </c>
      <c r="AJ44" t="s">
        <v>92</v>
      </c>
      <c r="AK44" t="s">
        <v>92</v>
      </c>
      <c r="AL44" t="s">
        <v>92</v>
      </c>
      <c r="AM44" s="12" t="s">
        <v>268</v>
      </c>
      <c r="AN44" s="12" t="s">
        <v>268</v>
      </c>
      <c r="AO44" s="12" t="s">
        <v>268</v>
      </c>
      <c r="AP44" s="12" t="s">
        <v>268</v>
      </c>
      <c r="AQ44" s="12" t="s">
        <v>268</v>
      </c>
      <c r="AR44" s="28" t="str">
        <f t="shared" ca="1" si="3"/>
        <v/>
      </c>
      <c r="AS44" s="28" t="str">
        <f t="shared" ca="1" si="4"/>
        <v/>
      </c>
    </row>
    <row r="45" spans="2:45" ht="27.6" customHeight="1">
      <c r="B45">
        <f t="shared" ca="1" si="0"/>
        <v>0</v>
      </c>
      <c r="C45" t="s">
        <v>85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s="12" t="s">
        <v>268</v>
      </c>
      <c r="J45" t="s">
        <v>278</v>
      </c>
      <c r="L45" t="s">
        <v>92</v>
      </c>
      <c r="N45" s="14">
        <v>1</v>
      </c>
      <c r="P45" s="12" t="s">
        <v>268</v>
      </c>
      <c r="W45" s="9" t="str">
        <f t="shared" ca="1" si="1"/>
        <v>18.5%</v>
      </c>
      <c r="X45" t="s">
        <v>321</v>
      </c>
      <c r="Y45" s="9" t="str">
        <f t="shared" ca="1" si="2"/>
        <v>Sin costo</v>
      </c>
      <c r="Z45" t="s">
        <v>327</v>
      </c>
      <c r="AA45" t="s">
        <v>329</v>
      </c>
      <c r="AB45" t="s">
        <v>334</v>
      </c>
      <c r="AC45" s="12" t="s">
        <v>339</v>
      </c>
      <c r="AE45" t="s">
        <v>268</v>
      </c>
      <c r="AG45" s="12" t="s">
        <v>268</v>
      </c>
      <c r="AH45" t="s">
        <v>92</v>
      </c>
      <c r="AI45" s="12" t="s">
        <v>268</v>
      </c>
      <c r="AJ45" t="s">
        <v>92</v>
      </c>
      <c r="AK45" t="s">
        <v>92</v>
      </c>
      <c r="AL45" t="s">
        <v>92</v>
      </c>
      <c r="AM45" s="12" t="s">
        <v>268</v>
      </c>
      <c r="AN45" s="12" t="s">
        <v>268</v>
      </c>
      <c r="AO45" s="12" t="s">
        <v>268</v>
      </c>
      <c r="AP45" s="12" t="s">
        <v>268</v>
      </c>
      <c r="AQ45" s="12" t="s">
        <v>268</v>
      </c>
      <c r="AR45" s="28" t="str">
        <f t="shared" ca="1" si="3"/>
        <v/>
      </c>
      <c r="AS45" s="28" t="str">
        <f t="shared" ca="1" si="4"/>
        <v/>
      </c>
    </row>
    <row r="46" spans="2:45" ht="27.6" customHeight="1">
      <c r="B46">
        <f t="shared" ca="1" si="0"/>
        <v>0</v>
      </c>
      <c r="C46" t="s">
        <v>85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s="12" t="s">
        <v>268</v>
      </c>
      <c r="J46" t="s">
        <v>278</v>
      </c>
      <c r="L46" t="s">
        <v>92</v>
      </c>
      <c r="N46" s="14">
        <v>1</v>
      </c>
      <c r="P46" s="12" t="s">
        <v>268</v>
      </c>
      <c r="W46" s="9" t="str">
        <f t="shared" ca="1" si="1"/>
        <v>18.5%</v>
      </c>
      <c r="X46" t="s">
        <v>321</v>
      </c>
      <c r="Y46" s="9" t="str">
        <f t="shared" ca="1" si="2"/>
        <v>Sin costo</v>
      </c>
      <c r="Z46" t="s">
        <v>327</v>
      </c>
      <c r="AA46" t="s">
        <v>329</v>
      </c>
      <c r="AB46" t="s">
        <v>334</v>
      </c>
      <c r="AC46" s="12" t="s">
        <v>339</v>
      </c>
      <c r="AE46" t="s">
        <v>268</v>
      </c>
      <c r="AG46" s="12" t="s">
        <v>268</v>
      </c>
      <c r="AH46" t="s">
        <v>92</v>
      </c>
      <c r="AI46" s="12" t="s">
        <v>268</v>
      </c>
      <c r="AJ46" t="s">
        <v>92</v>
      </c>
      <c r="AK46" t="s">
        <v>92</v>
      </c>
      <c r="AL46" t="s">
        <v>92</v>
      </c>
      <c r="AM46" s="12" t="s">
        <v>268</v>
      </c>
      <c r="AN46" s="12" t="s">
        <v>268</v>
      </c>
      <c r="AO46" s="12" t="s">
        <v>268</v>
      </c>
      <c r="AP46" s="12" t="s">
        <v>268</v>
      </c>
      <c r="AQ46" s="12" t="s">
        <v>268</v>
      </c>
      <c r="AR46" s="28" t="str">
        <f t="shared" ca="1" si="3"/>
        <v/>
      </c>
      <c r="AS46" s="28" t="str">
        <f t="shared" ca="1" si="4"/>
        <v/>
      </c>
    </row>
    <row r="47" spans="2:45" ht="27.6" customHeight="1">
      <c r="B47">
        <f t="shared" ca="1" si="0"/>
        <v>0</v>
      </c>
      <c r="C47" t="s">
        <v>85</v>
      </c>
      <c r="D47" t="s">
        <v>92</v>
      </c>
      <c r="E47" t="s">
        <v>92</v>
      </c>
      <c r="F47" t="s">
        <v>92</v>
      </c>
      <c r="G47" t="s">
        <v>92</v>
      </c>
      <c r="H47" t="s">
        <v>92</v>
      </c>
      <c r="I47" s="12" t="s">
        <v>268</v>
      </c>
      <c r="J47" t="s">
        <v>278</v>
      </c>
      <c r="L47" t="s">
        <v>92</v>
      </c>
      <c r="N47" s="14">
        <v>1</v>
      </c>
      <c r="P47" s="12" t="s">
        <v>268</v>
      </c>
      <c r="W47" s="9" t="str">
        <f t="shared" ca="1" si="1"/>
        <v>18.5%</v>
      </c>
      <c r="X47" t="s">
        <v>321</v>
      </c>
      <c r="Y47" s="9" t="str">
        <f t="shared" ca="1" si="2"/>
        <v>Sin costo</v>
      </c>
      <c r="Z47" t="s">
        <v>327</v>
      </c>
      <c r="AA47" t="s">
        <v>329</v>
      </c>
      <c r="AB47" t="s">
        <v>334</v>
      </c>
      <c r="AC47" s="12" t="s">
        <v>339</v>
      </c>
      <c r="AE47" t="s">
        <v>268</v>
      </c>
      <c r="AG47" s="12" t="s">
        <v>268</v>
      </c>
      <c r="AH47" t="s">
        <v>92</v>
      </c>
      <c r="AI47" s="12" t="s">
        <v>268</v>
      </c>
      <c r="AJ47" t="s">
        <v>92</v>
      </c>
      <c r="AK47" t="s">
        <v>92</v>
      </c>
      <c r="AL47" t="s">
        <v>92</v>
      </c>
      <c r="AM47" s="12" t="s">
        <v>268</v>
      </c>
      <c r="AN47" s="12" t="s">
        <v>268</v>
      </c>
      <c r="AO47" s="12" t="s">
        <v>268</v>
      </c>
      <c r="AP47" s="12" t="s">
        <v>268</v>
      </c>
      <c r="AQ47" s="12" t="s">
        <v>268</v>
      </c>
      <c r="AR47" s="28" t="str">
        <f t="shared" ca="1" si="3"/>
        <v/>
      </c>
      <c r="AS47" s="28" t="str">
        <f t="shared" ca="1" si="4"/>
        <v/>
      </c>
    </row>
    <row r="48" spans="2:45" ht="27.6" customHeight="1">
      <c r="B48">
        <f t="shared" ca="1" si="0"/>
        <v>0</v>
      </c>
      <c r="C48" t="s">
        <v>85</v>
      </c>
      <c r="D48" t="s">
        <v>92</v>
      </c>
      <c r="E48" t="s">
        <v>92</v>
      </c>
      <c r="F48" t="s">
        <v>92</v>
      </c>
      <c r="G48" t="s">
        <v>92</v>
      </c>
      <c r="H48" t="s">
        <v>92</v>
      </c>
      <c r="I48" s="12" t="s">
        <v>268</v>
      </c>
      <c r="J48" t="s">
        <v>278</v>
      </c>
      <c r="L48" t="s">
        <v>92</v>
      </c>
      <c r="N48" s="14">
        <v>1</v>
      </c>
      <c r="P48" s="12" t="s">
        <v>268</v>
      </c>
      <c r="W48" s="9" t="str">
        <f t="shared" ca="1" si="1"/>
        <v>18.5%</v>
      </c>
      <c r="X48" t="s">
        <v>321</v>
      </c>
      <c r="Y48" s="9" t="str">
        <f t="shared" ca="1" si="2"/>
        <v>Sin costo</v>
      </c>
      <c r="Z48" t="s">
        <v>327</v>
      </c>
      <c r="AA48" t="s">
        <v>329</v>
      </c>
      <c r="AB48" t="s">
        <v>334</v>
      </c>
      <c r="AC48" s="12" t="s">
        <v>339</v>
      </c>
      <c r="AE48" t="s">
        <v>268</v>
      </c>
      <c r="AG48" s="12" t="s">
        <v>268</v>
      </c>
      <c r="AH48" t="s">
        <v>92</v>
      </c>
      <c r="AI48" s="12" t="s">
        <v>268</v>
      </c>
      <c r="AJ48" t="s">
        <v>92</v>
      </c>
      <c r="AK48" t="s">
        <v>92</v>
      </c>
      <c r="AL48" t="s">
        <v>92</v>
      </c>
      <c r="AM48" s="12" t="s">
        <v>268</v>
      </c>
      <c r="AN48" s="12" t="s">
        <v>268</v>
      </c>
      <c r="AO48" s="12" t="s">
        <v>268</v>
      </c>
      <c r="AP48" s="12" t="s">
        <v>268</v>
      </c>
      <c r="AQ48" s="12" t="s">
        <v>268</v>
      </c>
      <c r="AR48" s="28" t="str">
        <f t="shared" ca="1" si="3"/>
        <v/>
      </c>
      <c r="AS48" s="28" t="str">
        <f t="shared" ca="1" si="4"/>
        <v/>
      </c>
    </row>
    <row r="49" spans="2:45" ht="27.6" customHeight="1">
      <c r="B49">
        <f t="shared" ca="1" si="0"/>
        <v>0</v>
      </c>
      <c r="C49" t="s">
        <v>85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s="12" t="s">
        <v>268</v>
      </c>
      <c r="J49" t="s">
        <v>278</v>
      </c>
      <c r="L49" t="s">
        <v>92</v>
      </c>
      <c r="N49" s="14">
        <v>1</v>
      </c>
      <c r="P49" s="12" t="s">
        <v>268</v>
      </c>
      <c r="W49" s="9" t="str">
        <f t="shared" ca="1" si="1"/>
        <v>18.5%</v>
      </c>
      <c r="X49" t="s">
        <v>321</v>
      </c>
      <c r="Y49" s="9" t="str">
        <f t="shared" ca="1" si="2"/>
        <v>Sin costo</v>
      </c>
      <c r="Z49" t="s">
        <v>327</v>
      </c>
      <c r="AA49" t="s">
        <v>329</v>
      </c>
      <c r="AB49" t="s">
        <v>334</v>
      </c>
      <c r="AC49" s="12" t="s">
        <v>339</v>
      </c>
      <c r="AE49" t="s">
        <v>268</v>
      </c>
      <c r="AG49" s="12" t="s">
        <v>268</v>
      </c>
      <c r="AH49" t="s">
        <v>92</v>
      </c>
      <c r="AI49" s="12" t="s">
        <v>268</v>
      </c>
      <c r="AJ49" t="s">
        <v>92</v>
      </c>
      <c r="AK49" t="s">
        <v>92</v>
      </c>
      <c r="AL49" t="s">
        <v>92</v>
      </c>
      <c r="AM49" s="12" t="s">
        <v>268</v>
      </c>
      <c r="AN49" s="12" t="s">
        <v>268</v>
      </c>
      <c r="AO49" s="12" t="s">
        <v>268</v>
      </c>
      <c r="AP49" s="12" t="s">
        <v>268</v>
      </c>
      <c r="AQ49" s="12" t="s">
        <v>268</v>
      </c>
      <c r="AR49" s="28" t="str">
        <f t="shared" ca="1" si="3"/>
        <v/>
      </c>
      <c r="AS49" s="28" t="str">
        <f t="shared" ca="1" si="4"/>
        <v/>
      </c>
    </row>
    <row r="50" spans="2:45" ht="27.6" customHeight="1">
      <c r="B50">
        <f t="shared" ca="1" si="0"/>
        <v>0</v>
      </c>
      <c r="C50" t="s">
        <v>85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s="12" t="s">
        <v>268</v>
      </c>
      <c r="J50" t="s">
        <v>278</v>
      </c>
      <c r="L50" t="s">
        <v>92</v>
      </c>
      <c r="N50" s="14">
        <v>1</v>
      </c>
      <c r="P50" s="12" t="s">
        <v>268</v>
      </c>
      <c r="W50" s="9" t="str">
        <f t="shared" ca="1" si="1"/>
        <v>18.5%</v>
      </c>
      <c r="X50" t="s">
        <v>321</v>
      </c>
      <c r="Y50" s="9" t="str">
        <f t="shared" ca="1" si="2"/>
        <v>Sin costo</v>
      </c>
      <c r="Z50" t="s">
        <v>327</v>
      </c>
      <c r="AA50" t="s">
        <v>329</v>
      </c>
      <c r="AB50" t="s">
        <v>334</v>
      </c>
      <c r="AC50" s="12" t="s">
        <v>339</v>
      </c>
      <c r="AE50" t="s">
        <v>268</v>
      </c>
      <c r="AG50" s="12" t="s">
        <v>268</v>
      </c>
      <c r="AH50" t="s">
        <v>92</v>
      </c>
      <c r="AI50" s="12" t="s">
        <v>268</v>
      </c>
      <c r="AJ50" t="s">
        <v>92</v>
      </c>
      <c r="AK50" t="s">
        <v>92</v>
      </c>
      <c r="AL50" t="s">
        <v>92</v>
      </c>
      <c r="AM50" s="12" t="s">
        <v>268</v>
      </c>
      <c r="AN50" s="12" t="s">
        <v>268</v>
      </c>
      <c r="AO50" s="12" t="s">
        <v>268</v>
      </c>
      <c r="AP50" s="12" t="s">
        <v>268</v>
      </c>
      <c r="AQ50" s="12" t="s">
        <v>268</v>
      </c>
      <c r="AR50" s="28" t="str">
        <f t="shared" ca="1" si="3"/>
        <v/>
      </c>
      <c r="AS50" s="28" t="str">
        <f t="shared" ca="1" si="4"/>
        <v/>
      </c>
    </row>
    <row r="51" spans="2:45" ht="27.6" customHeight="1">
      <c r="B51">
        <f t="shared" ca="1" si="0"/>
        <v>0</v>
      </c>
      <c r="C51" t="s">
        <v>85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s="12" t="s">
        <v>268</v>
      </c>
      <c r="J51" t="s">
        <v>278</v>
      </c>
      <c r="L51" t="s">
        <v>92</v>
      </c>
      <c r="N51" s="14">
        <v>1</v>
      </c>
      <c r="P51" s="12" t="s">
        <v>268</v>
      </c>
      <c r="W51" s="9" t="str">
        <f t="shared" ca="1" si="1"/>
        <v>18.5%</v>
      </c>
      <c r="X51" t="s">
        <v>321</v>
      </c>
      <c r="Y51" s="9" t="str">
        <f t="shared" ca="1" si="2"/>
        <v>Sin costo</v>
      </c>
      <c r="Z51" t="s">
        <v>327</v>
      </c>
      <c r="AA51" t="s">
        <v>329</v>
      </c>
      <c r="AB51" t="s">
        <v>334</v>
      </c>
      <c r="AC51" s="12" t="s">
        <v>339</v>
      </c>
      <c r="AE51" t="s">
        <v>268</v>
      </c>
      <c r="AG51" s="12" t="s">
        <v>268</v>
      </c>
      <c r="AH51" t="s">
        <v>92</v>
      </c>
      <c r="AI51" s="12" t="s">
        <v>268</v>
      </c>
      <c r="AJ51" t="s">
        <v>92</v>
      </c>
      <c r="AK51" t="s">
        <v>92</v>
      </c>
      <c r="AL51" t="s">
        <v>92</v>
      </c>
      <c r="AM51" s="12" t="s">
        <v>268</v>
      </c>
      <c r="AN51" s="12" t="s">
        <v>268</v>
      </c>
      <c r="AO51" s="12" t="s">
        <v>268</v>
      </c>
      <c r="AP51" s="12" t="s">
        <v>268</v>
      </c>
      <c r="AQ51" s="12" t="s">
        <v>268</v>
      </c>
      <c r="AR51" s="28" t="str">
        <f t="shared" ca="1" si="3"/>
        <v/>
      </c>
      <c r="AS51" s="28" t="str">
        <f t="shared" ca="1" si="4"/>
        <v/>
      </c>
    </row>
    <row r="52" spans="2:45" ht="27.6" customHeight="1">
      <c r="B52">
        <f t="shared" ca="1" si="0"/>
        <v>0</v>
      </c>
      <c r="C52" t="s">
        <v>85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s="12" t="s">
        <v>268</v>
      </c>
      <c r="J52" t="s">
        <v>278</v>
      </c>
      <c r="L52" t="s">
        <v>92</v>
      </c>
      <c r="N52" s="14">
        <v>1</v>
      </c>
      <c r="P52" s="12" t="s">
        <v>268</v>
      </c>
      <c r="W52" s="9" t="str">
        <f t="shared" ca="1" si="1"/>
        <v>18.5%</v>
      </c>
      <c r="X52" t="s">
        <v>321</v>
      </c>
      <c r="Y52" s="9" t="str">
        <f t="shared" ca="1" si="2"/>
        <v>Sin costo</v>
      </c>
      <c r="Z52" t="s">
        <v>327</v>
      </c>
      <c r="AA52" t="s">
        <v>329</v>
      </c>
      <c r="AB52" t="s">
        <v>334</v>
      </c>
      <c r="AC52" s="12" t="s">
        <v>339</v>
      </c>
      <c r="AE52" t="s">
        <v>268</v>
      </c>
      <c r="AG52" s="12" t="s">
        <v>268</v>
      </c>
      <c r="AH52" t="s">
        <v>92</v>
      </c>
      <c r="AI52" s="12" t="s">
        <v>268</v>
      </c>
      <c r="AJ52" t="s">
        <v>92</v>
      </c>
      <c r="AK52" t="s">
        <v>92</v>
      </c>
      <c r="AL52" t="s">
        <v>92</v>
      </c>
      <c r="AM52" s="12" t="s">
        <v>268</v>
      </c>
      <c r="AN52" s="12" t="s">
        <v>268</v>
      </c>
      <c r="AO52" s="12" t="s">
        <v>268</v>
      </c>
      <c r="AP52" s="12" t="s">
        <v>268</v>
      </c>
      <c r="AQ52" s="12" t="s">
        <v>268</v>
      </c>
      <c r="AR52" s="28" t="str">
        <f t="shared" ca="1" si="3"/>
        <v/>
      </c>
      <c r="AS52" s="28" t="str">
        <f t="shared" ca="1" si="4"/>
        <v/>
      </c>
    </row>
    <row r="53" spans="2:45" ht="27.6" customHeight="1">
      <c r="B53">
        <f t="shared" ca="1" si="0"/>
        <v>0</v>
      </c>
      <c r="C53" t="s">
        <v>85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s="12" t="s">
        <v>268</v>
      </c>
      <c r="J53" t="s">
        <v>278</v>
      </c>
      <c r="L53" t="s">
        <v>92</v>
      </c>
      <c r="N53" s="14">
        <v>1</v>
      </c>
      <c r="P53" s="12" t="s">
        <v>268</v>
      </c>
      <c r="W53" s="9" t="str">
        <f t="shared" ca="1" si="1"/>
        <v>18.5%</v>
      </c>
      <c r="X53" t="s">
        <v>321</v>
      </c>
      <c r="Y53" s="9" t="str">
        <f t="shared" ca="1" si="2"/>
        <v>Sin costo</v>
      </c>
      <c r="Z53" t="s">
        <v>327</v>
      </c>
      <c r="AA53" t="s">
        <v>329</v>
      </c>
      <c r="AB53" t="s">
        <v>334</v>
      </c>
      <c r="AC53" s="12" t="s">
        <v>339</v>
      </c>
      <c r="AE53" t="s">
        <v>268</v>
      </c>
      <c r="AG53" s="12" t="s">
        <v>268</v>
      </c>
      <c r="AH53" t="s">
        <v>92</v>
      </c>
      <c r="AI53" s="12" t="s">
        <v>268</v>
      </c>
      <c r="AJ53" t="s">
        <v>92</v>
      </c>
      <c r="AK53" t="s">
        <v>92</v>
      </c>
      <c r="AL53" t="s">
        <v>92</v>
      </c>
      <c r="AM53" s="12" t="s">
        <v>268</v>
      </c>
      <c r="AN53" s="12" t="s">
        <v>268</v>
      </c>
      <c r="AO53" s="12" t="s">
        <v>268</v>
      </c>
      <c r="AP53" s="12" t="s">
        <v>268</v>
      </c>
      <c r="AQ53" s="12" t="s">
        <v>268</v>
      </c>
      <c r="AR53" s="28" t="str">
        <f t="shared" ca="1" si="3"/>
        <v/>
      </c>
      <c r="AS53" s="28" t="str">
        <f t="shared" ca="1" si="4"/>
        <v/>
      </c>
    </row>
    <row r="54" spans="2:45" ht="27.6" customHeight="1">
      <c r="B54">
        <f t="shared" ca="1" si="0"/>
        <v>0</v>
      </c>
      <c r="C54" t="s">
        <v>85</v>
      </c>
      <c r="D54" t="s">
        <v>92</v>
      </c>
      <c r="E54" t="s">
        <v>92</v>
      </c>
      <c r="F54" t="s">
        <v>92</v>
      </c>
      <c r="G54" t="s">
        <v>92</v>
      </c>
      <c r="H54" t="s">
        <v>92</v>
      </c>
      <c r="I54" s="12" t="s">
        <v>268</v>
      </c>
      <c r="J54" t="s">
        <v>278</v>
      </c>
      <c r="L54" t="s">
        <v>92</v>
      </c>
      <c r="N54" s="14">
        <v>1</v>
      </c>
      <c r="P54" s="12" t="s">
        <v>268</v>
      </c>
      <c r="W54" s="9" t="str">
        <f t="shared" ca="1" si="1"/>
        <v>18.5%</v>
      </c>
      <c r="X54" t="s">
        <v>321</v>
      </c>
      <c r="Y54" s="9" t="str">
        <f t="shared" ca="1" si="2"/>
        <v>Sin costo</v>
      </c>
      <c r="Z54" t="s">
        <v>327</v>
      </c>
      <c r="AA54" t="s">
        <v>329</v>
      </c>
      <c r="AB54" t="s">
        <v>334</v>
      </c>
      <c r="AC54" s="12" t="s">
        <v>339</v>
      </c>
      <c r="AE54" t="s">
        <v>268</v>
      </c>
      <c r="AG54" s="12" t="s">
        <v>268</v>
      </c>
      <c r="AH54" t="s">
        <v>92</v>
      </c>
      <c r="AI54" s="12" t="s">
        <v>268</v>
      </c>
      <c r="AJ54" t="s">
        <v>92</v>
      </c>
      <c r="AK54" t="s">
        <v>92</v>
      </c>
      <c r="AL54" t="s">
        <v>92</v>
      </c>
      <c r="AM54" s="12" t="s">
        <v>268</v>
      </c>
      <c r="AN54" s="12" t="s">
        <v>268</v>
      </c>
      <c r="AO54" s="12" t="s">
        <v>268</v>
      </c>
      <c r="AP54" s="12" t="s">
        <v>268</v>
      </c>
      <c r="AQ54" s="12" t="s">
        <v>268</v>
      </c>
      <c r="AR54" s="28" t="str">
        <f t="shared" ca="1" si="3"/>
        <v/>
      </c>
      <c r="AS54" s="28" t="str">
        <f t="shared" ca="1" si="4"/>
        <v/>
      </c>
    </row>
    <row r="55" spans="2:45" ht="27.6" customHeight="1">
      <c r="B55">
        <f t="shared" ca="1" si="0"/>
        <v>0</v>
      </c>
      <c r="C55" t="s">
        <v>85</v>
      </c>
      <c r="D55" t="s">
        <v>92</v>
      </c>
      <c r="E55" t="s">
        <v>92</v>
      </c>
      <c r="F55" t="s">
        <v>92</v>
      </c>
      <c r="G55" t="s">
        <v>92</v>
      </c>
      <c r="H55" t="s">
        <v>92</v>
      </c>
      <c r="I55" s="12" t="s">
        <v>268</v>
      </c>
      <c r="J55" t="s">
        <v>278</v>
      </c>
      <c r="L55" t="s">
        <v>92</v>
      </c>
      <c r="N55" s="14">
        <v>1</v>
      </c>
      <c r="P55" s="12" t="s">
        <v>268</v>
      </c>
      <c r="W55" s="9" t="str">
        <f t="shared" ca="1" si="1"/>
        <v>18.5%</v>
      </c>
      <c r="X55" t="s">
        <v>321</v>
      </c>
      <c r="Y55" s="9" t="str">
        <f t="shared" ca="1" si="2"/>
        <v>Sin costo</v>
      </c>
      <c r="Z55" t="s">
        <v>327</v>
      </c>
      <c r="AA55" t="s">
        <v>329</v>
      </c>
      <c r="AB55" t="s">
        <v>334</v>
      </c>
      <c r="AC55" s="12" t="s">
        <v>339</v>
      </c>
      <c r="AE55" t="s">
        <v>268</v>
      </c>
      <c r="AG55" s="12" t="s">
        <v>268</v>
      </c>
      <c r="AH55" t="s">
        <v>92</v>
      </c>
      <c r="AI55" s="12" t="s">
        <v>268</v>
      </c>
      <c r="AJ55" t="s">
        <v>92</v>
      </c>
      <c r="AK55" t="s">
        <v>92</v>
      </c>
      <c r="AL55" t="s">
        <v>92</v>
      </c>
      <c r="AM55" s="12" t="s">
        <v>268</v>
      </c>
      <c r="AN55" s="12" t="s">
        <v>268</v>
      </c>
      <c r="AO55" s="12" t="s">
        <v>268</v>
      </c>
      <c r="AP55" s="12" t="s">
        <v>268</v>
      </c>
      <c r="AQ55" s="12" t="s">
        <v>268</v>
      </c>
      <c r="AR55" s="28" t="str">
        <f t="shared" ca="1" si="3"/>
        <v/>
      </c>
      <c r="AS55" s="28" t="str">
        <f t="shared" ca="1" si="4"/>
        <v/>
      </c>
    </row>
    <row r="56" spans="2:45" ht="27.6" customHeight="1">
      <c r="B56">
        <f t="shared" ca="1" si="0"/>
        <v>0</v>
      </c>
      <c r="C56" t="s">
        <v>85</v>
      </c>
      <c r="D56" t="s">
        <v>92</v>
      </c>
      <c r="E56" t="s">
        <v>92</v>
      </c>
      <c r="F56" t="s">
        <v>92</v>
      </c>
      <c r="G56" t="s">
        <v>92</v>
      </c>
      <c r="H56" t="s">
        <v>92</v>
      </c>
      <c r="I56" s="12" t="s">
        <v>268</v>
      </c>
      <c r="J56" t="s">
        <v>278</v>
      </c>
      <c r="L56" t="s">
        <v>92</v>
      </c>
      <c r="N56" s="14">
        <v>1</v>
      </c>
      <c r="P56" s="12" t="s">
        <v>268</v>
      </c>
      <c r="W56" s="9" t="str">
        <f t="shared" ca="1" si="1"/>
        <v>18.5%</v>
      </c>
      <c r="X56" t="s">
        <v>321</v>
      </c>
      <c r="Y56" s="9" t="str">
        <f t="shared" ca="1" si="2"/>
        <v>Sin costo</v>
      </c>
      <c r="Z56" t="s">
        <v>327</v>
      </c>
      <c r="AA56" t="s">
        <v>329</v>
      </c>
      <c r="AB56" t="s">
        <v>334</v>
      </c>
      <c r="AC56" s="12" t="s">
        <v>339</v>
      </c>
      <c r="AE56" t="s">
        <v>268</v>
      </c>
      <c r="AG56" s="12" t="s">
        <v>268</v>
      </c>
      <c r="AH56" t="s">
        <v>92</v>
      </c>
      <c r="AI56" s="12" t="s">
        <v>268</v>
      </c>
      <c r="AJ56" t="s">
        <v>92</v>
      </c>
      <c r="AK56" t="s">
        <v>92</v>
      </c>
      <c r="AL56" t="s">
        <v>92</v>
      </c>
      <c r="AM56" s="12" t="s">
        <v>268</v>
      </c>
      <c r="AN56" s="12" t="s">
        <v>268</v>
      </c>
      <c r="AO56" s="12" t="s">
        <v>268</v>
      </c>
      <c r="AP56" s="12" t="s">
        <v>268</v>
      </c>
      <c r="AQ56" s="12" t="s">
        <v>268</v>
      </c>
      <c r="AR56" s="28" t="str">
        <f t="shared" ca="1" si="3"/>
        <v/>
      </c>
      <c r="AS56" s="28" t="str">
        <f t="shared" ca="1" si="4"/>
        <v/>
      </c>
    </row>
    <row r="57" spans="2:45" ht="27.6" customHeight="1">
      <c r="B57">
        <f t="shared" ca="1" si="0"/>
        <v>0</v>
      </c>
      <c r="C57" t="s">
        <v>85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s="12" t="s">
        <v>268</v>
      </c>
      <c r="J57" t="s">
        <v>278</v>
      </c>
      <c r="L57" t="s">
        <v>92</v>
      </c>
      <c r="N57" s="14">
        <v>1</v>
      </c>
      <c r="P57" s="12" t="s">
        <v>268</v>
      </c>
      <c r="W57" s="9" t="str">
        <f t="shared" ca="1" si="1"/>
        <v>18.5%</v>
      </c>
      <c r="X57" t="s">
        <v>321</v>
      </c>
      <c r="Y57" s="9" t="str">
        <f t="shared" ca="1" si="2"/>
        <v>Sin costo</v>
      </c>
      <c r="Z57" t="s">
        <v>327</v>
      </c>
      <c r="AA57" t="s">
        <v>329</v>
      </c>
      <c r="AB57" t="s">
        <v>334</v>
      </c>
      <c r="AC57" s="12" t="s">
        <v>339</v>
      </c>
      <c r="AE57" t="s">
        <v>268</v>
      </c>
      <c r="AG57" s="12" t="s">
        <v>268</v>
      </c>
      <c r="AH57" t="s">
        <v>92</v>
      </c>
      <c r="AI57" s="12" t="s">
        <v>268</v>
      </c>
      <c r="AJ57" t="s">
        <v>92</v>
      </c>
      <c r="AK57" t="s">
        <v>92</v>
      </c>
      <c r="AL57" t="s">
        <v>92</v>
      </c>
      <c r="AM57" s="12" t="s">
        <v>268</v>
      </c>
      <c r="AN57" s="12" t="s">
        <v>268</v>
      </c>
      <c r="AO57" s="12" t="s">
        <v>268</v>
      </c>
      <c r="AP57" s="12" t="s">
        <v>268</v>
      </c>
      <c r="AQ57" s="12" t="s">
        <v>268</v>
      </c>
      <c r="AR57" s="28" t="str">
        <f t="shared" ca="1" si="3"/>
        <v/>
      </c>
      <c r="AS57" s="28" t="str">
        <f t="shared" ca="1" si="4"/>
        <v/>
      </c>
    </row>
    <row r="58" spans="2:45" ht="27.6" customHeight="1">
      <c r="B58">
        <f t="shared" ca="1" si="0"/>
        <v>0</v>
      </c>
      <c r="C58" t="s">
        <v>85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s="12" t="s">
        <v>268</v>
      </c>
      <c r="J58" t="s">
        <v>278</v>
      </c>
      <c r="L58" t="s">
        <v>92</v>
      </c>
      <c r="N58" s="14">
        <v>1</v>
      </c>
      <c r="P58" s="12" t="s">
        <v>268</v>
      </c>
      <c r="W58" s="9" t="str">
        <f t="shared" ca="1" si="1"/>
        <v>18.5%</v>
      </c>
      <c r="X58" t="s">
        <v>321</v>
      </c>
      <c r="Y58" s="9" t="str">
        <f t="shared" ca="1" si="2"/>
        <v>Sin costo</v>
      </c>
      <c r="Z58" t="s">
        <v>327</v>
      </c>
      <c r="AA58" t="s">
        <v>329</v>
      </c>
      <c r="AB58" t="s">
        <v>334</v>
      </c>
      <c r="AC58" s="12" t="s">
        <v>339</v>
      </c>
      <c r="AE58" t="s">
        <v>268</v>
      </c>
      <c r="AG58" s="12" t="s">
        <v>268</v>
      </c>
      <c r="AH58" t="s">
        <v>92</v>
      </c>
      <c r="AI58" s="12" t="s">
        <v>268</v>
      </c>
      <c r="AJ58" t="s">
        <v>92</v>
      </c>
      <c r="AK58" t="s">
        <v>92</v>
      </c>
      <c r="AL58" t="s">
        <v>92</v>
      </c>
      <c r="AM58" s="12" t="s">
        <v>268</v>
      </c>
      <c r="AN58" s="12" t="s">
        <v>268</v>
      </c>
      <c r="AO58" s="12" t="s">
        <v>268</v>
      </c>
      <c r="AP58" s="12" t="s">
        <v>268</v>
      </c>
      <c r="AQ58" s="12" t="s">
        <v>268</v>
      </c>
      <c r="AR58" s="28" t="str">
        <f t="shared" ca="1" si="3"/>
        <v/>
      </c>
      <c r="AS58" s="28" t="str">
        <f t="shared" ca="1" si="4"/>
        <v/>
      </c>
    </row>
    <row r="59" spans="2:45" ht="27.6" customHeight="1">
      <c r="B59">
        <f t="shared" ca="1" si="0"/>
        <v>0</v>
      </c>
      <c r="C59" t="s">
        <v>85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s="12" t="s">
        <v>268</v>
      </c>
      <c r="J59" t="s">
        <v>278</v>
      </c>
      <c r="L59" t="s">
        <v>92</v>
      </c>
      <c r="N59" s="14">
        <v>1</v>
      </c>
      <c r="P59" s="12" t="s">
        <v>268</v>
      </c>
      <c r="W59" s="9" t="str">
        <f t="shared" ca="1" si="1"/>
        <v>18.5%</v>
      </c>
      <c r="X59" t="s">
        <v>321</v>
      </c>
      <c r="Y59" s="9" t="str">
        <f t="shared" ca="1" si="2"/>
        <v>Sin costo</v>
      </c>
      <c r="Z59" t="s">
        <v>327</v>
      </c>
      <c r="AA59" t="s">
        <v>329</v>
      </c>
      <c r="AB59" t="s">
        <v>334</v>
      </c>
      <c r="AC59" s="12" t="s">
        <v>339</v>
      </c>
      <c r="AE59" t="s">
        <v>268</v>
      </c>
      <c r="AG59" s="12" t="s">
        <v>268</v>
      </c>
      <c r="AH59" t="s">
        <v>92</v>
      </c>
      <c r="AI59" s="12" t="s">
        <v>268</v>
      </c>
      <c r="AJ59" t="s">
        <v>92</v>
      </c>
      <c r="AK59" t="s">
        <v>92</v>
      </c>
      <c r="AL59" t="s">
        <v>92</v>
      </c>
      <c r="AM59" s="12" t="s">
        <v>268</v>
      </c>
      <c r="AN59" s="12" t="s">
        <v>268</v>
      </c>
      <c r="AO59" s="12" t="s">
        <v>268</v>
      </c>
      <c r="AP59" s="12" t="s">
        <v>268</v>
      </c>
      <c r="AQ59" s="12" t="s">
        <v>268</v>
      </c>
      <c r="AR59" s="28" t="str">
        <f t="shared" ca="1" si="3"/>
        <v/>
      </c>
      <c r="AS59" s="28" t="str">
        <f t="shared" ca="1" si="4"/>
        <v/>
      </c>
    </row>
    <row r="60" spans="2:45" ht="27.6" customHeight="1">
      <c r="B60">
        <f t="shared" ca="1" si="0"/>
        <v>0</v>
      </c>
      <c r="C60" t="s">
        <v>85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s="12" t="s">
        <v>268</v>
      </c>
      <c r="J60" t="s">
        <v>278</v>
      </c>
      <c r="L60" t="s">
        <v>92</v>
      </c>
      <c r="N60" s="14">
        <v>1</v>
      </c>
      <c r="P60" s="12" t="s">
        <v>268</v>
      </c>
      <c r="W60" s="9" t="str">
        <f t="shared" ca="1" si="1"/>
        <v>18.5%</v>
      </c>
      <c r="X60" t="s">
        <v>321</v>
      </c>
      <c r="Y60" s="9" t="str">
        <f t="shared" ca="1" si="2"/>
        <v>Sin costo</v>
      </c>
      <c r="Z60" t="s">
        <v>327</v>
      </c>
      <c r="AA60" t="s">
        <v>329</v>
      </c>
      <c r="AB60" t="s">
        <v>334</v>
      </c>
      <c r="AC60" s="12" t="s">
        <v>339</v>
      </c>
      <c r="AE60" t="s">
        <v>268</v>
      </c>
      <c r="AG60" s="12" t="s">
        <v>268</v>
      </c>
      <c r="AH60" t="s">
        <v>92</v>
      </c>
      <c r="AI60" s="12" t="s">
        <v>268</v>
      </c>
      <c r="AJ60" t="s">
        <v>92</v>
      </c>
      <c r="AK60" t="s">
        <v>92</v>
      </c>
      <c r="AL60" t="s">
        <v>92</v>
      </c>
      <c r="AM60" s="12" t="s">
        <v>268</v>
      </c>
      <c r="AN60" s="12" t="s">
        <v>268</v>
      </c>
      <c r="AO60" s="12" t="s">
        <v>268</v>
      </c>
      <c r="AP60" s="12" t="s">
        <v>268</v>
      </c>
      <c r="AQ60" s="12" t="s">
        <v>268</v>
      </c>
      <c r="AR60" s="28" t="str">
        <f t="shared" ca="1" si="3"/>
        <v/>
      </c>
      <c r="AS60" s="28" t="str">
        <f t="shared" ca="1" si="4"/>
        <v/>
      </c>
    </row>
    <row r="61" spans="2:45" ht="27.6" customHeight="1">
      <c r="B61">
        <f t="shared" ca="1" si="0"/>
        <v>0</v>
      </c>
      <c r="C61" t="s">
        <v>85</v>
      </c>
      <c r="D61" t="s">
        <v>92</v>
      </c>
      <c r="E61" t="s">
        <v>92</v>
      </c>
      <c r="F61" t="s">
        <v>92</v>
      </c>
      <c r="G61" t="s">
        <v>92</v>
      </c>
      <c r="H61" t="s">
        <v>92</v>
      </c>
      <c r="I61" s="12" t="s">
        <v>268</v>
      </c>
      <c r="J61" t="s">
        <v>278</v>
      </c>
      <c r="L61" t="s">
        <v>92</v>
      </c>
      <c r="N61" s="14">
        <v>1</v>
      </c>
      <c r="P61" s="12" t="s">
        <v>268</v>
      </c>
      <c r="W61" s="9" t="str">
        <f t="shared" ca="1" si="1"/>
        <v>18.5%</v>
      </c>
      <c r="X61" t="s">
        <v>321</v>
      </c>
      <c r="Y61" s="9" t="str">
        <f t="shared" ca="1" si="2"/>
        <v>Sin costo</v>
      </c>
      <c r="Z61" t="s">
        <v>327</v>
      </c>
      <c r="AA61" t="s">
        <v>329</v>
      </c>
      <c r="AB61" t="s">
        <v>334</v>
      </c>
      <c r="AC61" s="12" t="s">
        <v>339</v>
      </c>
      <c r="AE61" t="s">
        <v>268</v>
      </c>
      <c r="AG61" s="12" t="s">
        <v>268</v>
      </c>
      <c r="AH61" t="s">
        <v>92</v>
      </c>
      <c r="AI61" s="12" t="s">
        <v>268</v>
      </c>
      <c r="AJ61" t="s">
        <v>92</v>
      </c>
      <c r="AK61" t="s">
        <v>92</v>
      </c>
      <c r="AL61" t="s">
        <v>92</v>
      </c>
      <c r="AM61" s="12" t="s">
        <v>268</v>
      </c>
      <c r="AN61" s="12" t="s">
        <v>268</v>
      </c>
      <c r="AO61" s="12" t="s">
        <v>268</v>
      </c>
      <c r="AP61" s="12" t="s">
        <v>268</v>
      </c>
      <c r="AQ61" s="12" t="s">
        <v>268</v>
      </c>
      <c r="AR61" s="28" t="str">
        <f t="shared" ca="1" si="3"/>
        <v/>
      </c>
      <c r="AS61" s="28" t="str">
        <f t="shared" ca="1" si="4"/>
        <v/>
      </c>
    </row>
    <row r="62" spans="2:45" ht="27.6" customHeight="1">
      <c r="B62">
        <f t="shared" ca="1" si="0"/>
        <v>0</v>
      </c>
      <c r="C62" t="s">
        <v>85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s="12" t="s">
        <v>268</v>
      </c>
      <c r="J62" t="s">
        <v>278</v>
      </c>
      <c r="L62" t="s">
        <v>92</v>
      </c>
      <c r="N62" s="14">
        <v>1</v>
      </c>
      <c r="P62" s="12" t="s">
        <v>268</v>
      </c>
      <c r="W62" s="9" t="str">
        <f t="shared" ca="1" si="1"/>
        <v>18.5%</v>
      </c>
      <c r="X62" t="s">
        <v>321</v>
      </c>
      <c r="Y62" s="9" t="str">
        <f t="shared" ca="1" si="2"/>
        <v>Sin costo</v>
      </c>
      <c r="Z62" t="s">
        <v>327</v>
      </c>
      <c r="AA62" t="s">
        <v>329</v>
      </c>
      <c r="AB62" t="s">
        <v>334</v>
      </c>
      <c r="AC62" s="12" t="s">
        <v>339</v>
      </c>
      <c r="AE62" t="s">
        <v>268</v>
      </c>
      <c r="AG62" s="12" t="s">
        <v>268</v>
      </c>
      <c r="AH62" t="s">
        <v>92</v>
      </c>
      <c r="AI62" s="12" t="s">
        <v>268</v>
      </c>
      <c r="AJ62" t="s">
        <v>92</v>
      </c>
      <c r="AK62" t="s">
        <v>92</v>
      </c>
      <c r="AL62" t="s">
        <v>92</v>
      </c>
      <c r="AM62" s="12" t="s">
        <v>268</v>
      </c>
      <c r="AN62" s="12" t="s">
        <v>268</v>
      </c>
      <c r="AO62" s="12" t="s">
        <v>268</v>
      </c>
      <c r="AP62" s="12" t="s">
        <v>268</v>
      </c>
      <c r="AQ62" s="12" t="s">
        <v>268</v>
      </c>
      <c r="AR62" s="28" t="str">
        <f t="shared" ca="1" si="3"/>
        <v/>
      </c>
      <c r="AS62" s="28" t="str">
        <f t="shared" ca="1" si="4"/>
        <v/>
      </c>
    </row>
    <row r="63" spans="2:45" ht="27.6" customHeight="1">
      <c r="B63">
        <f t="shared" ca="1" si="0"/>
        <v>0</v>
      </c>
      <c r="C63" t="s">
        <v>85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s="12" t="s">
        <v>268</v>
      </c>
      <c r="J63" t="s">
        <v>278</v>
      </c>
      <c r="L63" t="s">
        <v>92</v>
      </c>
      <c r="N63" s="14">
        <v>1</v>
      </c>
      <c r="P63" s="12" t="s">
        <v>268</v>
      </c>
      <c r="W63" s="9" t="str">
        <f t="shared" ca="1" si="1"/>
        <v>18.5%</v>
      </c>
      <c r="X63" t="s">
        <v>321</v>
      </c>
      <c r="Y63" s="9" t="str">
        <f t="shared" ca="1" si="2"/>
        <v>Sin costo</v>
      </c>
      <c r="Z63" t="s">
        <v>327</v>
      </c>
      <c r="AA63" t="s">
        <v>329</v>
      </c>
      <c r="AB63" t="s">
        <v>334</v>
      </c>
      <c r="AC63" s="12" t="s">
        <v>339</v>
      </c>
      <c r="AE63" t="s">
        <v>268</v>
      </c>
      <c r="AG63" s="12" t="s">
        <v>268</v>
      </c>
      <c r="AH63" t="s">
        <v>92</v>
      </c>
      <c r="AI63" s="12" t="s">
        <v>268</v>
      </c>
      <c r="AJ63" t="s">
        <v>92</v>
      </c>
      <c r="AK63" t="s">
        <v>92</v>
      </c>
      <c r="AL63" t="s">
        <v>92</v>
      </c>
      <c r="AM63" s="12" t="s">
        <v>268</v>
      </c>
      <c r="AN63" s="12" t="s">
        <v>268</v>
      </c>
      <c r="AO63" s="12" t="s">
        <v>268</v>
      </c>
      <c r="AP63" s="12" t="s">
        <v>268</v>
      </c>
      <c r="AQ63" s="12" t="s">
        <v>268</v>
      </c>
      <c r="AR63" s="28" t="str">
        <f t="shared" ca="1" si="3"/>
        <v/>
      </c>
      <c r="AS63" s="28" t="str">
        <f t="shared" ca="1" si="4"/>
        <v/>
      </c>
    </row>
    <row r="64" spans="2:45" ht="27.6" customHeight="1">
      <c r="B64">
        <f t="shared" ca="1" si="0"/>
        <v>0</v>
      </c>
      <c r="C64" t="s">
        <v>85</v>
      </c>
      <c r="D64" t="s">
        <v>92</v>
      </c>
      <c r="E64" t="s">
        <v>92</v>
      </c>
      <c r="F64" t="s">
        <v>92</v>
      </c>
      <c r="G64" t="s">
        <v>92</v>
      </c>
      <c r="H64" t="s">
        <v>92</v>
      </c>
      <c r="I64" s="12" t="s">
        <v>268</v>
      </c>
      <c r="J64" t="s">
        <v>278</v>
      </c>
      <c r="L64" t="s">
        <v>92</v>
      </c>
      <c r="N64" s="14">
        <v>1</v>
      </c>
      <c r="P64" s="12" t="s">
        <v>268</v>
      </c>
      <c r="W64" s="9" t="str">
        <f t="shared" ca="1" si="1"/>
        <v>18.5%</v>
      </c>
      <c r="X64" t="s">
        <v>321</v>
      </c>
      <c r="Y64" s="9" t="str">
        <f t="shared" ca="1" si="2"/>
        <v>Sin costo</v>
      </c>
      <c r="Z64" t="s">
        <v>327</v>
      </c>
      <c r="AA64" t="s">
        <v>329</v>
      </c>
      <c r="AB64" t="s">
        <v>334</v>
      </c>
      <c r="AC64" s="12" t="s">
        <v>339</v>
      </c>
      <c r="AE64" t="s">
        <v>268</v>
      </c>
      <c r="AG64" s="12" t="s">
        <v>268</v>
      </c>
      <c r="AH64" t="s">
        <v>92</v>
      </c>
      <c r="AI64" s="12" t="s">
        <v>268</v>
      </c>
      <c r="AJ64" t="s">
        <v>92</v>
      </c>
      <c r="AK64" t="s">
        <v>92</v>
      </c>
      <c r="AL64" t="s">
        <v>92</v>
      </c>
      <c r="AM64" s="12" t="s">
        <v>268</v>
      </c>
      <c r="AN64" s="12" t="s">
        <v>268</v>
      </c>
      <c r="AO64" s="12" t="s">
        <v>268</v>
      </c>
      <c r="AP64" s="12" t="s">
        <v>268</v>
      </c>
      <c r="AQ64" s="12" t="s">
        <v>268</v>
      </c>
      <c r="AR64" s="28" t="str">
        <f t="shared" ca="1" si="3"/>
        <v/>
      </c>
      <c r="AS64" s="28" t="str">
        <f t="shared" ca="1" si="4"/>
        <v/>
      </c>
    </row>
    <row r="65" spans="2:45" ht="27.6" customHeight="1">
      <c r="B65">
        <f t="shared" ca="1" si="0"/>
        <v>0</v>
      </c>
      <c r="C65" t="s">
        <v>85</v>
      </c>
      <c r="D65" t="s">
        <v>92</v>
      </c>
      <c r="E65" t="s">
        <v>92</v>
      </c>
      <c r="F65" t="s">
        <v>92</v>
      </c>
      <c r="G65" t="s">
        <v>92</v>
      </c>
      <c r="H65" t="s">
        <v>92</v>
      </c>
      <c r="I65" s="12" t="s">
        <v>268</v>
      </c>
      <c r="J65" t="s">
        <v>278</v>
      </c>
      <c r="L65" t="s">
        <v>92</v>
      </c>
      <c r="N65" s="14">
        <v>1</v>
      </c>
      <c r="P65" s="12" t="s">
        <v>268</v>
      </c>
      <c r="W65" s="9" t="str">
        <f t="shared" ca="1" si="1"/>
        <v>18.5%</v>
      </c>
      <c r="X65" t="s">
        <v>321</v>
      </c>
      <c r="Y65" s="9" t="str">
        <f t="shared" ca="1" si="2"/>
        <v>Sin costo</v>
      </c>
      <c r="Z65" t="s">
        <v>327</v>
      </c>
      <c r="AA65" t="s">
        <v>329</v>
      </c>
      <c r="AB65" t="s">
        <v>334</v>
      </c>
      <c r="AC65" s="12" t="s">
        <v>339</v>
      </c>
      <c r="AE65" t="s">
        <v>268</v>
      </c>
      <c r="AG65" s="12" t="s">
        <v>268</v>
      </c>
      <c r="AH65" t="s">
        <v>92</v>
      </c>
      <c r="AI65" s="12" t="s">
        <v>268</v>
      </c>
      <c r="AJ65" t="s">
        <v>92</v>
      </c>
      <c r="AK65" t="s">
        <v>92</v>
      </c>
      <c r="AL65" t="s">
        <v>92</v>
      </c>
      <c r="AM65" s="12" t="s">
        <v>268</v>
      </c>
      <c r="AN65" s="12" t="s">
        <v>268</v>
      </c>
      <c r="AO65" s="12" t="s">
        <v>268</v>
      </c>
      <c r="AP65" s="12" t="s">
        <v>268</v>
      </c>
      <c r="AQ65" s="12" t="s">
        <v>268</v>
      </c>
      <c r="AR65" s="28" t="str">
        <f t="shared" ca="1" si="3"/>
        <v/>
      </c>
      <c r="AS65" s="28" t="str">
        <f t="shared" ca="1" si="4"/>
        <v/>
      </c>
    </row>
    <row r="66" spans="2:45" ht="27.6" customHeight="1">
      <c r="B66">
        <f t="shared" ca="1" si="0"/>
        <v>0</v>
      </c>
      <c r="C66" t="s">
        <v>85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s="12" t="s">
        <v>268</v>
      </c>
      <c r="J66" t="s">
        <v>278</v>
      </c>
      <c r="L66" t="s">
        <v>92</v>
      </c>
      <c r="N66" s="14">
        <v>1</v>
      </c>
      <c r="P66" s="12" t="s">
        <v>268</v>
      </c>
      <c r="W66" s="9" t="str">
        <f t="shared" ca="1" si="1"/>
        <v>18.5%</v>
      </c>
      <c r="X66" t="s">
        <v>321</v>
      </c>
      <c r="Y66" s="9" t="str">
        <f t="shared" ca="1" si="2"/>
        <v>Sin costo</v>
      </c>
      <c r="Z66" t="s">
        <v>327</v>
      </c>
      <c r="AA66" t="s">
        <v>329</v>
      </c>
      <c r="AB66" t="s">
        <v>334</v>
      </c>
      <c r="AC66" s="12" t="s">
        <v>339</v>
      </c>
      <c r="AE66" t="s">
        <v>268</v>
      </c>
      <c r="AG66" s="12" t="s">
        <v>268</v>
      </c>
      <c r="AH66" t="s">
        <v>92</v>
      </c>
      <c r="AI66" s="12" t="s">
        <v>268</v>
      </c>
      <c r="AJ66" t="s">
        <v>92</v>
      </c>
      <c r="AK66" t="s">
        <v>92</v>
      </c>
      <c r="AL66" t="s">
        <v>92</v>
      </c>
      <c r="AM66" s="12" t="s">
        <v>268</v>
      </c>
      <c r="AN66" s="12" t="s">
        <v>268</v>
      </c>
      <c r="AO66" s="12" t="s">
        <v>268</v>
      </c>
      <c r="AP66" s="12" t="s">
        <v>268</v>
      </c>
      <c r="AQ66" s="12" t="s">
        <v>268</v>
      </c>
      <c r="AR66" s="28" t="str">
        <f t="shared" ca="1" si="3"/>
        <v/>
      </c>
      <c r="AS66" s="28" t="str">
        <f t="shared" ca="1" si="4"/>
        <v/>
      </c>
    </row>
    <row r="67" spans="2:45" ht="27.6" customHeight="1">
      <c r="B67">
        <f t="shared" ca="1" si="0"/>
        <v>0</v>
      </c>
      <c r="C67" t="s">
        <v>85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s="12" t="s">
        <v>268</v>
      </c>
      <c r="J67" t="s">
        <v>278</v>
      </c>
      <c r="L67" t="s">
        <v>92</v>
      </c>
      <c r="N67" s="14">
        <v>1</v>
      </c>
      <c r="P67" s="12" t="s">
        <v>268</v>
      </c>
      <c r="W67" s="9" t="str">
        <f t="shared" ca="1" si="1"/>
        <v>18.5%</v>
      </c>
      <c r="X67" t="s">
        <v>321</v>
      </c>
      <c r="Y67" s="9" t="str">
        <f t="shared" ca="1" si="2"/>
        <v>Sin costo</v>
      </c>
      <c r="Z67" t="s">
        <v>327</v>
      </c>
      <c r="AA67" t="s">
        <v>329</v>
      </c>
      <c r="AB67" t="s">
        <v>334</v>
      </c>
      <c r="AC67" s="12" t="s">
        <v>339</v>
      </c>
      <c r="AE67" t="s">
        <v>268</v>
      </c>
      <c r="AG67" s="12" t="s">
        <v>268</v>
      </c>
      <c r="AH67" t="s">
        <v>92</v>
      </c>
      <c r="AI67" s="12" t="s">
        <v>268</v>
      </c>
      <c r="AJ67" t="s">
        <v>92</v>
      </c>
      <c r="AK67" t="s">
        <v>92</v>
      </c>
      <c r="AL67" t="s">
        <v>92</v>
      </c>
      <c r="AM67" s="12" t="s">
        <v>268</v>
      </c>
      <c r="AN67" s="12" t="s">
        <v>268</v>
      </c>
      <c r="AO67" s="12" t="s">
        <v>268</v>
      </c>
      <c r="AP67" s="12" t="s">
        <v>268</v>
      </c>
      <c r="AQ67" s="12" t="s">
        <v>268</v>
      </c>
      <c r="AR67" s="28" t="str">
        <f t="shared" ca="1" si="3"/>
        <v/>
      </c>
      <c r="AS67" s="28" t="str">
        <f t="shared" ca="1" si="4"/>
        <v/>
      </c>
    </row>
    <row r="68" spans="2:45" ht="27.6" customHeight="1">
      <c r="B68">
        <f t="shared" ca="1" si="0"/>
        <v>0</v>
      </c>
      <c r="C68" t="s">
        <v>85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s="12" t="s">
        <v>268</v>
      </c>
      <c r="J68" t="s">
        <v>278</v>
      </c>
      <c r="L68" t="s">
        <v>92</v>
      </c>
      <c r="N68" s="14">
        <v>1</v>
      </c>
      <c r="P68" s="12" t="s">
        <v>268</v>
      </c>
      <c r="W68" s="9" t="str">
        <f t="shared" ca="1" si="1"/>
        <v>18.5%</v>
      </c>
      <c r="X68" t="s">
        <v>321</v>
      </c>
      <c r="Y68" s="9" t="str">
        <f t="shared" ca="1" si="2"/>
        <v>Sin costo</v>
      </c>
      <c r="Z68" t="s">
        <v>327</v>
      </c>
      <c r="AA68" t="s">
        <v>329</v>
      </c>
      <c r="AB68" t="s">
        <v>334</v>
      </c>
      <c r="AC68" s="12" t="s">
        <v>339</v>
      </c>
      <c r="AE68" t="s">
        <v>268</v>
      </c>
      <c r="AG68" s="12" t="s">
        <v>268</v>
      </c>
      <c r="AH68" t="s">
        <v>92</v>
      </c>
      <c r="AI68" s="12" t="s">
        <v>268</v>
      </c>
      <c r="AJ68" t="s">
        <v>92</v>
      </c>
      <c r="AK68" t="s">
        <v>92</v>
      </c>
      <c r="AL68" t="s">
        <v>92</v>
      </c>
      <c r="AM68" s="12" t="s">
        <v>268</v>
      </c>
      <c r="AN68" s="12" t="s">
        <v>268</v>
      </c>
      <c r="AO68" s="12" t="s">
        <v>268</v>
      </c>
      <c r="AP68" s="12" t="s">
        <v>268</v>
      </c>
      <c r="AQ68" s="12" t="s">
        <v>268</v>
      </c>
      <c r="AR68" s="28" t="str">
        <f t="shared" ca="1" si="3"/>
        <v/>
      </c>
      <c r="AS68" s="28" t="str">
        <f t="shared" ca="1" si="4"/>
        <v/>
      </c>
    </row>
    <row r="69" spans="2:45" ht="27.6" customHeight="1">
      <c r="B69">
        <f t="shared" ca="1" si="0"/>
        <v>0</v>
      </c>
      <c r="C69" t="s">
        <v>85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s="12" t="s">
        <v>268</v>
      </c>
      <c r="J69" t="s">
        <v>278</v>
      </c>
      <c r="L69" t="s">
        <v>92</v>
      </c>
      <c r="N69" s="14">
        <v>1</v>
      </c>
      <c r="P69" s="12" t="s">
        <v>268</v>
      </c>
      <c r="W69" s="9" t="str">
        <f t="shared" ca="1" si="1"/>
        <v>18.5%</v>
      </c>
      <c r="X69" t="s">
        <v>321</v>
      </c>
      <c r="Y69" s="9" t="str">
        <f t="shared" ca="1" si="2"/>
        <v>Sin costo</v>
      </c>
      <c r="Z69" t="s">
        <v>327</v>
      </c>
      <c r="AA69" t="s">
        <v>329</v>
      </c>
      <c r="AB69" t="s">
        <v>334</v>
      </c>
      <c r="AC69" s="12" t="s">
        <v>339</v>
      </c>
      <c r="AE69" t="s">
        <v>268</v>
      </c>
      <c r="AG69" s="12" t="s">
        <v>268</v>
      </c>
      <c r="AH69" t="s">
        <v>92</v>
      </c>
      <c r="AI69" s="12" t="s">
        <v>268</v>
      </c>
      <c r="AJ69" t="s">
        <v>92</v>
      </c>
      <c r="AK69" t="s">
        <v>92</v>
      </c>
      <c r="AL69" t="s">
        <v>92</v>
      </c>
      <c r="AM69" s="12" t="s">
        <v>268</v>
      </c>
      <c r="AN69" s="12" t="s">
        <v>268</v>
      </c>
      <c r="AO69" s="12" t="s">
        <v>268</v>
      </c>
      <c r="AP69" s="12" t="s">
        <v>268</v>
      </c>
      <c r="AQ69" s="12" t="s">
        <v>268</v>
      </c>
      <c r="AR69" s="28" t="str">
        <f t="shared" ca="1" si="3"/>
        <v/>
      </c>
      <c r="AS69" s="28" t="str">
        <f t="shared" ca="1" si="4"/>
        <v/>
      </c>
    </row>
    <row r="70" spans="2:45" ht="27.6" customHeight="1">
      <c r="B70">
        <f t="shared" ca="1" si="0"/>
        <v>0</v>
      </c>
      <c r="C70" t="s">
        <v>85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s="12" t="s">
        <v>268</v>
      </c>
      <c r="J70" t="s">
        <v>278</v>
      </c>
      <c r="L70" t="s">
        <v>92</v>
      </c>
      <c r="N70" s="14">
        <v>1</v>
      </c>
      <c r="P70" s="12" t="s">
        <v>268</v>
      </c>
      <c r="W70" s="9" t="str">
        <f t="shared" ca="1" si="1"/>
        <v>18.5%</v>
      </c>
      <c r="X70" t="s">
        <v>321</v>
      </c>
      <c r="Y70" s="9" t="str">
        <f t="shared" ca="1" si="2"/>
        <v>Sin costo</v>
      </c>
      <c r="Z70" t="s">
        <v>327</v>
      </c>
      <c r="AA70" t="s">
        <v>329</v>
      </c>
      <c r="AB70" t="s">
        <v>334</v>
      </c>
      <c r="AC70" s="12" t="s">
        <v>339</v>
      </c>
      <c r="AE70" t="s">
        <v>268</v>
      </c>
      <c r="AG70" s="12" t="s">
        <v>268</v>
      </c>
      <c r="AH70" t="s">
        <v>92</v>
      </c>
      <c r="AI70" s="12" t="s">
        <v>268</v>
      </c>
      <c r="AJ70" t="s">
        <v>92</v>
      </c>
      <c r="AK70" t="s">
        <v>92</v>
      </c>
      <c r="AL70" t="s">
        <v>92</v>
      </c>
      <c r="AM70" s="12" t="s">
        <v>268</v>
      </c>
      <c r="AN70" s="12" t="s">
        <v>268</v>
      </c>
      <c r="AO70" s="12" t="s">
        <v>268</v>
      </c>
      <c r="AP70" s="12" t="s">
        <v>268</v>
      </c>
      <c r="AQ70" s="12" t="s">
        <v>268</v>
      </c>
      <c r="AR70" s="28" t="str">
        <f t="shared" ca="1" si="3"/>
        <v/>
      </c>
      <c r="AS70" s="28" t="str">
        <f t="shared" ca="1" si="4"/>
        <v/>
      </c>
    </row>
    <row r="71" spans="2:45" ht="27.6" customHeight="1">
      <c r="B71">
        <f t="shared" ref="B71:B134" ca="1" si="5">LEN(INDIRECT(ADDRESS(ROW() + (0),COLUMN() + (-1))))</f>
        <v>0</v>
      </c>
      <c r="C71" t="s">
        <v>85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s="12" t="s">
        <v>268</v>
      </c>
      <c r="J71" t="s">
        <v>278</v>
      </c>
      <c r="L71" t="s">
        <v>92</v>
      </c>
      <c r="N71" s="14">
        <v>1</v>
      </c>
      <c r="P71" s="12" t="s">
        <v>268</v>
      </c>
      <c r="W71" s="9" t="str">
        <f t="shared" ref="W71:W134" ca="1" si="6">IF(INDIRECT(ADDRESS(ROW() + (0),COLUMN() + (1)))="Cuotas extra", IF(("21.5%")="", "-", "21.5%"), IF(INDIRECT(ADDRESS(ROW() + (0),COLUMN() + (1)))="Cuotas", IF(("18.5%")="", "-", "18.5%"), "-"))</f>
        <v>18.5%</v>
      </c>
      <c r="X71" t="s">
        <v>321</v>
      </c>
      <c r="Y71" s="9" t="str">
        <f t="shared" ref="Y71:Y134" ca="1" si="7">IF(INDIRECT(ADDRESS(ROW() + (0),COLUMN() + (-1)))="Cuotas extra", IF(("")="", "Sin costo", ""), IF(INDIRECT(ADDRESS(ROW() + (0),COLUMN() + (-1)))="Cuotas", IF(("")="", "Sin costo", ""), "-"))</f>
        <v>Sin costo</v>
      </c>
      <c r="Z71" t="s">
        <v>327</v>
      </c>
      <c r="AA71" t="s">
        <v>329</v>
      </c>
      <c r="AB71" t="s">
        <v>334</v>
      </c>
      <c r="AC71" s="12" t="s">
        <v>339</v>
      </c>
      <c r="AE71" t="s">
        <v>268</v>
      </c>
      <c r="AG71" s="12" t="s">
        <v>268</v>
      </c>
      <c r="AH71" t="s">
        <v>92</v>
      </c>
      <c r="AI71" s="12" t="s">
        <v>268</v>
      </c>
      <c r="AJ71" t="s">
        <v>92</v>
      </c>
      <c r="AK71" t="s">
        <v>92</v>
      </c>
      <c r="AL71" t="s">
        <v>92</v>
      </c>
      <c r="AM71" s="12" t="s">
        <v>268</v>
      </c>
      <c r="AN71" s="12" t="s">
        <v>268</v>
      </c>
      <c r="AO71" s="12" t="s">
        <v>268</v>
      </c>
      <c r="AP71" s="12" t="s">
        <v>268</v>
      </c>
      <c r="AQ71" s="12" t="s">
        <v>268</v>
      </c>
      <c r="AR71" s="28" t="str">
        <f t="shared" ref="AR71:AR134" ca="1" si="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1" s="28" t="str">
        <f t="shared" ref="AS71:AS134" ca="1" si="9">IF(TRIM(INDIRECT("A"&amp;ROW())) &lt;&gt; "",FALSE,"")</f>
        <v/>
      </c>
    </row>
    <row r="72" spans="2:45" ht="27.6" customHeight="1">
      <c r="B72">
        <f t="shared" ca="1" si="5"/>
        <v>0</v>
      </c>
      <c r="C72" t="s">
        <v>85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s="12" t="s">
        <v>268</v>
      </c>
      <c r="J72" t="s">
        <v>278</v>
      </c>
      <c r="L72" t="s">
        <v>92</v>
      </c>
      <c r="N72" s="14">
        <v>1</v>
      </c>
      <c r="P72" s="12" t="s">
        <v>268</v>
      </c>
      <c r="W72" s="9" t="str">
        <f t="shared" ca="1" si="6"/>
        <v>18.5%</v>
      </c>
      <c r="X72" t="s">
        <v>321</v>
      </c>
      <c r="Y72" s="9" t="str">
        <f t="shared" ca="1" si="7"/>
        <v>Sin costo</v>
      </c>
      <c r="Z72" t="s">
        <v>327</v>
      </c>
      <c r="AA72" t="s">
        <v>329</v>
      </c>
      <c r="AB72" t="s">
        <v>334</v>
      </c>
      <c r="AC72" s="12" t="s">
        <v>339</v>
      </c>
      <c r="AE72" t="s">
        <v>268</v>
      </c>
      <c r="AG72" s="12" t="s">
        <v>268</v>
      </c>
      <c r="AH72" t="s">
        <v>92</v>
      </c>
      <c r="AI72" s="12" t="s">
        <v>268</v>
      </c>
      <c r="AJ72" t="s">
        <v>92</v>
      </c>
      <c r="AK72" t="s">
        <v>92</v>
      </c>
      <c r="AL72" t="s">
        <v>92</v>
      </c>
      <c r="AM72" s="12" t="s">
        <v>268</v>
      </c>
      <c r="AN72" s="12" t="s">
        <v>268</v>
      </c>
      <c r="AO72" s="12" t="s">
        <v>268</v>
      </c>
      <c r="AP72" s="12" t="s">
        <v>268</v>
      </c>
      <c r="AQ72" s="12" t="s">
        <v>268</v>
      </c>
      <c r="AR72" s="28" t="str">
        <f t="shared" ca="1" si="8"/>
        <v/>
      </c>
      <c r="AS72" s="28" t="str">
        <f t="shared" ca="1" si="9"/>
        <v/>
      </c>
    </row>
    <row r="73" spans="2:45" ht="27.6" customHeight="1">
      <c r="B73">
        <f t="shared" ca="1" si="5"/>
        <v>0</v>
      </c>
      <c r="C73" t="s">
        <v>85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s="12" t="s">
        <v>268</v>
      </c>
      <c r="J73" t="s">
        <v>278</v>
      </c>
      <c r="L73" t="s">
        <v>92</v>
      </c>
      <c r="N73" s="14">
        <v>1</v>
      </c>
      <c r="P73" s="12" t="s">
        <v>268</v>
      </c>
      <c r="W73" s="9" t="str">
        <f t="shared" ca="1" si="6"/>
        <v>18.5%</v>
      </c>
      <c r="X73" t="s">
        <v>321</v>
      </c>
      <c r="Y73" s="9" t="str">
        <f t="shared" ca="1" si="7"/>
        <v>Sin costo</v>
      </c>
      <c r="Z73" t="s">
        <v>327</v>
      </c>
      <c r="AA73" t="s">
        <v>329</v>
      </c>
      <c r="AB73" t="s">
        <v>334</v>
      </c>
      <c r="AC73" s="12" t="s">
        <v>339</v>
      </c>
      <c r="AE73" t="s">
        <v>268</v>
      </c>
      <c r="AG73" s="12" t="s">
        <v>268</v>
      </c>
      <c r="AH73" t="s">
        <v>92</v>
      </c>
      <c r="AI73" s="12" t="s">
        <v>268</v>
      </c>
      <c r="AJ73" t="s">
        <v>92</v>
      </c>
      <c r="AK73" t="s">
        <v>92</v>
      </c>
      <c r="AL73" t="s">
        <v>92</v>
      </c>
      <c r="AM73" s="12" t="s">
        <v>268</v>
      </c>
      <c r="AN73" s="12" t="s">
        <v>268</v>
      </c>
      <c r="AO73" s="12" t="s">
        <v>268</v>
      </c>
      <c r="AP73" s="12" t="s">
        <v>268</v>
      </c>
      <c r="AQ73" s="12" t="s">
        <v>268</v>
      </c>
      <c r="AR73" s="28" t="str">
        <f t="shared" ca="1" si="8"/>
        <v/>
      </c>
      <c r="AS73" s="28" t="str">
        <f t="shared" ca="1" si="9"/>
        <v/>
      </c>
    </row>
    <row r="74" spans="2:45" ht="27.6" customHeight="1">
      <c r="B74">
        <f t="shared" ca="1" si="5"/>
        <v>0</v>
      </c>
      <c r="C74" t="s">
        <v>85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s="12" t="s">
        <v>268</v>
      </c>
      <c r="J74" t="s">
        <v>278</v>
      </c>
      <c r="L74" t="s">
        <v>92</v>
      </c>
      <c r="N74" s="14">
        <v>1</v>
      </c>
      <c r="P74" s="12" t="s">
        <v>268</v>
      </c>
      <c r="W74" s="9" t="str">
        <f t="shared" ca="1" si="6"/>
        <v>18.5%</v>
      </c>
      <c r="X74" t="s">
        <v>321</v>
      </c>
      <c r="Y74" s="9" t="str">
        <f t="shared" ca="1" si="7"/>
        <v>Sin costo</v>
      </c>
      <c r="Z74" t="s">
        <v>327</v>
      </c>
      <c r="AA74" t="s">
        <v>329</v>
      </c>
      <c r="AB74" t="s">
        <v>334</v>
      </c>
      <c r="AC74" s="12" t="s">
        <v>339</v>
      </c>
      <c r="AE74" t="s">
        <v>268</v>
      </c>
      <c r="AG74" s="12" t="s">
        <v>268</v>
      </c>
      <c r="AH74" t="s">
        <v>92</v>
      </c>
      <c r="AI74" s="12" t="s">
        <v>268</v>
      </c>
      <c r="AJ74" t="s">
        <v>92</v>
      </c>
      <c r="AK74" t="s">
        <v>92</v>
      </c>
      <c r="AL74" t="s">
        <v>92</v>
      </c>
      <c r="AM74" s="12" t="s">
        <v>268</v>
      </c>
      <c r="AN74" s="12" t="s">
        <v>268</v>
      </c>
      <c r="AO74" s="12" t="s">
        <v>268</v>
      </c>
      <c r="AP74" s="12" t="s">
        <v>268</v>
      </c>
      <c r="AQ74" s="12" t="s">
        <v>268</v>
      </c>
      <c r="AR74" s="28" t="str">
        <f t="shared" ca="1" si="8"/>
        <v/>
      </c>
      <c r="AS74" s="28" t="str">
        <f t="shared" ca="1" si="9"/>
        <v/>
      </c>
    </row>
    <row r="75" spans="2:45" ht="27.6" customHeight="1">
      <c r="B75">
        <f t="shared" ca="1" si="5"/>
        <v>0</v>
      </c>
      <c r="C75" t="s">
        <v>85</v>
      </c>
      <c r="D75" t="s">
        <v>92</v>
      </c>
      <c r="E75" t="s">
        <v>92</v>
      </c>
      <c r="F75" t="s">
        <v>92</v>
      </c>
      <c r="G75" t="s">
        <v>92</v>
      </c>
      <c r="H75" t="s">
        <v>92</v>
      </c>
      <c r="I75" s="12" t="s">
        <v>268</v>
      </c>
      <c r="J75" t="s">
        <v>278</v>
      </c>
      <c r="L75" t="s">
        <v>92</v>
      </c>
      <c r="N75" s="14">
        <v>1</v>
      </c>
      <c r="P75" s="12" t="s">
        <v>268</v>
      </c>
      <c r="W75" s="9" t="str">
        <f t="shared" ca="1" si="6"/>
        <v>18.5%</v>
      </c>
      <c r="X75" t="s">
        <v>321</v>
      </c>
      <c r="Y75" s="9" t="str">
        <f t="shared" ca="1" si="7"/>
        <v>Sin costo</v>
      </c>
      <c r="Z75" t="s">
        <v>327</v>
      </c>
      <c r="AA75" t="s">
        <v>329</v>
      </c>
      <c r="AB75" t="s">
        <v>334</v>
      </c>
      <c r="AC75" s="12" t="s">
        <v>339</v>
      </c>
      <c r="AE75" t="s">
        <v>268</v>
      </c>
      <c r="AG75" s="12" t="s">
        <v>268</v>
      </c>
      <c r="AH75" t="s">
        <v>92</v>
      </c>
      <c r="AI75" s="12" t="s">
        <v>268</v>
      </c>
      <c r="AJ75" t="s">
        <v>92</v>
      </c>
      <c r="AK75" t="s">
        <v>92</v>
      </c>
      <c r="AL75" t="s">
        <v>92</v>
      </c>
      <c r="AM75" s="12" t="s">
        <v>268</v>
      </c>
      <c r="AN75" s="12" t="s">
        <v>268</v>
      </c>
      <c r="AO75" s="12" t="s">
        <v>268</v>
      </c>
      <c r="AP75" s="12" t="s">
        <v>268</v>
      </c>
      <c r="AQ75" s="12" t="s">
        <v>268</v>
      </c>
      <c r="AR75" s="28" t="str">
        <f t="shared" ca="1" si="8"/>
        <v/>
      </c>
      <c r="AS75" s="28" t="str">
        <f t="shared" ca="1" si="9"/>
        <v/>
      </c>
    </row>
    <row r="76" spans="2:45" ht="27.6" customHeight="1">
      <c r="B76">
        <f t="shared" ca="1" si="5"/>
        <v>0</v>
      </c>
      <c r="C76" t="s">
        <v>85</v>
      </c>
      <c r="D76" t="s">
        <v>92</v>
      </c>
      <c r="E76" t="s">
        <v>92</v>
      </c>
      <c r="F76" t="s">
        <v>92</v>
      </c>
      <c r="G76" t="s">
        <v>92</v>
      </c>
      <c r="H76" t="s">
        <v>92</v>
      </c>
      <c r="I76" s="12" t="s">
        <v>268</v>
      </c>
      <c r="J76" t="s">
        <v>278</v>
      </c>
      <c r="L76" t="s">
        <v>92</v>
      </c>
      <c r="N76" s="14">
        <v>1</v>
      </c>
      <c r="P76" s="12" t="s">
        <v>268</v>
      </c>
      <c r="W76" s="9" t="str">
        <f t="shared" ca="1" si="6"/>
        <v>18.5%</v>
      </c>
      <c r="X76" t="s">
        <v>321</v>
      </c>
      <c r="Y76" s="9" t="str">
        <f t="shared" ca="1" si="7"/>
        <v>Sin costo</v>
      </c>
      <c r="Z76" t="s">
        <v>327</v>
      </c>
      <c r="AA76" t="s">
        <v>329</v>
      </c>
      <c r="AB76" t="s">
        <v>334</v>
      </c>
      <c r="AC76" s="12" t="s">
        <v>339</v>
      </c>
      <c r="AE76" t="s">
        <v>268</v>
      </c>
      <c r="AG76" s="12" t="s">
        <v>268</v>
      </c>
      <c r="AH76" t="s">
        <v>92</v>
      </c>
      <c r="AI76" s="12" t="s">
        <v>268</v>
      </c>
      <c r="AJ76" t="s">
        <v>92</v>
      </c>
      <c r="AK76" t="s">
        <v>92</v>
      </c>
      <c r="AL76" t="s">
        <v>92</v>
      </c>
      <c r="AM76" s="12" t="s">
        <v>268</v>
      </c>
      <c r="AN76" s="12" t="s">
        <v>268</v>
      </c>
      <c r="AO76" s="12" t="s">
        <v>268</v>
      </c>
      <c r="AP76" s="12" t="s">
        <v>268</v>
      </c>
      <c r="AQ76" s="12" t="s">
        <v>268</v>
      </c>
      <c r="AR76" s="28" t="str">
        <f t="shared" ca="1" si="8"/>
        <v/>
      </c>
      <c r="AS76" s="28" t="str">
        <f t="shared" ca="1" si="9"/>
        <v/>
      </c>
    </row>
    <row r="77" spans="2:45" ht="27.6" customHeight="1">
      <c r="B77">
        <f t="shared" ca="1" si="5"/>
        <v>0</v>
      </c>
      <c r="C77" t="s">
        <v>85</v>
      </c>
      <c r="D77" t="s">
        <v>92</v>
      </c>
      <c r="E77" t="s">
        <v>92</v>
      </c>
      <c r="F77" t="s">
        <v>92</v>
      </c>
      <c r="G77" t="s">
        <v>92</v>
      </c>
      <c r="H77" t="s">
        <v>92</v>
      </c>
      <c r="I77" s="12" t="s">
        <v>268</v>
      </c>
      <c r="J77" t="s">
        <v>278</v>
      </c>
      <c r="L77" t="s">
        <v>92</v>
      </c>
      <c r="N77" s="14">
        <v>1</v>
      </c>
      <c r="P77" s="12" t="s">
        <v>268</v>
      </c>
      <c r="W77" s="9" t="str">
        <f t="shared" ca="1" si="6"/>
        <v>18.5%</v>
      </c>
      <c r="X77" t="s">
        <v>321</v>
      </c>
      <c r="Y77" s="9" t="str">
        <f t="shared" ca="1" si="7"/>
        <v>Sin costo</v>
      </c>
      <c r="Z77" t="s">
        <v>327</v>
      </c>
      <c r="AA77" t="s">
        <v>329</v>
      </c>
      <c r="AB77" t="s">
        <v>334</v>
      </c>
      <c r="AC77" s="12" t="s">
        <v>339</v>
      </c>
      <c r="AE77" t="s">
        <v>268</v>
      </c>
      <c r="AG77" s="12" t="s">
        <v>268</v>
      </c>
      <c r="AH77" t="s">
        <v>92</v>
      </c>
      <c r="AI77" s="12" t="s">
        <v>268</v>
      </c>
      <c r="AJ77" t="s">
        <v>92</v>
      </c>
      <c r="AK77" t="s">
        <v>92</v>
      </c>
      <c r="AL77" t="s">
        <v>92</v>
      </c>
      <c r="AM77" s="12" t="s">
        <v>268</v>
      </c>
      <c r="AN77" s="12" t="s">
        <v>268</v>
      </c>
      <c r="AO77" s="12" t="s">
        <v>268</v>
      </c>
      <c r="AP77" s="12" t="s">
        <v>268</v>
      </c>
      <c r="AQ77" s="12" t="s">
        <v>268</v>
      </c>
      <c r="AR77" s="28" t="str">
        <f t="shared" ca="1" si="8"/>
        <v/>
      </c>
      <c r="AS77" s="28" t="str">
        <f t="shared" ca="1" si="9"/>
        <v/>
      </c>
    </row>
    <row r="78" spans="2:45" ht="27.6" customHeight="1">
      <c r="B78">
        <f t="shared" ca="1" si="5"/>
        <v>0</v>
      </c>
      <c r="C78" t="s">
        <v>85</v>
      </c>
      <c r="D78" t="s">
        <v>92</v>
      </c>
      <c r="E78" t="s">
        <v>92</v>
      </c>
      <c r="F78" t="s">
        <v>92</v>
      </c>
      <c r="G78" t="s">
        <v>92</v>
      </c>
      <c r="H78" t="s">
        <v>92</v>
      </c>
      <c r="I78" s="12" t="s">
        <v>268</v>
      </c>
      <c r="J78" t="s">
        <v>278</v>
      </c>
      <c r="L78" t="s">
        <v>92</v>
      </c>
      <c r="N78" s="14">
        <v>1</v>
      </c>
      <c r="P78" s="12" t="s">
        <v>268</v>
      </c>
      <c r="W78" s="9" t="str">
        <f t="shared" ca="1" si="6"/>
        <v>18.5%</v>
      </c>
      <c r="X78" t="s">
        <v>321</v>
      </c>
      <c r="Y78" s="9" t="str">
        <f t="shared" ca="1" si="7"/>
        <v>Sin costo</v>
      </c>
      <c r="Z78" t="s">
        <v>327</v>
      </c>
      <c r="AA78" t="s">
        <v>329</v>
      </c>
      <c r="AB78" t="s">
        <v>334</v>
      </c>
      <c r="AC78" s="12" t="s">
        <v>339</v>
      </c>
      <c r="AE78" t="s">
        <v>268</v>
      </c>
      <c r="AG78" s="12" t="s">
        <v>268</v>
      </c>
      <c r="AH78" t="s">
        <v>92</v>
      </c>
      <c r="AI78" s="12" t="s">
        <v>268</v>
      </c>
      <c r="AJ78" t="s">
        <v>92</v>
      </c>
      <c r="AK78" t="s">
        <v>92</v>
      </c>
      <c r="AL78" t="s">
        <v>92</v>
      </c>
      <c r="AM78" s="12" t="s">
        <v>268</v>
      </c>
      <c r="AN78" s="12" t="s">
        <v>268</v>
      </c>
      <c r="AO78" s="12" t="s">
        <v>268</v>
      </c>
      <c r="AP78" s="12" t="s">
        <v>268</v>
      </c>
      <c r="AQ78" s="12" t="s">
        <v>268</v>
      </c>
      <c r="AR78" s="28" t="str">
        <f t="shared" ca="1" si="8"/>
        <v/>
      </c>
      <c r="AS78" s="28" t="str">
        <f t="shared" ca="1" si="9"/>
        <v/>
      </c>
    </row>
    <row r="79" spans="2:45" ht="27.6" customHeight="1">
      <c r="B79">
        <f t="shared" ca="1" si="5"/>
        <v>0</v>
      </c>
      <c r="C79" t="s">
        <v>85</v>
      </c>
      <c r="D79" t="s">
        <v>92</v>
      </c>
      <c r="E79" t="s">
        <v>92</v>
      </c>
      <c r="F79" t="s">
        <v>92</v>
      </c>
      <c r="G79" t="s">
        <v>92</v>
      </c>
      <c r="H79" t="s">
        <v>92</v>
      </c>
      <c r="I79" s="12" t="s">
        <v>268</v>
      </c>
      <c r="J79" t="s">
        <v>278</v>
      </c>
      <c r="L79" t="s">
        <v>92</v>
      </c>
      <c r="N79" s="14">
        <v>1</v>
      </c>
      <c r="P79" s="12" t="s">
        <v>268</v>
      </c>
      <c r="W79" s="9" t="str">
        <f t="shared" ca="1" si="6"/>
        <v>18.5%</v>
      </c>
      <c r="X79" t="s">
        <v>321</v>
      </c>
      <c r="Y79" s="9" t="str">
        <f t="shared" ca="1" si="7"/>
        <v>Sin costo</v>
      </c>
      <c r="Z79" t="s">
        <v>327</v>
      </c>
      <c r="AA79" t="s">
        <v>329</v>
      </c>
      <c r="AB79" t="s">
        <v>334</v>
      </c>
      <c r="AC79" s="12" t="s">
        <v>339</v>
      </c>
      <c r="AE79" t="s">
        <v>268</v>
      </c>
      <c r="AG79" s="12" t="s">
        <v>268</v>
      </c>
      <c r="AH79" t="s">
        <v>92</v>
      </c>
      <c r="AI79" s="12" t="s">
        <v>268</v>
      </c>
      <c r="AJ79" t="s">
        <v>92</v>
      </c>
      <c r="AK79" t="s">
        <v>92</v>
      </c>
      <c r="AL79" t="s">
        <v>92</v>
      </c>
      <c r="AM79" s="12" t="s">
        <v>268</v>
      </c>
      <c r="AN79" s="12" t="s">
        <v>268</v>
      </c>
      <c r="AO79" s="12" t="s">
        <v>268</v>
      </c>
      <c r="AP79" s="12" t="s">
        <v>268</v>
      </c>
      <c r="AQ79" s="12" t="s">
        <v>268</v>
      </c>
      <c r="AR79" s="28" t="str">
        <f t="shared" ca="1" si="8"/>
        <v/>
      </c>
      <c r="AS79" s="28" t="str">
        <f t="shared" ca="1" si="9"/>
        <v/>
      </c>
    </row>
    <row r="80" spans="2:45" ht="27.6" customHeight="1">
      <c r="B80">
        <f t="shared" ca="1" si="5"/>
        <v>0</v>
      </c>
      <c r="C80" t="s">
        <v>85</v>
      </c>
      <c r="D80" t="s">
        <v>92</v>
      </c>
      <c r="E80" t="s">
        <v>92</v>
      </c>
      <c r="F80" t="s">
        <v>92</v>
      </c>
      <c r="G80" t="s">
        <v>92</v>
      </c>
      <c r="H80" t="s">
        <v>92</v>
      </c>
      <c r="I80" s="12" t="s">
        <v>268</v>
      </c>
      <c r="J80" t="s">
        <v>278</v>
      </c>
      <c r="L80" t="s">
        <v>92</v>
      </c>
      <c r="N80" s="14">
        <v>1</v>
      </c>
      <c r="P80" s="12" t="s">
        <v>268</v>
      </c>
      <c r="W80" s="9" t="str">
        <f t="shared" ca="1" si="6"/>
        <v>18.5%</v>
      </c>
      <c r="X80" t="s">
        <v>321</v>
      </c>
      <c r="Y80" s="9" t="str">
        <f t="shared" ca="1" si="7"/>
        <v>Sin costo</v>
      </c>
      <c r="Z80" t="s">
        <v>327</v>
      </c>
      <c r="AA80" t="s">
        <v>329</v>
      </c>
      <c r="AB80" t="s">
        <v>334</v>
      </c>
      <c r="AC80" s="12" t="s">
        <v>339</v>
      </c>
      <c r="AE80" t="s">
        <v>268</v>
      </c>
      <c r="AG80" s="12" t="s">
        <v>268</v>
      </c>
      <c r="AH80" t="s">
        <v>92</v>
      </c>
      <c r="AI80" s="12" t="s">
        <v>268</v>
      </c>
      <c r="AJ80" t="s">
        <v>92</v>
      </c>
      <c r="AK80" t="s">
        <v>92</v>
      </c>
      <c r="AL80" t="s">
        <v>92</v>
      </c>
      <c r="AM80" s="12" t="s">
        <v>268</v>
      </c>
      <c r="AN80" s="12" t="s">
        <v>268</v>
      </c>
      <c r="AO80" s="12" t="s">
        <v>268</v>
      </c>
      <c r="AP80" s="12" t="s">
        <v>268</v>
      </c>
      <c r="AQ80" s="12" t="s">
        <v>268</v>
      </c>
      <c r="AR80" s="28" t="str">
        <f t="shared" ca="1" si="8"/>
        <v/>
      </c>
      <c r="AS80" s="28" t="str">
        <f t="shared" ca="1" si="9"/>
        <v/>
      </c>
    </row>
    <row r="81" spans="2:45" ht="27.6" customHeight="1">
      <c r="B81">
        <f t="shared" ca="1" si="5"/>
        <v>0</v>
      </c>
      <c r="C81" t="s">
        <v>85</v>
      </c>
      <c r="D81" t="s">
        <v>92</v>
      </c>
      <c r="E81" t="s">
        <v>92</v>
      </c>
      <c r="F81" t="s">
        <v>92</v>
      </c>
      <c r="G81" t="s">
        <v>92</v>
      </c>
      <c r="H81" t="s">
        <v>92</v>
      </c>
      <c r="I81" s="12" t="s">
        <v>268</v>
      </c>
      <c r="J81" t="s">
        <v>278</v>
      </c>
      <c r="L81" t="s">
        <v>92</v>
      </c>
      <c r="N81" s="14">
        <v>1</v>
      </c>
      <c r="P81" s="12" t="s">
        <v>268</v>
      </c>
      <c r="W81" s="9" t="str">
        <f t="shared" ca="1" si="6"/>
        <v>18.5%</v>
      </c>
      <c r="X81" t="s">
        <v>321</v>
      </c>
      <c r="Y81" s="9" t="str">
        <f t="shared" ca="1" si="7"/>
        <v>Sin costo</v>
      </c>
      <c r="Z81" t="s">
        <v>327</v>
      </c>
      <c r="AA81" t="s">
        <v>329</v>
      </c>
      <c r="AB81" t="s">
        <v>334</v>
      </c>
      <c r="AC81" s="12" t="s">
        <v>339</v>
      </c>
      <c r="AE81" t="s">
        <v>268</v>
      </c>
      <c r="AG81" s="12" t="s">
        <v>268</v>
      </c>
      <c r="AH81" t="s">
        <v>92</v>
      </c>
      <c r="AI81" s="12" t="s">
        <v>268</v>
      </c>
      <c r="AJ81" t="s">
        <v>92</v>
      </c>
      <c r="AK81" t="s">
        <v>92</v>
      </c>
      <c r="AL81" t="s">
        <v>92</v>
      </c>
      <c r="AM81" s="12" t="s">
        <v>268</v>
      </c>
      <c r="AN81" s="12" t="s">
        <v>268</v>
      </c>
      <c r="AO81" s="12" t="s">
        <v>268</v>
      </c>
      <c r="AP81" s="12" t="s">
        <v>268</v>
      </c>
      <c r="AQ81" s="12" t="s">
        <v>268</v>
      </c>
      <c r="AR81" s="28" t="str">
        <f t="shared" ca="1" si="8"/>
        <v/>
      </c>
      <c r="AS81" s="28" t="str">
        <f t="shared" ca="1" si="9"/>
        <v/>
      </c>
    </row>
    <row r="82" spans="2:45" ht="27.6" customHeight="1">
      <c r="B82">
        <f t="shared" ca="1" si="5"/>
        <v>0</v>
      </c>
      <c r="C82" t="s">
        <v>85</v>
      </c>
      <c r="D82" t="s">
        <v>92</v>
      </c>
      <c r="E82" t="s">
        <v>92</v>
      </c>
      <c r="F82" t="s">
        <v>92</v>
      </c>
      <c r="G82" t="s">
        <v>92</v>
      </c>
      <c r="H82" t="s">
        <v>92</v>
      </c>
      <c r="I82" s="12" t="s">
        <v>268</v>
      </c>
      <c r="J82" t="s">
        <v>278</v>
      </c>
      <c r="L82" t="s">
        <v>92</v>
      </c>
      <c r="N82" s="14">
        <v>1</v>
      </c>
      <c r="P82" s="12" t="s">
        <v>268</v>
      </c>
      <c r="W82" s="9" t="str">
        <f t="shared" ca="1" si="6"/>
        <v>18.5%</v>
      </c>
      <c r="X82" t="s">
        <v>321</v>
      </c>
      <c r="Y82" s="9" t="str">
        <f t="shared" ca="1" si="7"/>
        <v>Sin costo</v>
      </c>
      <c r="Z82" t="s">
        <v>327</v>
      </c>
      <c r="AA82" t="s">
        <v>329</v>
      </c>
      <c r="AB82" t="s">
        <v>334</v>
      </c>
      <c r="AC82" s="12" t="s">
        <v>339</v>
      </c>
      <c r="AE82" t="s">
        <v>268</v>
      </c>
      <c r="AG82" s="12" t="s">
        <v>268</v>
      </c>
      <c r="AH82" t="s">
        <v>92</v>
      </c>
      <c r="AI82" s="12" t="s">
        <v>268</v>
      </c>
      <c r="AJ82" t="s">
        <v>92</v>
      </c>
      <c r="AK82" t="s">
        <v>92</v>
      </c>
      <c r="AL82" t="s">
        <v>92</v>
      </c>
      <c r="AM82" s="12" t="s">
        <v>268</v>
      </c>
      <c r="AN82" s="12" t="s">
        <v>268</v>
      </c>
      <c r="AO82" s="12" t="s">
        <v>268</v>
      </c>
      <c r="AP82" s="12" t="s">
        <v>268</v>
      </c>
      <c r="AQ82" s="12" t="s">
        <v>268</v>
      </c>
      <c r="AR82" s="28" t="str">
        <f t="shared" ca="1" si="8"/>
        <v/>
      </c>
      <c r="AS82" s="28" t="str">
        <f t="shared" ca="1" si="9"/>
        <v/>
      </c>
    </row>
    <row r="83" spans="2:45" ht="27.6" customHeight="1">
      <c r="B83">
        <f t="shared" ca="1" si="5"/>
        <v>0</v>
      </c>
      <c r="C83" t="s">
        <v>85</v>
      </c>
      <c r="D83" t="s">
        <v>92</v>
      </c>
      <c r="E83" t="s">
        <v>92</v>
      </c>
      <c r="F83" t="s">
        <v>92</v>
      </c>
      <c r="G83" t="s">
        <v>92</v>
      </c>
      <c r="H83" t="s">
        <v>92</v>
      </c>
      <c r="I83" s="12" t="s">
        <v>268</v>
      </c>
      <c r="J83" t="s">
        <v>278</v>
      </c>
      <c r="L83" t="s">
        <v>92</v>
      </c>
      <c r="N83" s="14">
        <v>1</v>
      </c>
      <c r="P83" s="12" t="s">
        <v>268</v>
      </c>
      <c r="W83" s="9" t="str">
        <f t="shared" ca="1" si="6"/>
        <v>18.5%</v>
      </c>
      <c r="X83" t="s">
        <v>321</v>
      </c>
      <c r="Y83" s="9" t="str">
        <f t="shared" ca="1" si="7"/>
        <v>Sin costo</v>
      </c>
      <c r="Z83" t="s">
        <v>327</v>
      </c>
      <c r="AA83" t="s">
        <v>329</v>
      </c>
      <c r="AB83" t="s">
        <v>334</v>
      </c>
      <c r="AC83" s="12" t="s">
        <v>339</v>
      </c>
      <c r="AE83" t="s">
        <v>268</v>
      </c>
      <c r="AG83" s="12" t="s">
        <v>268</v>
      </c>
      <c r="AH83" t="s">
        <v>92</v>
      </c>
      <c r="AI83" s="12" t="s">
        <v>268</v>
      </c>
      <c r="AJ83" t="s">
        <v>92</v>
      </c>
      <c r="AK83" t="s">
        <v>92</v>
      </c>
      <c r="AL83" t="s">
        <v>92</v>
      </c>
      <c r="AM83" s="12" t="s">
        <v>268</v>
      </c>
      <c r="AN83" s="12" t="s">
        <v>268</v>
      </c>
      <c r="AO83" s="12" t="s">
        <v>268</v>
      </c>
      <c r="AP83" s="12" t="s">
        <v>268</v>
      </c>
      <c r="AQ83" s="12" t="s">
        <v>268</v>
      </c>
      <c r="AR83" s="28" t="str">
        <f t="shared" ca="1" si="8"/>
        <v/>
      </c>
      <c r="AS83" s="28" t="str">
        <f t="shared" ca="1" si="9"/>
        <v/>
      </c>
    </row>
    <row r="84" spans="2:45" ht="27.6" customHeight="1">
      <c r="B84">
        <f t="shared" ca="1" si="5"/>
        <v>0</v>
      </c>
      <c r="C84" t="s">
        <v>85</v>
      </c>
      <c r="D84" t="s">
        <v>92</v>
      </c>
      <c r="E84" t="s">
        <v>92</v>
      </c>
      <c r="F84" t="s">
        <v>92</v>
      </c>
      <c r="G84" t="s">
        <v>92</v>
      </c>
      <c r="H84" t="s">
        <v>92</v>
      </c>
      <c r="I84" s="12" t="s">
        <v>268</v>
      </c>
      <c r="J84" t="s">
        <v>278</v>
      </c>
      <c r="L84" t="s">
        <v>92</v>
      </c>
      <c r="N84" s="14">
        <v>1</v>
      </c>
      <c r="P84" s="12" t="s">
        <v>268</v>
      </c>
      <c r="W84" s="9" t="str">
        <f t="shared" ca="1" si="6"/>
        <v>18.5%</v>
      </c>
      <c r="X84" t="s">
        <v>321</v>
      </c>
      <c r="Y84" s="9" t="str">
        <f t="shared" ca="1" si="7"/>
        <v>Sin costo</v>
      </c>
      <c r="Z84" t="s">
        <v>327</v>
      </c>
      <c r="AA84" t="s">
        <v>329</v>
      </c>
      <c r="AB84" t="s">
        <v>334</v>
      </c>
      <c r="AC84" s="12" t="s">
        <v>339</v>
      </c>
      <c r="AE84" t="s">
        <v>268</v>
      </c>
      <c r="AG84" s="12" t="s">
        <v>268</v>
      </c>
      <c r="AH84" t="s">
        <v>92</v>
      </c>
      <c r="AI84" s="12" t="s">
        <v>268</v>
      </c>
      <c r="AJ84" t="s">
        <v>92</v>
      </c>
      <c r="AK84" t="s">
        <v>92</v>
      </c>
      <c r="AL84" t="s">
        <v>92</v>
      </c>
      <c r="AM84" s="12" t="s">
        <v>268</v>
      </c>
      <c r="AN84" s="12" t="s">
        <v>268</v>
      </c>
      <c r="AO84" s="12" t="s">
        <v>268</v>
      </c>
      <c r="AP84" s="12" t="s">
        <v>268</v>
      </c>
      <c r="AQ84" s="12" t="s">
        <v>268</v>
      </c>
      <c r="AR84" s="28" t="str">
        <f t="shared" ca="1" si="8"/>
        <v/>
      </c>
      <c r="AS84" s="28" t="str">
        <f t="shared" ca="1" si="9"/>
        <v/>
      </c>
    </row>
    <row r="85" spans="2:45" ht="27.6" customHeight="1">
      <c r="B85">
        <f t="shared" ca="1" si="5"/>
        <v>0</v>
      </c>
      <c r="C85" t="s">
        <v>85</v>
      </c>
      <c r="D85" t="s">
        <v>92</v>
      </c>
      <c r="E85" t="s">
        <v>92</v>
      </c>
      <c r="F85" t="s">
        <v>92</v>
      </c>
      <c r="G85" t="s">
        <v>92</v>
      </c>
      <c r="H85" t="s">
        <v>92</v>
      </c>
      <c r="I85" s="12" t="s">
        <v>268</v>
      </c>
      <c r="J85" t="s">
        <v>278</v>
      </c>
      <c r="L85" t="s">
        <v>92</v>
      </c>
      <c r="N85" s="14">
        <v>1</v>
      </c>
      <c r="P85" s="12" t="s">
        <v>268</v>
      </c>
      <c r="W85" s="9" t="str">
        <f t="shared" ca="1" si="6"/>
        <v>18.5%</v>
      </c>
      <c r="X85" t="s">
        <v>321</v>
      </c>
      <c r="Y85" s="9" t="str">
        <f t="shared" ca="1" si="7"/>
        <v>Sin costo</v>
      </c>
      <c r="Z85" t="s">
        <v>327</v>
      </c>
      <c r="AA85" t="s">
        <v>329</v>
      </c>
      <c r="AB85" t="s">
        <v>334</v>
      </c>
      <c r="AC85" s="12" t="s">
        <v>339</v>
      </c>
      <c r="AE85" t="s">
        <v>268</v>
      </c>
      <c r="AG85" s="12" t="s">
        <v>268</v>
      </c>
      <c r="AH85" t="s">
        <v>92</v>
      </c>
      <c r="AI85" s="12" t="s">
        <v>268</v>
      </c>
      <c r="AJ85" t="s">
        <v>92</v>
      </c>
      <c r="AK85" t="s">
        <v>92</v>
      </c>
      <c r="AL85" t="s">
        <v>92</v>
      </c>
      <c r="AM85" s="12" t="s">
        <v>268</v>
      </c>
      <c r="AN85" s="12" t="s">
        <v>268</v>
      </c>
      <c r="AO85" s="12" t="s">
        <v>268</v>
      </c>
      <c r="AP85" s="12" t="s">
        <v>268</v>
      </c>
      <c r="AQ85" s="12" t="s">
        <v>268</v>
      </c>
      <c r="AR85" s="28" t="str">
        <f t="shared" ca="1" si="8"/>
        <v/>
      </c>
      <c r="AS85" s="28" t="str">
        <f t="shared" ca="1" si="9"/>
        <v/>
      </c>
    </row>
    <row r="86" spans="2:45" ht="27.6" customHeight="1">
      <c r="B86">
        <f t="shared" ca="1" si="5"/>
        <v>0</v>
      </c>
      <c r="C86" t="s">
        <v>85</v>
      </c>
      <c r="D86" t="s">
        <v>92</v>
      </c>
      <c r="E86" t="s">
        <v>92</v>
      </c>
      <c r="F86" t="s">
        <v>92</v>
      </c>
      <c r="G86" t="s">
        <v>92</v>
      </c>
      <c r="H86" t="s">
        <v>92</v>
      </c>
      <c r="I86" s="12" t="s">
        <v>268</v>
      </c>
      <c r="J86" t="s">
        <v>278</v>
      </c>
      <c r="L86" t="s">
        <v>92</v>
      </c>
      <c r="N86" s="14">
        <v>1</v>
      </c>
      <c r="P86" s="12" t="s">
        <v>268</v>
      </c>
      <c r="W86" s="9" t="str">
        <f t="shared" ca="1" si="6"/>
        <v>18.5%</v>
      </c>
      <c r="X86" t="s">
        <v>321</v>
      </c>
      <c r="Y86" s="9" t="str">
        <f t="shared" ca="1" si="7"/>
        <v>Sin costo</v>
      </c>
      <c r="Z86" t="s">
        <v>327</v>
      </c>
      <c r="AA86" t="s">
        <v>329</v>
      </c>
      <c r="AB86" t="s">
        <v>334</v>
      </c>
      <c r="AC86" s="12" t="s">
        <v>339</v>
      </c>
      <c r="AE86" t="s">
        <v>268</v>
      </c>
      <c r="AG86" s="12" t="s">
        <v>268</v>
      </c>
      <c r="AH86" t="s">
        <v>92</v>
      </c>
      <c r="AI86" s="12" t="s">
        <v>268</v>
      </c>
      <c r="AJ86" t="s">
        <v>92</v>
      </c>
      <c r="AK86" t="s">
        <v>92</v>
      </c>
      <c r="AL86" t="s">
        <v>92</v>
      </c>
      <c r="AM86" s="12" t="s">
        <v>268</v>
      </c>
      <c r="AN86" s="12" t="s">
        <v>268</v>
      </c>
      <c r="AO86" s="12" t="s">
        <v>268</v>
      </c>
      <c r="AP86" s="12" t="s">
        <v>268</v>
      </c>
      <c r="AQ86" s="12" t="s">
        <v>268</v>
      </c>
      <c r="AR86" s="28" t="str">
        <f t="shared" ca="1" si="8"/>
        <v/>
      </c>
      <c r="AS86" s="28" t="str">
        <f t="shared" ca="1" si="9"/>
        <v/>
      </c>
    </row>
    <row r="87" spans="2:45" ht="27.6" customHeight="1">
      <c r="B87">
        <f t="shared" ca="1" si="5"/>
        <v>0</v>
      </c>
      <c r="C87" t="s">
        <v>85</v>
      </c>
      <c r="D87" t="s">
        <v>92</v>
      </c>
      <c r="E87" t="s">
        <v>92</v>
      </c>
      <c r="F87" t="s">
        <v>92</v>
      </c>
      <c r="G87" t="s">
        <v>92</v>
      </c>
      <c r="H87" t="s">
        <v>92</v>
      </c>
      <c r="I87" s="12" t="s">
        <v>268</v>
      </c>
      <c r="J87" t="s">
        <v>278</v>
      </c>
      <c r="L87" t="s">
        <v>92</v>
      </c>
      <c r="N87" s="14">
        <v>1</v>
      </c>
      <c r="P87" s="12" t="s">
        <v>268</v>
      </c>
      <c r="W87" s="9" t="str">
        <f t="shared" ca="1" si="6"/>
        <v>18.5%</v>
      </c>
      <c r="X87" t="s">
        <v>321</v>
      </c>
      <c r="Y87" s="9" t="str">
        <f t="shared" ca="1" si="7"/>
        <v>Sin costo</v>
      </c>
      <c r="Z87" t="s">
        <v>327</v>
      </c>
      <c r="AA87" t="s">
        <v>329</v>
      </c>
      <c r="AB87" t="s">
        <v>334</v>
      </c>
      <c r="AC87" s="12" t="s">
        <v>339</v>
      </c>
      <c r="AE87" t="s">
        <v>268</v>
      </c>
      <c r="AG87" s="12" t="s">
        <v>268</v>
      </c>
      <c r="AH87" t="s">
        <v>92</v>
      </c>
      <c r="AI87" s="12" t="s">
        <v>268</v>
      </c>
      <c r="AJ87" t="s">
        <v>92</v>
      </c>
      <c r="AK87" t="s">
        <v>92</v>
      </c>
      <c r="AL87" t="s">
        <v>92</v>
      </c>
      <c r="AM87" s="12" t="s">
        <v>268</v>
      </c>
      <c r="AN87" s="12" t="s">
        <v>268</v>
      </c>
      <c r="AO87" s="12" t="s">
        <v>268</v>
      </c>
      <c r="AP87" s="12" t="s">
        <v>268</v>
      </c>
      <c r="AQ87" s="12" t="s">
        <v>268</v>
      </c>
      <c r="AR87" s="28" t="str">
        <f t="shared" ca="1" si="8"/>
        <v/>
      </c>
      <c r="AS87" s="28" t="str">
        <f t="shared" ca="1" si="9"/>
        <v/>
      </c>
    </row>
    <row r="88" spans="2:45" ht="27.6" customHeight="1">
      <c r="B88">
        <f t="shared" ca="1" si="5"/>
        <v>0</v>
      </c>
      <c r="C88" t="s">
        <v>85</v>
      </c>
      <c r="D88" t="s">
        <v>92</v>
      </c>
      <c r="E88" t="s">
        <v>92</v>
      </c>
      <c r="F88" t="s">
        <v>92</v>
      </c>
      <c r="G88" t="s">
        <v>92</v>
      </c>
      <c r="H88" t="s">
        <v>92</v>
      </c>
      <c r="I88" s="12" t="s">
        <v>268</v>
      </c>
      <c r="J88" t="s">
        <v>278</v>
      </c>
      <c r="L88" t="s">
        <v>92</v>
      </c>
      <c r="N88" s="14">
        <v>1</v>
      </c>
      <c r="P88" s="12" t="s">
        <v>268</v>
      </c>
      <c r="W88" s="9" t="str">
        <f t="shared" ca="1" si="6"/>
        <v>18.5%</v>
      </c>
      <c r="X88" t="s">
        <v>321</v>
      </c>
      <c r="Y88" s="9" t="str">
        <f t="shared" ca="1" si="7"/>
        <v>Sin costo</v>
      </c>
      <c r="Z88" t="s">
        <v>327</v>
      </c>
      <c r="AA88" t="s">
        <v>329</v>
      </c>
      <c r="AB88" t="s">
        <v>334</v>
      </c>
      <c r="AC88" s="12" t="s">
        <v>339</v>
      </c>
      <c r="AE88" t="s">
        <v>268</v>
      </c>
      <c r="AG88" s="12" t="s">
        <v>268</v>
      </c>
      <c r="AH88" t="s">
        <v>92</v>
      </c>
      <c r="AI88" s="12" t="s">
        <v>268</v>
      </c>
      <c r="AJ88" t="s">
        <v>92</v>
      </c>
      <c r="AK88" t="s">
        <v>92</v>
      </c>
      <c r="AL88" t="s">
        <v>92</v>
      </c>
      <c r="AM88" s="12" t="s">
        <v>268</v>
      </c>
      <c r="AN88" s="12" t="s">
        <v>268</v>
      </c>
      <c r="AO88" s="12" t="s">
        <v>268</v>
      </c>
      <c r="AP88" s="12" t="s">
        <v>268</v>
      </c>
      <c r="AQ88" s="12" t="s">
        <v>268</v>
      </c>
      <c r="AR88" s="28" t="str">
        <f t="shared" ca="1" si="8"/>
        <v/>
      </c>
      <c r="AS88" s="28" t="str">
        <f t="shared" ca="1" si="9"/>
        <v/>
      </c>
    </row>
    <row r="89" spans="2:45" ht="27.6" customHeight="1">
      <c r="B89">
        <f t="shared" ca="1" si="5"/>
        <v>0</v>
      </c>
      <c r="C89" t="s">
        <v>85</v>
      </c>
      <c r="D89" t="s">
        <v>92</v>
      </c>
      <c r="E89" t="s">
        <v>92</v>
      </c>
      <c r="F89" t="s">
        <v>92</v>
      </c>
      <c r="G89" t="s">
        <v>92</v>
      </c>
      <c r="H89" t="s">
        <v>92</v>
      </c>
      <c r="I89" s="12" t="s">
        <v>268</v>
      </c>
      <c r="J89" t="s">
        <v>278</v>
      </c>
      <c r="L89" t="s">
        <v>92</v>
      </c>
      <c r="N89" s="14">
        <v>1</v>
      </c>
      <c r="P89" s="12" t="s">
        <v>268</v>
      </c>
      <c r="W89" s="9" t="str">
        <f t="shared" ca="1" si="6"/>
        <v>18.5%</v>
      </c>
      <c r="X89" t="s">
        <v>321</v>
      </c>
      <c r="Y89" s="9" t="str">
        <f t="shared" ca="1" si="7"/>
        <v>Sin costo</v>
      </c>
      <c r="Z89" t="s">
        <v>327</v>
      </c>
      <c r="AA89" t="s">
        <v>329</v>
      </c>
      <c r="AB89" t="s">
        <v>334</v>
      </c>
      <c r="AC89" s="12" t="s">
        <v>339</v>
      </c>
      <c r="AE89" t="s">
        <v>268</v>
      </c>
      <c r="AG89" s="12" t="s">
        <v>268</v>
      </c>
      <c r="AH89" t="s">
        <v>92</v>
      </c>
      <c r="AI89" s="12" t="s">
        <v>268</v>
      </c>
      <c r="AJ89" t="s">
        <v>92</v>
      </c>
      <c r="AK89" t="s">
        <v>92</v>
      </c>
      <c r="AL89" t="s">
        <v>92</v>
      </c>
      <c r="AM89" s="12" t="s">
        <v>268</v>
      </c>
      <c r="AN89" s="12" t="s">
        <v>268</v>
      </c>
      <c r="AO89" s="12" t="s">
        <v>268</v>
      </c>
      <c r="AP89" s="12" t="s">
        <v>268</v>
      </c>
      <c r="AQ89" s="12" t="s">
        <v>268</v>
      </c>
      <c r="AR89" s="28" t="str">
        <f t="shared" ca="1" si="8"/>
        <v/>
      </c>
      <c r="AS89" s="28" t="str">
        <f t="shared" ca="1" si="9"/>
        <v/>
      </c>
    </row>
    <row r="90" spans="2:45" ht="27.6" customHeight="1">
      <c r="B90">
        <f t="shared" ca="1" si="5"/>
        <v>0</v>
      </c>
      <c r="C90" t="s">
        <v>85</v>
      </c>
      <c r="D90" t="s">
        <v>92</v>
      </c>
      <c r="E90" t="s">
        <v>92</v>
      </c>
      <c r="F90" t="s">
        <v>92</v>
      </c>
      <c r="G90" t="s">
        <v>92</v>
      </c>
      <c r="H90" t="s">
        <v>92</v>
      </c>
      <c r="I90" s="12" t="s">
        <v>268</v>
      </c>
      <c r="J90" t="s">
        <v>278</v>
      </c>
      <c r="L90" t="s">
        <v>92</v>
      </c>
      <c r="N90" s="14">
        <v>1</v>
      </c>
      <c r="P90" s="12" t="s">
        <v>268</v>
      </c>
      <c r="W90" s="9" t="str">
        <f t="shared" ca="1" si="6"/>
        <v>18.5%</v>
      </c>
      <c r="X90" t="s">
        <v>321</v>
      </c>
      <c r="Y90" s="9" t="str">
        <f t="shared" ca="1" si="7"/>
        <v>Sin costo</v>
      </c>
      <c r="Z90" t="s">
        <v>327</v>
      </c>
      <c r="AA90" t="s">
        <v>329</v>
      </c>
      <c r="AB90" t="s">
        <v>334</v>
      </c>
      <c r="AC90" s="12" t="s">
        <v>339</v>
      </c>
      <c r="AE90" t="s">
        <v>268</v>
      </c>
      <c r="AG90" s="12" t="s">
        <v>268</v>
      </c>
      <c r="AH90" t="s">
        <v>92</v>
      </c>
      <c r="AI90" s="12" t="s">
        <v>268</v>
      </c>
      <c r="AJ90" t="s">
        <v>92</v>
      </c>
      <c r="AK90" t="s">
        <v>92</v>
      </c>
      <c r="AL90" t="s">
        <v>92</v>
      </c>
      <c r="AM90" s="12" t="s">
        <v>268</v>
      </c>
      <c r="AN90" s="12" t="s">
        <v>268</v>
      </c>
      <c r="AO90" s="12" t="s">
        <v>268</v>
      </c>
      <c r="AP90" s="12" t="s">
        <v>268</v>
      </c>
      <c r="AQ90" s="12" t="s">
        <v>268</v>
      </c>
      <c r="AR90" s="28" t="str">
        <f t="shared" ca="1" si="8"/>
        <v/>
      </c>
      <c r="AS90" s="28" t="str">
        <f t="shared" ca="1" si="9"/>
        <v/>
      </c>
    </row>
    <row r="91" spans="2:45" ht="27.6" customHeight="1">
      <c r="B91">
        <f t="shared" ca="1" si="5"/>
        <v>0</v>
      </c>
      <c r="C91" t="s">
        <v>85</v>
      </c>
      <c r="D91" t="s">
        <v>92</v>
      </c>
      <c r="E91" t="s">
        <v>92</v>
      </c>
      <c r="F91" t="s">
        <v>92</v>
      </c>
      <c r="G91" t="s">
        <v>92</v>
      </c>
      <c r="H91" t="s">
        <v>92</v>
      </c>
      <c r="I91" s="12" t="s">
        <v>268</v>
      </c>
      <c r="J91" t="s">
        <v>278</v>
      </c>
      <c r="L91" t="s">
        <v>92</v>
      </c>
      <c r="N91" s="14">
        <v>1</v>
      </c>
      <c r="P91" s="12" t="s">
        <v>268</v>
      </c>
      <c r="W91" s="9" t="str">
        <f t="shared" ca="1" si="6"/>
        <v>18.5%</v>
      </c>
      <c r="X91" t="s">
        <v>321</v>
      </c>
      <c r="Y91" s="9" t="str">
        <f t="shared" ca="1" si="7"/>
        <v>Sin costo</v>
      </c>
      <c r="Z91" t="s">
        <v>327</v>
      </c>
      <c r="AA91" t="s">
        <v>329</v>
      </c>
      <c r="AB91" t="s">
        <v>334</v>
      </c>
      <c r="AC91" s="12" t="s">
        <v>339</v>
      </c>
      <c r="AE91" t="s">
        <v>268</v>
      </c>
      <c r="AG91" s="12" t="s">
        <v>268</v>
      </c>
      <c r="AH91" t="s">
        <v>92</v>
      </c>
      <c r="AI91" s="12" t="s">
        <v>268</v>
      </c>
      <c r="AJ91" t="s">
        <v>92</v>
      </c>
      <c r="AK91" t="s">
        <v>92</v>
      </c>
      <c r="AL91" t="s">
        <v>92</v>
      </c>
      <c r="AM91" s="12" t="s">
        <v>268</v>
      </c>
      <c r="AN91" s="12" t="s">
        <v>268</v>
      </c>
      <c r="AO91" s="12" t="s">
        <v>268</v>
      </c>
      <c r="AP91" s="12" t="s">
        <v>268</v>
      </c>
      <c r="AQ91" s="12" t="s">
        <v>268</v>
      </c>
      <c r="AR91" s="28" t="str">
        <f t="shared" ca="1" si="8"/>
        <v/>
      </c>
      <c r="AS91" s="28" t="str">
        <f t="shared" ca="1" si="9"/>
        <v/>
      </c>
    </row>
    <row r="92" spans="2:45" ht="27.6" customHeight="1">
      <c r="B92">
        <f t="shared" ca="1" si="5"/>
        <v>0</v>
      </c>
      <c r="C92" t="s">
        <v>85</v>
      </c>
      <c r="D92" t="s">
        <v>92</v>
      </c>
      <c r="E92" t="s">
        <v>92</v>
      </c>
      <c r="F92" t="s">
        <v>92</v>
      </c>
      <c r="G92" t="s">
        <v>92</v>
      </c>
      <c r="H92" t="s">
        <v>92</v>
      </c>
      <c r="I92" s="12" t="s">
        <v>268</v>
      </c>
      <c r="J92" t="s">
        <v>278</v>
      </c>
      <c r="L92" t="s">
        <v>92</v>
      </c>
      <c r="N92" s="14">
        <v>1</v>
      </c>
      <c r="P92" s="12" t="s">
        <v>268</v>
      </c>
      <c r="W92" s="9" t="str">
        <f t="shared" ca="1" si="6"/>
        <v>18.5%</v>
      </c>
      <c r="X92" t="s">
        <v>321</v>
      </c>
      <c r="Y92" s="9" t="str">
        <f t="shared" ca="1" si="7"/>
        <v>Sin costo</v>
      </c>
      <c r="Z92" t="s">
        <v>327</v>
      </c>
      <c r="AA92" t="s">
        <v>329</v>
      </c>
      <c r="AB92" t="s">
        <v>334</v>
      </c>
      <c r="AC92" s="12" t="s">
        <v>339</v>
      </c>
      <c r="AE92" t="s">
        <v>268</v>
      </c>
      <c r="AG92" s="12" t="s">
        <v>268</v>
      </c>
      <c r="AH92" t="s">
        <v>92</v>
      </c>
      <c r="AI92" s="12" t="s">
        <v>268</v>
      </c>
      <c r="AJ92" t="s">
        <v>92</v>
      </c>
      <c r="AK92" t="s">
        <v>92</v>
      </c>
      <c r="AL92" t="s">
        <v>92</v>
      </c>
      <c r="AM92" s="12" t="s">
        <v>268</v>
      </c>
      <c r="AN92" s="12" t="s">
        <v>268</v>
      </c>
      <c r="AO92" s="12" t="s">
        <v>268</v>
      </c>
      <c r="AP92" s="12" t="s">
        <v>268</v>
      </c>
      <c r="AQ92" s="12" t="s">
        <v>268</v>
      </c>
      <c r="AR92" s="28" t="str">
        <f t="shared" ca="1" si="8"/>
        <v/>
      </c>
      <c r="AS92" s="28" t="str">
        <f t="shared" ca="1" si="9"/>
        <v/>
      </c>
    </row>
    <row r="93" spans="2:45" ht="27.6" customHeight="1">
      <c r="B93">
        <f t="shared" ca="1" si="5"/>
        <v>0</v>
      </c>
      <c r="C93" t="s">
        <v>85</v>
      </c>
      <c r="D93" t="s">
        <v>92</v>
      </c>
      <c r="E93" t="s">
        <v>92</v>
      </c>
      <c r="F93" t="s">
        <v>92</v>
      </c>
      <c r="G93" t="s">
        <v>92</v>
      </c>
      <c r="H93" t="s">
        <v>92</v>
      </c>
      <c r="I93" s="12" t="s">
        <v>268</v>
      </c>
      <c r="J93" t="s">
        <v>278</v>
      </c>
      <c r="L93" t="s">
        <v>92</v>
      </c>
      <c r="N93" s="14">
        <v>1</v>
      </c>
      <c r="P93" s="12" t="s">
        <v>268</v>
      </c>
      <c r="W93" s="9" t="str">
        <f t="shared" ca="1" si="6"/>
        <v>18.5%</v>
      </c>
      <c r="X93" t="s">
        <v>321</v>
      </c>
      <c r="Y93" s="9" t="str">
        <f t="shared" ca="1" si="7"/>
        <v>Sin costo</v>
      </c>
      <c r="Z93" t="s">
        <v>327</v>
      </c>
      <c r="AA93" t="s">
        <v>329</v>
      </c>
      <c r="AB93" t="s">
        <v>334</v>
      </c>
      <c r="AC93" s="12" t="s">
        <v>339</v>
      </c>
      <c r="AE93" t="s">
        <v>268</v>
      </c>
      <c r="AG93" s="12" t="s">
        <v>268</v>
      </c>
      <c r="AH93" t="s">
        <v>92</v>
      </c>
      <c r="AI93" s="12" t="s">
        <v>268</v>
      </c>
      <c r="AJ93" t="s">
        <v>92</v>
      </c>
      <c r="AK93" t="s">
        <v>92</v>
      </c>
      <c r="AL93" t="s">
        <v>92</v>
      </c>
      <c r="AM93" s="12" t="s">
        <v>268</v>
      </c>
      <c r="AN93" s="12" t="s">
        <v>268</v>
      </c>
      <c r="AO93" s="12" t="s">
        <v>268</v>
      </c>
      <c r="AP93" s="12" t="s">
        <v>268</v>
      </c>
      <c r="AQ93" s="12" t="s">
        <v>268</v>
      </c>
      <c r="AR93" s="28" t="str">
        <f t="shared" ca="1" si="8"/>
        <v/>
      </c>
      <c r="AS93" s="28" t="str">
        <f t="shared" ca="1" si="9"/>
        <v/>
      </c>
    </row>
    <row r="94" spans="2:45" ht="27.6" customHeight="1">
      <c r="B94">
        <f t="shared" ca="1" si="5"/>
        <v>0</v>
      </c>
      <c r="C94" t="s">
        <v>85</v>
      </c>
      <c r="D94" t="s">
        <v>92</v>
      </c>
      <c r="E94" t="s">
        <v>92</v>
      </c>
      <c r="F94" t="s">
        <v>92</v>
      </c>
      <c r="G94" t="s">
        <v>92</v>
      </c>
      <c r="H94" t="s">
        <v>92</v>
      </c>
      <c r="I94" s="12" t="s">
        <v>268</v>
      </c>
      <c r="J94" t="s">
        <v>278</v>
      </c>
      <c r="L94" t="s">
        <v>92</v>
      </c>
      <c r="N94" s="14">
        <v>1</v>
      </c>
      <c r="P94" s="12" t="s">
        <v>268</v>
      </c>
      <c r="W94" s="9" t="str">
        <f t="shared" ca="1" si="6"/>
        <v>18.5%</v>
      </c>
      <c r="X94" t="s">
        <v>321</v>
      </c>
      <c r="Y94" s="9" t="str">
        <f t="shared" ca="1" si="7"/>
        <v>Sin costo</v>
      </c>
      <c r="Z94" t="s">
        <v>327</v>
      </c>
      <c r="AA94" t="s">
        <v>329</v>
      </c>
      <c r="AB94" t="s">
        <v>334</v>
      </c>
      <c r="AC94" s="12" t="s">
        <v>339</v>
      </c>
      <c r="AE94" t="s">
        <v>268</v>
      </c>
      <c r="AG94" s="12" t="s">
        <v>268</v>
      </c>
      <c r="AH94" t="s">
        <v>92</v>
      </c>
      <c r="AI94" s="12" t="s">
        <v>268</v>
      </c>
      <c r="AJ94" t="s">
        <v>92</v>
      </c>
      <c r="AK94" t="s">
        <v>92</v>
      </c>
      <c r="AL94" t="s">
        <v>92</v>
      </c>
      <c r="AM94" s="12" t="s">
        <v>268</v>
      </c>
      <c r="AN94" s="12" t="s">
        <v>268</v>
      </c>
      <c r="AO94" s="12" t="s">
        <v>268</v>
      </c>
      <c r="AP94" s="12" t="s">
        <v>268</v>
      </c>
      <c r="AQ94" s="12" t="s">
        <v>268</v>
      </c>
      <c r="AR94" s="28" t="str">
        <f t="shared" ca="1" si="8"/>
        <v/>
      </c>
      <c r="AS94" s="28" t="str">
        <f t="shared" ca="1" si="9"/>
        <v/>
      </c>
    </row>
    <row r="95" spans="2:45" ht="27.6" customHeight="1">
      <c r="B95">
        <f t="shared" ca="1" si="5"/>
        <v>0</v>
      </c>
      <c r="C95" t="s">
        <v>85</v>
      </c>
      <c r="D95" t="s">
        <v>92</v>
      </c>
      <c r="E95" t="s">
        <v>92</v>
      </c>
      <c r="F95" t="s">
        <v>92</v>
      </c>
      <c r="G95" t="s">
        <v>92</v>
      </c>
      <c r="H95" t="s">
        <v>92</v>
      </c>
      <c r="I95" s="12" t="s">
        <v>268</v>
      </c>
      <c r="J95" t="s">
        <v>278</v>
      </c>
      <c r="L95" t="s">
        <v>92</v>
      </c>
      <c r="N95" s="14">
        <v>1</v>
      </c>
      <c r="P95" s="12" t="s">
        <v>268</v>
      </c>
      <c r="W95" s="9" t="str">
        <f t="shared" ca="1" si="6"/>
        <v>18.5%</v>
      </c>
      <c r="X95" t="s">
        <v>321</v>
      </c>
      <c r="Y95" s="9" t="str">
        <f t="shared" ca="1" si="7"/>
        <v>Sin costo</v>
      </c>
      <c r="Z95" t="s">
        <v>327</v>
      </c>
      <c r="AA95" t="s">
        <v>329</v>
      </c>
      <c r="AB95" t="s">
        <v>334</v>
      </c>
      <c r="AC95" s="12" t="s">
        <v>339</v>
      </c>
      <c r="AE95" t="s">
        <v>268</v>
      </c>
      <c r="AG95" s="12" t="s">
        <v>268</v>
      </c>
      <c r="AH95" t="s">
        <v>92</v>
      </c>
      <c r="AI95" s="12" t="s">
        <v>268</v>
      </c>
      <c r="AJ95" t="s">
        <v>92</v>
      </c>
      <c r="AK95" t="s">
        <v>92</v>
      </c>
      <c r="AL95" t="s">
        <v>92</v>
      </c>
      <c r="AM95" s="12" t="s">
        <v>268</v>
      </c>
      <c r="AN95" s="12" t="s">
        <v>268</v>
      </c>
      <c r="AO95" s="12" t="s">
        <v>268</v>
      </c>
      <c r="AP95" s="12" t="s">
        <v>268</v>
      </c>
      <c r="AQ95" s="12" t="s">
        <v>268</v>
      </c>
      <c r="AR95" s="28" t="str">
        <f t="shared" ca="1" si="8"/>
        <v/>
      </c>
      <c r="AS95" s="28" t="str">
        <f t="shared" ca="1" si="9"/>
        <v/>
      </c>
    </row>
    <row r="96" spans="2:45" ht="27.6" customHeight="1">
      <c r="B96">
        <f t="shared" ca="1" si="5"/>
        <v>0</v>
      </c>
      <c r="C96" t="s">
        <v>85</v>
      </c>
      <c r="D96" t="s">
        <v>92</v>
      </c>
      <c r="E96" t="s">
        <v>92</v>
      </c>
      <c r="F96" t="s">
        <v>92</v>
      </c>
      <c r="G96" t="s">
        <v>92</v>
      </c>
      <c r="H96" t="s">
        <v>92</v>
      </c>
      <c r="I96" s="12" t="s">
        <v>268</v>
      </c>
      <c r="J96" t="s">
        <v>278</v>
      </c>
      <c r="L96" t="s">
        <v>92</v>
      </c>
      <c r="N96" s="14">
        <v>1</v>
      </c>
      <c r="P96" s="12" t="s">
        <v>268</v>
      </c>
      <c r="W96" s="9" t="str">
        <f t="shared" ca="1" si="6"/>
        <v>18.5%</v>
      </c>
      <c r="X96" t="s">
        <v>321</v>
      </c>
      <c r="Y96" s="9" t="str">
        <f t="shared" ca="1" si="7"/>
        <v>Sin costo</v>
      </c>
      <c r="Z96" t="s">
        <v>327</v>
      </c>
      <c r="AA96" t="s">
        <v>329</v>
      </c>
      <c r="AB96" t="s">
        <v>334</v>
      </c>
      <c r="AC96" s="12" t="s">
        <v>339</v>
      </c>
      <c r="AE96" t="s">
        <v>268</v>
      </c>
      <c r="AG96" s="12" t="s">
        <v>268</v>
      </c>
      <c r="AH96" t="s">
        <v>92</v>
      </c>
      <c r="AI96" s="12" t="s">
        <v>268</v>
      </c>
      <c r="AJ96" t="s">
        <v>92</v>
      </c>
      <c r="AK96" t="s">
        <v>92</v>
      </c>
      <c r="AL96" t="s">
        <v>92</v>
      </c>
      <c r="AM96" s="12" t="s">
        <v>268</v>
      </c>
      <c r="AN96" s="12" t="s">
        <v>268</v>
      </c>
      <c r="AO96" s="12" t="s">
        <v>268</v>
      </c>
      <c r="AP96" s="12" t="s">
        <v>268</v>
      </c>
      <c r="AQ96" s="12" t="s">
        <v>268</v>
      </c>
      <c r="AR96" s="28" t="str">
        <f t="shared" ca="1" si="8"/>
        <v/>
      </c>
      <c r="AS96" s="28" t="str">
        <f t="shared" ca="1" si="9"/>
        <v/>
      </c>
    </row>
    <row r="97" spans="2:45" ht="27.6" customHeight="1">
      <c r="B97">
        <f t="shared" ca="1" si="5"/>
        <v>0</v>
      </c>
      <c r="C97" t="s">
        <v>85</v>
      </c>
      <c r="D97" t="s">
        <v>92</v>
      </c>
      <c r="E97" t="s">
        <v>92</v>
      </c>
      <c r="F97" t="s">
        <v>92</v>
      </c>
      <c r="G97" t="s">
        <v>92</v>
      </c>
      <c r="H97" t="s">
        <v>92</v>
      </c>
      <c r="I97" s="12" t="s">
        <v>268</v>
      </c>
      <c r="J97" t="s">
        <v>278</v>
      </c>
      <c r="L97" t="s">
        <v>92</v>
      </c>
      <c r="N97" s="14">
        <v>1</v>
      </c>
      <c r="P97" s="12" t="s">
        <v>268</v>
      </c>
      <c r="W97" s="9" t="str">
        <f t="shared" ca="1" si="6"/>
        <v>18.5%</v>
      </c>
      <c r="X97" t="s">
        <v>321</v>
      </c>
      <c r="Y97" s="9" t="str">
        <f t="shared" ca="1" si="7"/>
        <v>Sin costo</v>
      </c>
      <c r="Z97" t="s">
        <v>327</v>
      </c>
      <c r="AA97" t="s">
        <v>329</v>
      </c>
      <c r="AB97" t="s">
        <v>334</v>
      </c>
      <c r="AC97" s="12" t="s">
        <v>339</v>
      </c>
      <c r="AE97" t="s">
        <v>268</v>
      </c>
      <c r="AG97" s="12" t="s">
        <v>268</v>
      </c>
      <c r="AH97" t="s">
        <v>92</v>
      </c>
      <c r="AI97" s="12" t="s">
        <v>268</v>
      </c>
      <c r="AJ97" t="s">
        <v>92</v>
      </c>
      <c r="AK97" t="s">
        <v>92</v>
      </c>
      <c r="AL97" t="s">
        <v>92</v>
      </c>
      <c r="AM97" s="12" t="s">
        <v>268</v>
      </c>
      <c r="AN97" s="12" t="s">
        <v>268</v>
      </c>
      <c r="AO97" s="12" t="s">
        <v>268</v>
      </c>
      <c r="AP97" s="12" t="s">
        <v>268</v>
      </c>
      <c r="AQ97" s="12" t="s">
        <v>268</v>
      </c>
      <c r="AR97" s="28" t="str">
        <f t="shared" ca="1" si="8"/>
        <v/>
      </c>
      <c r="AS97" s="28" t="str">
        <f t="shared" ca="1" si="9"/>
        <v/>
      </c>
    </row>
    <row r="98" spans="2:45" ht="27.6" customHeight="1">
      <c r="B98">
        <f t="shared" ca="1" si="5"/>
        <v>0</v>
      </c>
      <c r="C98" t="s">
        <v>85</v>
      </c>
      <c r="D98" t="s">
        <v>92</v>
      </c>
      <c r="E98" t="s">
        <v>92</v>
      </c>
      <c r="F98" t="s">
        <v>92</v>
      </c>
      <c r="G98" t="s">
        <v>92</v>
      </c>
      <c r="H98" t="s">
        <v>92</v>
      </c>
      <c r="I98" s="12" t="s">
        <v>268</v>
      </c>
      <c r="J98" t="s">
        <v>278</v>
      </c>
      <c r="L98" t="s">
        <v>92</v>
      </c>
      <c r="N98" s="14">
        <v>1</v>
      </c>
      <c r="P98" s="12" t="s">
        <v>268</v>
      </c>
      <c r="W98" s="9" t="str">
        <f t="shared" ca="1" si="6"/>
        <v>18.5%</v>
      </c>
      <c r="X98" t="s">
        <v>321</v>
      </c>
      <c r="Y98" s="9" t="str">
        <f t="shared" ca="1" si="7"/>
        <v>Sin costo</v>
      </c>
      <c r="Z98" t="s">
        <v>327</v>
      </c>
      <c r="AA98" t="s">
        <v>329</v>
      </c>
      <c r="AB98" t="s">
        <v>334</v>
      </c>
      <c r="AC98" s="12" t="s">
        <v>339</v>
      </c>
      <c r="AE98" t="s">
        <v>268</v>
      </c>
      <c r="AG98" s="12" t="s">
        <v>268</v>
      </c>
      <c r="AH98" t="s">
        <v>92</v>
      </c>
      <c r="AI98" s="12" t="s">
        <v>268</v>
      </c>
      <c r="AJ98" t="s">
        <v>92</v>
      </c>
      <c r="AK98" t="s">
        <v>92</v>
      </c>
      <c r="AL98" t="s">
        <v>92</v>
      </c>
      <c r="AM98" s="12" t="s">
        <v>268</v>
      </c>
      <c r="AN98" s="12" t="s">
        <v>268</v>
      </c>
      <c r="AO98" s="12" t="s">
        <v>268</v>
      </c>
      <c r="AP98" s="12" t="s">
        <v>268</v>
      </c>
      <c r="AQ98" s="12" t="s">
        <v>268</v>
      </c>
      <c r="AR98" s="28" t="str">
        <f t="shared" ca="1" si="8"/>
        <v/>
      </c>
      <c r="AS98" s="28" t="str">
        <f t="shared" ca="1" si="9"/>
        <v/>
      </c>
    </row>
    <row r="99" spans="2:45" ht="27.6" customHeight="1">
      <c r="B99">
        <f t="shared" ca="1" si="5"/>
        <v>0</v>
      </c>
      <c r="C99" t="s">
        <v>85</v>
      </c>
      <c r="D99" t="s">
        <v>92</v>
      </c>
      <c r="E99" t="s">
        <v>92</v>
      </c>
      <c r="F99" t="s">
        <v>92</v>
      </c>
      <c r="G99" t="s">
        <v>92</v>
      </c>
      <c r="H99" t="s">
        <v>92</v>
      </c>
      <c r="I99" s="12" t="s">
        <v>268</v>
      </c>
      <c r="J99" t="s">
        <v>278</v>
      </c>
      <c r="L99" t="s">
        <v>92</v>
      </c>
      <c r="N99" s="14">
        <v>1</v>
      </c>
      <c r="P99" s="12" t="s">
        <v>268</v>
      </c>
      <c r="W99" s="9" t="str">
        <f t="shared" ca="1" si="6"/>
        <v>18.5%</v>
      </c>
      <c r="X99" t="s">
        <v>321</v>
      </c>
      <c r="Y99" s="9" t="str">
        <f t="shared" ca="1" si="7"/>
        <v>Sin costo</v>
      </c>
      <c r="Z99" t="s">
        <v>327</v>
      </c>
      <c r="AA99" t="s">
        <v>329</v>
      </c>
      <c r="AB99" t="s">
        <v>334</v>
      </c>
      <c r="AC99" s="12" t="s">
        <v>339</v>
      </c>
      <c r="AE99" t="s">
        <v>268</v>
      </c>
      <c r="AG99" s="12" t="s">
        <v>268</v>
      </c>
      <c r="AH99" t="s">
        <v>92</v>
      </c>
      <c r="AI99" s="12" t="s">
        <v>268</v>
      </c>
      <c r="AJ99" t="s">
        <v>92</v>
      </c>
      <c r="AK99" t="s">
        <v>92</v>
      </c>
      <c r="AL99" t="s">
        <v>92</v>
      </c>
      <c r="AM99" s="12" t="s">
        <v>268</v>
      </c>
      <c r="AN99" s="12" t="s">
        <v>268</v>
      </c>
      <c r="AO99" s="12" t="s">
        <v>268</v>
      </c>
      <c r="AP99" s="12" t="s">
        <v>268</v>
      </c>
      <c r="AQ99" s="12" t="s">
        <v>268</v>
      </c>
      <c r="AR99" s="28" t="str">
        <f t="shared" ca="1" si="8"/>
        <v/>
      </c>
      <c r="AS99" s="28" t="str">
        <f t="shared" ca="1" si="9"/>
        <v/>
      </c>
    </row>
    <row r="100" spans="2:45" ht="27.6" customHeight="1">
      <c r="B100">
        <f t="shared" ca="1" si="5"/>
        <v>0</v>
      </c>
      <c r="C100" t="s">
        <v>85</v>
      </c>
      <c r="D100" t="s">
        <v>92</v>
      </c>
      <c r="E100" t="s">
        <v>92</v>
      </c>
      <c r="F100" t="s">
        <v>92</v>
      </c>
      <c r="G100" t="s">
        <v>92</v>
      </c>
      <c r="H100" t="s">
        <v>92</v>
      </c>
      <c r="I100" s="12" t="s">
        <v>268</v>
      </c>
      <c r="J100" t="s">
        <v>278</v>
      </c>
      <c r="L100" t="s">
        <v>92</v>
      </c>
      <c r="N100" s="14">
        <v>1</v>
      </c>
      <c r="P100" s="12" t="s">
        <v>268</v>
      </c>
      <c r="W100" s="9" t="str">
        <f t="shared" ca="1" si="6"/>
        <v>18.5%</v>
      </c>
      <c r="X100" t="s">
        <v>321</v>
      </c>
      <c r="Y100" s="9" t="str">
        <f t="shared" ca="1" si="7"/>
        <v>Sin costo</v>
      </c>
      <c r="Z100" t="s">
        <v>327</v>
      </c>
      <c r="AA100" t="s">
        <v>329</v>
      </c>
      <c r="AB100" t="s">
        <v>334</v>
      </c>
      <c r="AC100" s="12" t="s">
        <v>339</v>
      </c>
      <c r="AE100" t="s">
        <v>268</v>
      </c>
      <c r="AG100" s="12" t="s">
        <v>268</v>
      </c>
      <c r="AH100" t="s">
        <v>92</v>
      </c>
      <c r="AI100" s="12" t="s">
        <v>268</v>
      </c>
      <c r="AJ100" t="s">
        <v>92</v>
      </c>
      <c r="AK100" t="s">
        <v>92</v>
      </c>
      <c r="AL100" t="s">
        <v>92</v>
      </c>
      <c r="AM100" s="12" t="s">
        <v>268</v>
      </c>
      <c r="AN100" s="12" t="s">
        <v>268</v>
      </c>
      <c r="AO100" s="12" t="s">
        <v>268</v>
      </c>
      <c r="AP100" s="12" t="s">
        <v>268</v>
      </c>
      <c r="AQ100" s="12" t="s">
        <v>268</v>
      </c>
      <c r="AR100" s="28" t="str">
        <f t="shared" ca="1" si="8"/>
        <v/>
      </c>
      <c r="AS100" s="28" t="str">
        <f t="shared" ca="1" si="9"/>
        <v/>
      </c>
    </row>
    <row r="101" spans="2:45" ht="27.6" customHeight="1">
      <c r="B101">
        <f t="shared" ca="1" si="5"/>
        <v>0</v>
      </c>
      <c r="C101" t="s">
        <v>85</v>
      </c>
      <c r="D101" t="s">
        <v>92</v>
      </c>
      <c r="E101" t="s">
        <v>92</v>
      </c>
      <c r="F101" t="s">
        <v>92</v>
      </c>
      <c r="G101" t="s">
        <v>92</v>
      </c>
      <c r="H101" t="s">
        <v>92</v>
      </c>
      <c r="I101" s="12" t="s">
        <v>268</v>
      </c>
      <c r="J101" t="s">
        <v>278</v>
      </c>
      <c r="L101" t="s">
        <v>92</v>
      </c>
      <c r="N101" s="14">
        <v>1</v>
      </c>
      <c r="P101" s="12" t="s">
        <v>268</v>
      </c>
      <c r="W101" s="9" t="str">
        <f t="shared" ca="1" si="6"/>
        <v>18.5%</v>
      </c>
      <c r="X101" t="s">
        <v>321</v>
      </c>
      <c r="Y101" s="9" t="str">
        <f t="shared" ca="1" si="7"/>
        <v>Sin costo</v>
      </c>
      <c r="Z101" t="s">
        <v>327</v>
      </c>
      <c r="AA101" t="s">
        <v>329</v>
      </c>
      <c r="AB101" t="s">
        <v>334</v>
      </c>
      <c r="AC101" s="12" t="s">
        <v>339</v>
      </c>
      <c r="AE101" t="s">
        <v>268</v>
      </c>
      <c r="AG101" s="12" t="s">
        <v>268</v>
      </c>
      <c r="AH101" t="s">
        <v>92</v>
      </c>
      <c r="AI101" s="12" t="s">
        <v>268</v>
      </c>
      <c r="AJ101" t="s">
        <v>92</v>
      </c>
      <c r="AK101" t="s">
        <v>92</v>
      </c>
      <c r="AL101" t="s">
        <v>92</v>
      </c>
      <c r="AM101" s="12" t="s">
        <v>268</v>
      </c>
      <c r="AN101" s="12" t="s">
        <v>268</v>
      </c>
      <c r="AO101" s="12" t="s">
        <v>268</v>
      </c>
      <c r="AP101" s="12" t="s">
        <v>268</v>
      </c>
      <c r="AQ101" s="12" t="s">
        <v>268</v>
      </c>
      <c r="AR101" s="28" t="str">
        <f t="shared" ca="1" si="8"/>
        <v/>
      </c>
      <c r="AS101" s="28" t="str">
        <f t="shared" ca="1" si="9"/>
        <v/>
      </c>
    </row>
    <row r="102" spans="2:45" ht="27.6" customHeight="1">
      <c r="B102">
        <f t="shared" ca="1" si="5"/>
        <v>0</v>
      </c>
      <c r="C102" t="s">
        <v>85</v>
      </c>
      <c r="D102" t="s">
        <v>92</v>
      </c>
      <c r="E102" t="s">
        <v>92</v>
      </c>
      <c r="F102" t="s">
        <v>92</v>
      </c>
      <c r="G102" t="s">
        <v>92</v>
      </c>
      <c r="H102" t="s">
        <v>92</v>
      </c>
      <c r="I102" s="12" t="s">
        <v>268</v>
      </c>
      <c r="J102" t="s">
        <v>278</v>
      </c>
      <c r="L102" t="s">
        <v>92</v>
      </c>
      <c r="N102" s="14">
        <v>1</v>
      </c>
      <c r="P102" s="12" t="s">
        <v>268</v>
      </c>
      <c r="W102" s="9" t="str">
        <f t="shared" ca="1" si="6"/>
        <v>18.5%</v>
      </c>
      <c r="X102" t="s">
        <v>321</v>
      </c>
      <c r="Y102" s="9" t="str">
        <f t="shared" ca="1" si="7"/>
        <v>Sin costo</v>
      </c>
      <c r="Z102" t="s">
        <v>327</v>
      </c>
      <c r="AA102" t="s">
        <v>329</v>
      </c>
      <c r="AB102" t="s">
        <v>334</v>
      </c>
      <c r="AC102" s="12" t="s">
        <v>339</v>
      </c>
      <c r="AE102" t="s">
        <v>268</v>
      </c>
      <c r="AG102" s="12" t="s">
        <v>268</v>
      </c>
      <c r="AH102" t="s">
        <v>92</v>
      </c>
      <c r="AI102" s="12" t="s">
        <v>268</v>
      </c>
      <c r="AJ102" t="s">
        <v>92</v>
      </c>
      <c r="AK102" t="s">
        <v>92</v>
      </c>
      <c r="AL102" t="s">
        <v>92</v>
      </c>
      <c r="AM102" s="12" t="s">
        <v>268</v>
      </c>
      <c r="AN102" s="12" t="s">
        <v>268</v>
      </c>
      <c r="AO102" s="12" t="s">
        <v>268</v>
      </c>
      <c r="AP102" s="12" t="s">
        <v>268</v>
      </c>
      <c r="AQ102" s="12" t="s">
        <v>268</v>
      </c>
      <c r="AR102" s="28" t="str">
        <f t="shared" ca="1" si="8"/>
        <v/>
      </c>
      <c r="AS102" s="28" t="str">
        <f t="shared" ca="1" si="9"/>
        <v/>
      </c>
    </row>
    <row r="103" spans="2:45" ht="27.6" customHeight="1">
      <c r="B103">
        <f t="shared" ca="1" si="5"/>
        <v>0</v>
      </c>
      <c r="C103" t="s">
        <v>85</v>
      </c>
      <c r="D103" t="s">
        <v>92</v>
      </c>
      <c r="E103" t="s">
        <v>92</v>
      </c>
      <c r="F103" t="s">
        <v>92</v>
      </c>
      <c r="G103" t="s">
        <v>92</v>
      </c>
      <c r="H103" t="s">
        <v>92</v>
      </c>
      <c r="I103" s="12" t="s">
        <v>268</v>
      </c>
      <c r="J103" t="s">
        <v>278</v>
      </c>
      <c r="L103" t="s">
        <v>92</v>
      </c>
      <c r="N103" s="14">
        <v>1</v>
      </c>
      <c r="P103" s="12" t="s">
        <v>268</v>
      </c>
      <c r="W103" s="9" t="str">
        <f t="shared" ca="1" si="6"/>
        <v>18.5%</v>
      </c>
      <c r="X103" t="s">
        <v>321</v>
      </c>
      <c r="Y103" s="9" t="str">
        <f t="shared" ca="1" si="7"/>
        <v>Sin costo</v>
      </c>
      <c r="Z103" t="s">
        <v>327</v>
      </c>
      <c r="AA103" t="s">
        <v>329</v>
      </c>
      <c r="AB103" t="s">
        <v>334</v>
      </c>
      <c r="AC103" s="12" t="s">
        <v>339</v>
      </c>
      <c r="AE103" t="s">
        <v>268</v>
      </c>
      <c r="AG103" s="12" t="s">
        <v>268</v>
      </c>
      <c r="AH103" t="s">
        <v>92</v>
      </c>
      <c r="AI103" s="12" t="s">
        <v>268</v>
      </c>
      <c r="AJ103" t="s">
        <v>92</v>
      </c>
      <c r="AK103" t="s">
        <v>92</v>
      </c>
      <c r="AL103" t="s">
        <v>92</v>
      </c>
      <c r="AM103" s="12" t="s">
        <v>268</v>
      </c>
      <c r="AN103" s="12" t="s">
        <v>268</v>
      </c>
      <c r="AO103" s="12" t="s">
        <v>268</v>
      </c>
      <c r="AP103" s="12" t="s">
        <v>268</v>
      </c>
      <c r="AQ103" s="12" t="s">
        <v>268</v>
      </c>
      <c r="AR103" s="28" t="str">
        <f t="shared" ca="1" si="8"/>
        <v/>
      </c>
      <c r="AS103" s="28" t="str">
        <f t="shared" ca="1" si="9"/>
        <v/>
      </c>
    </row>
    <row r="104" spans="2:45" ht="27.6" customHeight="1">
      <c r="B104">
        <f t="shared" ca="1" si="5"/>
        <v>0</v>
      </c>
      <c r="C104" t="s">
        <v>85</v>
      </c>
      <c r="D104" t="s">
        <v>92</v>
      </c>
      <c r="E104" t="s">
        <v>92</v>
      </c>
      <c r="F104" t="s">
        <v>92</v>
      </c>
      <c r="G104" t="s">
        <v>92</v>
      </c>
      <c r="H104" t="s">
        <v>92</v>
      </c>
      <c r="I104" s="12" t="s">
        <v>268</v>
      </c>
      <c r="J104" t="s">
        <v>278</v>
      </c>
      <c r="L104" t="s">
        <v>92</v>
      </c>
      <c r="N104" s="14">
        <v>1</v>
      </c>
      <c r="P104" s="12" t="s">
        <v>268</v>
      </c>
      <c r="W104" s="9" t="str">
        <f t="shared" ca="1" si="6"/>
        <v>18.5%</v>
      </c>
      <c r="X104" t="s">
        <v>321</v>
      </c>
      <c r="Y104" s="9" t="str">
        <f t="shared" ca="1" si="7"/>
        <v>Sin costo</v>
      </c>
      <c r="Z104" t="s">
        <v>327</v>
      </c>
      <c r="AA104" t="s">
        <v>329</v>
      </c>
      <c r="AB104" t="s">
        <v>334</v>
      </c>
      <c r="AC104" s="12" t="s">
        <v>339</v>
      </c>
      <c r="AE104" t="s">
        <v>268</v>
      </c>
      <c r="AG104" s="12" t="s">
        <v>268</v>
      </c>
      <c r="AH104" t="s">
        <v>92</v>
      </c>
      <c r="AI104" s="12" t="s">
        <v>268</v>
      </c>
      <c r="AJ104" t="s">
        <v>92</v>
      </c>
      <c r="AK104" t="s">
        <v>92</v>
      </c>
      <c r="AL104" t="s">
        <v>92</v>
      </c>
      <c r="AM104" s="12" t="s">
        <v>268</v>
      </c>
      <c r="AN104" s="12" t="s">
        <v>268</v>
      </c>
      <c r="AO104" s="12" t="s">
        <v>268</v>
      </c>
      <c r="AP104" s="12" t="s">
        <v>268</v>
      </c>
      <c r="AQ104" s="12" t="s">
        <v>268</v>
      </c>
      <c r="AR104" s="28" t="str">
        <f t="shared" ca="1" si="8"/>
        <v/>
      </c>
      <c r="AS104" s="28" t="str">
        <f t="shared" ca="1" si="9"/>
        <v/>
      </c>
    </row>
    <row r="105" spans="2:45" ht="27.6" customHeight="1">
      <c r="B105">
        <f t="shared" ca="1" si="5"/>
        <v>0</v>
      </c>
      <c r="C105" t="s">
        <v>85</v>
      </c>
      <c r="D105" t="s">
        <v>92</v>
      </c>
      <c r="E105" t="s">
        <v>92</v>
      </c>
      <c r="F105" t="s">
        <v>92</v>
      </c>
      <c r="G105" t="s">
        <v>92</v>
      </c>
      <c r="H105" t="s">
        <v>92</v>
      </c>
      <c r="I105" s="12" t="s">
        <v>268</v>
      </c>
      <c r="J105" t="s">
        <v>278</v>
      </c>
      <c r="L105" t="s">
        <v>92</v>
      </c>
      <c r="N105" s="14">
        <v>1</v>
      </c>
      <c r="P105" s="12" t="s">
        <v>268</v>
      </c>
      <c r="W105" s="9" t="str">
        <f t="shared" ca="1" si="6"/>
        <v>18.5%</v>
      </c>
      <c r="X105" t="s">
        <v>321</v>
      </c>
      <c r="Y105" s="9" t="str">
        <f t="shared" ca="1" si="7"/>
        <v>Sin costo</v>
      </c>
      <c r="Z105" t="s">
        <v>327</v>
      </c>
      <c r="AA105" t="s">
        <v>329</v>
      </c>
      <c r="AB105" t="s">
        <v>334</v>
      </c>
      <c r="AC105" s="12" t="s">
        <v>339</v>
      </c>
      <c r="AE105" t="s">
        <v>268</v>
      </c>
      <c r="AG105" s="12" t="s">
        <v>268</v>
      </c>
      <c r="AH105" t="s">
        <v>92</v>
      </c>
      <c r="AI105" s="12" t="s">
        <v>268</v>
      </c>
      <c r="AJ105" t="s">
        <v>92</v>
      </c>
      <c r="AK105" t="s">
        <v>92</v>
      </c>
      <c r="AL105" t="s">
        <v>92</v>
      </c>
      <c r="AM105" s="12" t="s">
        <v>268</v>
      </c>
      <c r="AN105" s="12" t="s">
        <v>268</v>
      </c>
      <c r="AO105" s="12" t="s">
        <v>268</v>
      </c>
      <c r="AP105" s="12" t="s">
        <v>268</v>
      </c>
      <c r="AQ105" s="12" t="s">
        <v>268</v>
      </c>
      <c r="AR105" s="28" t="str">
        <f t="shared" ca="1" si="8"/>
        <v/>
      </c>
      <c r="AS105" s="28" t="str">
        <f t="shared" ca="1" si="9"/>
        <v/>
      </c>
    </row>
    <row r="106" spans="2:45" ht="27.6" customHeight="1">
      <c r="B106">
        <f t="shared" ca="1" si="5"/>
        <v>0</v>
      </c>
      <c r="C106" t="s">
        <v>85</v>
      </c>
      <c r="D106" t="s">
        <v>92</v>
      </c>
      <c r="E106" t="s">
        <v>92</v>
      </c>
      <c r="F106" t="s">
        <v>92</v>
      </c>
      <c r="G106" t="s">
        <v>92</v>
      </c>
      <c r="H106" t="s">
        <v>92</v>
      </c>
      <c r="I106" s="12" t="s">
        <v>268</v>
      </c>
      <c r="J106" t="s">
        <v>278</v>
      </c>
      <c r="L106" t="s">
        <v>92</v>
      </c>
      <c r="N106" s="14">
        <v>1</v>
      </c>
      <c r="P106" s="12" t="s">
        <v>268</v>
      </c>
      <c r="W106" s="9" t="str">
        <f t="shared" ca="1" si="6"/>
        <v>18.5%</v>
      </c>
      <c r="X106" t="s">
        <v>321</v>
      </c>
      <c r="Y106" s="9" t="str">
        <f t="shared" ca="1" si="7"/>
        <v>Sin costo</v>
      </c>
      <c r="Z106" t="s">
        <v>327</v>
      </c>
      <c r="AA106" t="s">
        <v>329</v>
      </c>
      <c r="AB106" t="s">
        <v>334</v>
      </c>
      <c r="AC106" s="12" t="s">
        <v>339</v>
      </c>
      <c r="AE106" t="s">
        <v>268</v>
      </c>
      <c r="AG106" s="12" t="s">
        <v>268</v>
      </c>
      <c r="AH106" t="s">
        <v>92</v>
      </c>
      <c r="AI106" s="12" t="s">
        <v>268</v>
      </c>
      <c r="AJ106" t="s">
        <v>92</v>
      </c>
      <c r="AK106" t="s">
        <v>92</v>
      </c>
      <c r="AL106" t="s">
        <v>92</v>
      </c>
      <c r="AM106" s="12" t="s">
        <v>268</v>
      </c>
      <c r="AN106" s="12" t="s">
        <v>268</v>
      </c>
      <c r="AO106" s="12" t="s">
        <v>268</v>
      </c>
      <c r="AP106" s="12" t="s">
        <v>268</v>
      </c>
      <c r="AQ106" s="12" t="s">
        <v>268</v>
      </c>
      <c r="AR106" s="28" t="str">
        <f t="shared" ca="1" si="8"/>
        <v/>
      </c>
      <c r="AS106" s="28" t="str">
        <f t="shared" ca="1" si="9"/>
        <v/>
      </c>
    </row>
    <row r="107" spans="2:45" ht="27.6" customHeight="1">
      <c r="B107">
        <f t="shared" ca="1" si="5"/>
        <v>0</v>
      </c>
      <c r="C107" t="s">
        <v>85</v>
      </c>
      <c r="D107" t="s">
        <v>92</v>
      </c>
      <c r="E107" t="s">
        <v>92</v>
      </c>
      <c r="F107" t="s">
        <v>92</v>
      </c>
      <c r="G107" t="s">
        <v>92</v>
      </c>
      <c r="H107" t="s">
        <v>92</v>
      </c>
      <c r="I107" s="12" t="s">
        <v>268</v>
      </c>
      <c r="J107" t="s">
        <v>278</v>
      </c>
      <c r="L107" t="s">
        <v>92</v>
      </c>
      <c r="N107" s="14">
        <v>1</v>
      </c>
      <c r="P107" s="12" t="s">
        <v>268</v>
      </c>
      <c r="W107" s="9" t="str">
        <f t="shared" ca="1" si="6"/>
        <v>18.5%</v>
      </c>
      <c r="X107" t="s">
        <v>321</v>
      </c>
      <c r="Y107" s="9" t="str">
        <f t="shared" ca="1" si="7"/>
        <v>Sin costo</v>
      </c>
      <c r="Z107" t="s">
        <v>327</v>
      </c>
      <c r="AA107" t="s">
        <v>329</v>
      </c>
      <c r="AB107" t="s">
        <v>334</v>
      </c>
      <c r="AC107" s="12" t="s">
        <v>339</v>
      </c>
      <c r="AE107" t="s">
        <v>268</v>
      </c>
      <c r="AG107" s="12" t="s">
        <v>268</v>
      </c>
      <c r="AH107" t="s">
        <v>92</v>
      </c>
      <c r="AI107" s="12" t="s">
        <v>268</v>
      </c>
      <c r="AJ107" t="s">
        <v>92</v>
      </c>
      <c r="AK107" t="s">
        <v>92</v>
      </c>
      <c r="AL107" t="s">
        <v>92</v>
      </c>
      <c r="AM107" s="12" t="s">
        <v>268</v>
      </c>
      <c r="AN107" s="12" t="s">
        <v>268</v>
      </c>
      <c r="AO107" s="12" t="s">
        <v>268</v>
      </c>
      <c r="AP107" s="12" t="s">
        <v>268</v>
      </c>
      <c r="AQ107" s="12" t="s">
        <v>268</v>
      </c>
      <c r="AR107" s="28" t="str">
        <f t="shared" ca="1" si="8"/>
        <v/>
      </c>
      <c r="AS107" s="28" t="str">
        <f t="shared" ca="1" si="9"/>
        <v/>
      </c>
    </row>
    <row r="108" spans="2:45" ht="27.6" customHeight="1">
      <c r="B108">
        <f t="shared" ca="1" si="5"/>
        <v>0</v>
      </c>
      <c r="C108" t="s">
        <v>85</v>
      </c>
      <c r="D108" t="s">
        <v>92</v>
      </c>
      <c r="E108" t="s">
        <v>92</v>
      </c>
      <c r="F108" t="s">
        <v>92</v>
      </c>
      <c r="G108" t="s">
        <v>92</v>
      </c>
      <c r="H108" t="s">
        <v>92</v>
      </c>
      <c r="I108" s="12" t="s">
        <v>268</v>
      </c>
      <c r="J108" t="s">
        <v>278</v>
      </c>
      <c r="L108" t="s">
        <v>92</v>
      </c>
      <c r="N108" s="14">
        <v>1</v>
      </c>
      <c r="P108" s="12" t="s">
        <v>268</v>
      </c>
      <c r="W108" s="9" t="str">
        <f t="shared" ca="1" si="6"/>
        <v>18.5%</v>
      </c>
      <c r="X108" t="s">
        <v>321</v>
      </c>
      <c r="Y108" s="9" t="str">
        <f t="shared" ca="1" si="7"/>
        <v>Sin costo</v>
      </c>
      <c r="Z108" t="s">
        <v>327</v>
      </c>
      <c r="AA108" t="s">
        <v>329</v>
      </c>
      <c r="AB108" t="s">
        <v>334</v>
      </c>
      <c r="AC108" s="12" t="s">
        <v>339</v>
      </c>
      <c r="AE108" t="s">
        <v>268</v>
      </c>
      <c r="AG108" s="12" t="s">
        <v>268</v>
      </c>
      <c r="AH108" t="s">
        <v>92</v>
      </c>
      <c r="AI108" s="12" t="s">
        <v>268</v>
      </c>
      <c r="AJ108" t="s">
        <v>92</v>
      </c>
      <c r="AK108" t="s">
        <v>92</v>
      </c>
      <c r="AL108" t="s">
        <v>92</v>
      </c>
      <c r="AM108" s="12" t="s">
        <v>268</v>
      </c>
      <c r="AN108" s="12" t="s">
        <v>268</v>
      </c>
      <c r="AO108" s="12" t="s">
        <v>268</v>
      </c>
      <c r="AP108" s="12" t="s">
        <v>268</v>
      </c>
      <c r="AQ108" s="12" t="s">
        <v>268</v>
      </c>
      <c r="AR108" s="28" t="str">
        <f t="shared" ca="1" si="8"/>
        <v/>
      </c>
      <c r="AS108" s="28" t="str">
        <f t="shared" ca="1" si="9"/>
        <v/>
      </c>
    </row>
    <row r="109" spans="2:45" ht="27.6" customHeight="1">
      <c r="B109">
        <f t="shared" ca="1" si="5"/>
        <v>0</v>
      </c>
      <c r="C109" t="s">
        <v>85</v>
      </c>
      <c r="D109" t="s">
        <v>92</v>
      </c>
      <c r="E109" t="s">
        <v>92</v>
      </c>
      <c r="F109" t="s">
        <v>92</v>
      </c>
      <c r="G109" t="s">
        <v>92</v>
      </c>
      <c r="H109" t="s">
        <v>92</v>
      </c>
      <c r="I109" s="12" t="s">
        <v>268</v>
      </c>
      <c r="J109" t="s">
        <v>278</v>
      </c>
      <c r="L109" t="s">
        <v>92</v>
      </c>
      <c r="N109" s="14">
        <v>1</v>
      </c>
      <c r="P109" s="12" t="s">
        <v>268</v>
      </c>
      <c r="W109" s="9" t="str">
        <f t="shared" ca="1" si="6"/>
        <v>18.5%</v>
      </c>
      <c r="X109" t="s">
        <v>321</v>
      </c>
      <c r="Y109" s="9" t="str">
        <f t="shared" ca="1" si="7"/>
        <v>Sin costo</v>
      </c>
      <c r="Z109" t="s">
        <v>327</v>
      </c>
      <c r="AA109" t="s">
        <v>329</v>
      </c>
      <c r="AB109" t="s">
        <v>334</v>
      </c>
      <c r="AC109" s="12" t="s">
        <v>339</v>
      </c>
      <c r="AE109" t="s">
        <v>268</v>
      </c>
      <c r="AG109" s="12" t="s">
        <v>268</v>
      </c>
      <c r="AH109" t="s">
        <v>92</v>
      </c>
      <c r="AI109" s="12" t="s">
        <v>268</v>
      </c>
      <c r="AJ109" t="s">
        <v>92</v>
      </c>
      <c r="AK109" t="s">
        <v>92</v>
      </c>
      <c r="AL109" t="s">
        <v>92</v>
      </c>
      <c r="AM109" s="12" t="s">
        <v>268</v>
      </c>
      <c r="AN109" s="12" t="s">
        <v>268</v>
      </c>
      <c r="AO109" s="12" t="s">
        <v>268</v>
      </c>
      <c r="AP109" s="12" t="s">
        <v>268</v>
      </c>
      <c r="AQ109" s="12" t="s">
        <v>268</v>
      </c>
      <c r="AR109" s="28" t="str">
        <f t="shared" ca="1" si="8"/>
        <v/>
      </c>
      <c r="AS109" s="28" t="str">
        <f t="shared" ca="1" si="9"/>
        <v/>
      </c>
    </row>
    <row r="110" spans="2:45" ht="27.6" customHeight="1">
      <c r="B110">
        <f t="shared" ca="1" si="5"/>
        <v>0</v>
      </c>
      <c r="C110" t="s">
        <v>85</v>
      </c>
      <c r="D110" t="s">
        <v>92</v>
      </c>
      <c r="E110" t="s">
        <v>92</v>
      </c>
      <c r="F110" t="s">
        <v>92</v>
      </c>
      <c r="G110" t="s">
        <v>92</v>
      </c>
      <c r="H110" t="s">
        <v>92</v>
      </c>
      <c r="I110" s="12" t="s">
        <v>268</v>
      </c>
      <c r="J110" t="s">
        <v>278</v>
      </c>
      <c r="L110" t="s">
        <v>92</v>
      </c>
      <c r="N110" s="14">
        <v>1</v>
      </c>
      <c r="P110" s="12" t="s">
        <v>268</v>
      </c>
      <c r="W110" s="9" t="str">
        <f t="shared" ca="1" si="6"/>
        <v>18.5%</v>
      </c>
      <c r="X110" t="s">
        <v>321</v>
      </c>
      <c r="Y110" s="9" t="str">
        <f t="shared" ca="1" si="7"/>
        <v>Sin costo</v>
      </c>
      <c r="Z110" t="s">
        <v>327</v>
      </c>
      <c r="AA110" t="s">
        <v>329</v>
      </c>
      <c r="AB110" t="s">
        <v>334</v>
      </c>
      <c r="AC110" s="12" t="s">
        <v>339</v>
      </c>
      <c r="AE110" t="s">
        <v>268</v>
      </c>
      <c r="AG110" s="12" t="s">
        <v>268</v>
      </c>
      <c r="AH110" t="s">
        <v>92</v>
      </c>
      <c r="AI110" s="12" t="s">
        <v>268</v>
      </c>
      <c r="AJ110" t="s">
        <v>92</v>
      </c>
      <c r="AK110" t="s">
        <v>92</v>
      </c>
      <c r="AL110" t="s">
        <v>92</v>
      </c>
      <c r="AM110" s="12" t="s">
        <v>268</v>
      </c>
      <c r="AN110" s="12" t="s">
        <v>268</v>
      </c>
      <c r="AO110" s="12" t="s">
        <v>268</v>
      </c>
      <c r="AP110" s="12" t="s">
        <v>268</v>
      </c>
      <c r="AQ110" s="12" t="s">
        <v>268</v>
      </c>
      <c r="AR110" s="28" t="str">
        <f t="shared" ca="1" si="8"/>
        <v/>
      </c>
      <c r="AS110" s="28" t="str">
        <f t="shared" ca="1" si="9"/>
        <v/>
      </c>
    </row>
    <row r="111" spans="2:45" ht="27.6" customHeight="1">
      <c r="B111">
        <f t="shared" ca="1" si="5"/>
        <v>0</v>
      </c>
      <c r="C111" t="s">
        <v>85</v>
      </c>
      <c r="D111" t="s">
        <v>92</v>
      </c>
      <c r="E111" t="s">
        <v>92</v>
      </c>
      <c r="F111" t="s">
        <v>92</v>
      </c>
      <c r="G111" t="s">
        <v>92</v>
      </c>
      <c r="H111" t="s">
        <v>92</v>
      </c>
      <c r="I111" s="12" t="s">
        <v>268</v>
      </c>
      <c r="J111" t="s">
        <v>278</v>
      </c>
      <c r="L111" t="s">
        <v>92</v>
      </c>
      <c r="N111" s="14">
        <v>1</v>
      </c>
      <c r="P111" s="12" t="s">
        <v>268</v>
      </c>
      <c r="W111" s="9" t="str">
        <f t="shared" ca="1" si="6"/>
        <v>18.5%</v>
      </c>
      <c r="X111" t="s">
        <v>321</v>
      </c>
      <c r="Y111" s="9" t="str">
        <f t="shared" ca="1" si="7"/>
        <v>Sin costo</v>
      </c>
      <c r="Z111" t="s">
        <v>327</v>
      </c>
      <c r="AA111" t="s">
        <v>329</v>
      </c>
      <c r="AB111" t="s">
        <v>334</v>
      </c>
      <c r="AC111" s="12" t="s">
        <v>339</v>
      </c>
      <c r="AE111" t="s">
        <v>268</v>
      </c>
      <c r="AG111" s="12" t="s">
        <v>268</v>
      </c>
      <c r="AH111" t="s">
        <v>92</v>
      </c>
      <c r="AI111" s="12" t="s">
        <v>268</v>
      </c>
      <c r="AJ111" t="s">
        <v>92</v>
      </c>
      <c r="AK111" t="s">
        <v>92</v>
      </c>
      <c r="AL111" t="s">
        <v>92</v>
      </c>
      <c r="AM111" s="12" t="s">
        <v>268</v>
      </c>
      <c r="AN111" s="12" t="s">
        <v>268</v>
      </c>
      <c r="AO111" s="12" t="s">
        <v>268</v>
      </c>
      <c r="AP111" s="12" t="s">
        <v>268</v>
      </c>
      <c r="AQ111" s="12" t="s">
        <v>268</v>
      </c>
      <c r="AR111" s="28" t="str">
        <f t="shared" ca="1" si="8"/>
        <v/>
      </c>
      <c r="AS111" s="28" t="str">
        <f t="shared" ca="1" si="9"/>
        <v/>
      </c>
    </row>
    <row r="112" spans="2:45" ht="27.6" customHeight="1">
      <c r="B112">
        <f t="shared" ca="1" si="5"/>
        <v>0</v>
      </c>
      <c r="C112" t="s">
        <v>85</v>
      </c>
      <c r="D112" t="s">
        <v>92</v>
      </c>
      <c r="E112" t="s">
        <v>92</v>
      </c>
      <c r="F112" t="s">
        <v>92</v>
      </c>
      <c r="G112" t="s">
        <v>92</v>
      </c>
      <c r="H112" t="s">
        <v>92</v>
      </c>
      <c r="I112" s="12" t="s">
        <v>268</v>
      </c>
      <c r="J112" t="s">
        <v>278</v>
      </c>
      <c r="L112" t="s">
        <v>92</v>
      </c>
      <c r="N112" s="14">
        <v>1</v>
      </c>
      <c r="P112" s="12" t="s">
        <v>268</v>
      </c>
      <c r="W112" s="9" t="str">
        <f t="shared" ca="1" si="6"/>
        <v>18.5%</v>
      </c>
      <c r="X112" t="s">
        <v>321</v>
      </c>
      <c r="Y112" s="9" t="str">
        <f t="shared" ca="1" si="7"/>
        <v>Sin costo</v>
      </c>
      <c r="Z112" t="s">
        <v>327</v>
      </c>
      <c r="AA112" t="s">
        <v>329</v>
      </c>
      <c r="AB112" t="s">
        <v>334</v>
      </c>
      <c r="AC112" s="12" t="s">
        <v>339</v>
      </c>
      <c r="AE112" t="s">
        <v>268</v>
      </c>
      <c r="AG112" s="12" t="s">
        <v>268</v>
      </c>
      <c r="AH112" t="s">
        <v>92</v>
      </c>
      <c r="AI112" s="12" t="s">
        <v>268</v>
      </c>
      <c r="AJ112" t="s">
        <v>92</v>
      </c>
      <c r="AK112" t="s">
        <v>92</v>
      </c>
      <c r="AL112" t="s">
        <v>92</v>
      </c>
      <c r="AM112" s="12" t="s">
        <v>268</v>
      </c>
      <c r="AN112" s="12" t="s">
        <v>268</v>
      </c>
      <c r="AO112" s="12" t="s">
        <v>268</v>
      </c>
      <c r="AP112" s="12" t="s">
        <v>268</v>
      </c>
      <c r="AQ112" s="12" t="s">
        <v>268</v>
      </c>
      <c r="AR112" s="28" t="str">
        <f t="shared" ca="1" si="8"/>
        <v/>
      </c>
      <c r="AS112" s="28" t="str">
        <f t="shared" ca="1" si="9"/>
        <v/>
      </c>
    </row>
    <row r="113" spans="2:45" ht="27.6" customHeight="1">
      <c r="B113">
        <f t="shared" ca="1" si="5"/>
        <v>0</v>
      </c>
      <c r="C113" t="s">
        <v>85</v>
      </c>
      <c r="D113" t="s">
        <v>92</v>
      </c>
      <c r="E113" t="s">
        <v>92</v>
      </c>
      <c r="F113" t="s">
        <v>92</v>
      </c>
      <c r="G113" t="s">
        <v>92</v>
      </c>
      <c r="H113" t="s">
        <v>92</v>
      </c>
      <c r="I113" s="12" t="s">
        <v>268</v>
      </c>
      <c r="J113" t="s">
        <v>278</v>
      </c>
      <c r="L113" t="s">
        <v>92</v>
      </c>
      <c r="N113" s="14">
        <v>1</v>
      </c>
      <c r="P113" s="12" t="s">
        <v>268</v>
      </c>
      <c r="W113" s="9" t="str">
        <f t="shared" ca="1" si="6"/>
        <v>18.5%</v>
      </c>
      <c r="X113" t="s">
        <v>321</v>
      </c>
      <c r="Y113" s="9" t="str">
        <f t="shared" ca="1" si="7"/>
        <v>Sin costo</v>
      </c>
      <c r="Z113" t="s">
        <v>327</v>
      </c>
      <c r="AA113" t="s">
        <v>329</v>
      </c>
      <c r="AB113" t="s">
        <v>334</v>
      </c>
      <c r="AC113" s="12" t="s">
        <v>339</v>
      </c>
      <c r="AE113" t="s">
        <v>268</v>
      </c>
      <c r="AG113" s="12" t="s">
        <v>268</v>
      </c>
      <c r="AH113" t="s">
        <v>92</v>
      </c>
      <c r="AI113" s="12" t="s">
        <v>268</v>
      </c>
      <c r="AJ113" t="s">
        <v>92</v>
      </c>
      <c r="AK113" t="s">
        <v>92</v>
      </c>
      <c r="AL113" t="s">
        <v>92</v>
      </c>
      <c r="AM113" s="12" t="s">
        <v>268</v>
      </c>
      <c r="AN113" s="12" t="s">
        <v>268</v>
      </c>
      <c r="AO113" s="12" t="s">
        <v>268</v>
      </c>
      <c r="AP113" s="12" t="s">
        <v>268</v>
      </c>
      <c r="AQ113" s="12" t="s">
        <v>268</v>
      </c>
      <c r="AR113" s="28" t="str">
        <f t="shared" ca="1" si="8"/>
        <v/>
      </c>
      <c r="AS113" s="28" t="str">
        <f t="shared" ca="1" si="9"/>
        <v/>
      </c>
    </row>
    <row r="114" spans="2:45" ht="27.6" customHeight="1">
      <c r="B114">
        <f t="shared" ca="1" si="5"/>
        <v>0</v>
      </c>
      <c r="C114" t="s">
        <v>85</v>
      </c>
      <c r="D114" t="s">
        <v>92</v>
      </c>
      <c r="E114" t="s">
        <v>92</v>
      </c>
      <c r="F114" t="s">
        <v>92</v>
      </c>
      <c r="G114" t="s">
        <v>92</v>
      </c>
      <c r="H114" t="s">
        <v>92</v>
      </c>
      <c r="I114" s="12" t="s">
        <v>268</v>
      </c>
      <c r="J114" t="s">
        <v>278</v>
      </c>
      <c r="L114" t="s">
        <v>92</v>
      </c>
      <c r="N114" s="14">
        <v>1</v>
      </c>
      <c r="P114" s="12" t="s">
        <v>268</v>
      </c>
      <c r="W114" s="9" t="str">
        <f t="shared" ca="1" si="6"/>
        <v>18.5%</v>
      </c>
      <c r="X114" t="s">
        <v>321</v>
      </c>
      <c r="Y114" s="9" t="str">
        <f t="shared" ca="1" si="7"/>
        <v>Sin costo</v>
      </c>
      <c r="Z114" t="s">
        <v>327</v>
      </c>
      <c r="AA114" t="s">
        <v>329</v>
      </c>
      <c r="AB114" t="s">
        <v>334</v>
      </c>
      <c r="AC114" s="12" t="s">
        <v>339</v>
      </c>
      <c r="AE114" t="s">
        <v>268</v>
      </c>
      <c r="AG114" s="12" t="s">
        <v>268</v>
      </c>
      <c r="AH114" t="s">
        <v>92</v>
      </c>
      <c r="AI114" s="12" t="s">
        <v>268</v>
      </c>
      <c r="AJ114" t="s">
        <v>92</v>
      </c>
      <c r="AK114" t="s">
        <v>92</v>
      </c>
      <c r="AL114" t="s">
        <v>92</v>
      </c>
      <c r="AM114" s="12" t="s">
        <v>268</v>
      </c>
      <c r="AN114" s="12" t="s">
        <v>268</v>
      </c>
      <c r="AO114" s="12" t="s">
        <v>268</v>
      </c>
      <c r="AP114" s="12" t="s">
        <v>268</v>
      </c>
      <c r="AQ114" s="12" t="s">
        <v>268</v>
      </c>
      <c r="AR114" s="28" t="str">
        <f t="shared" ca="1" si="8"/>
        <v/>
      </c>
      <c r="AS114" s="28" t="str">
        <f t="shared" ca="1" si="9"/>
        <v/>
      </c>
    </row>
    <row r="115" spans="2:45" ht="27.6" customHeight="1">
      <c r="B115">
        <f t="shared" ca="1" si="5"/>
        <v>0</v>
      </c>
      <c r="C115" t="s">
        <v>85</v>
      </c>
      <c r="D115" t="s">
        <v>92</v>
      </c>
      <c r="E115" t="s">
        <v>92</v>
      </c>
      <c r="F115" t="s">
        <v>92</v>
      </c>
      <c r="G115" t="s">
        <v>92</v>
      </c>
      <c r="H115" t="s">
        <v>92</v>
      </c>
      <c r="I115" s="12" t="s">
        <v>268</v>
      </c>
      <c r="J115" t="s">
        <v>278</v>
      </c>
      <c r="L115" t="s">
        <v>92</v>
      </c>
      <c r="N115" s="14">
        <v>1</v>
      </c>
      <c r="P115" s="12" t="s">
        <v>268</v>
      </c>
      <c r="W115" s="9" t="str">
        <f t="shared" ca="1" si="6"/>
        <v>18.5%</v>
      </c>
      <c r="X115" t="s">
        <v>321</v>
      </c>
      <c r="Y115" s="9" t="str">
        <f t="shared" ca="1" si="7"/>
        <v>Sin costo</v>
      </c>
      <c r="Z115" t="s">
        <v>327</v>
      </c>
      <c r="AA115" t="s">
        <v>329</v>
      </c>
      <c r="AB115" t="s">
        <v>334</v>
      </c>
      <c r="AC115" s="12" t="s">
        <v>339</v>
      </c>
      <c r="AE115" t="s">
        <v>268</v>
      </c>
      <c r="AG115" s="12" t="s">
        <v>268</v>
      </c>
      <c r="AH115" t="s">
        <v>92</v>
      </c>
      <c r="AI115" s="12" t="s">
        <v>268</v>
      </c>
      <c r="AJ115" t="s">
        <v>92</v>
      </c>
      <c r="AK115" t="s">
        <v>92</v>
      </c>
      <c r="AL115" t="s">
        <v>92</v>
      </c>
      <c r="AM115" s="12" t="s">
        <v>268</v>
      </c>
      <c r="AN115" s="12" t="s">
        <v>268</v>
      </c>
      <c r="AO115" s="12" t="s">
        <v>268</v>
      </c>
      <c r="AP115" s="12" t="s">
        <v>268</v>
      </c>
      <c r="AQ115" s="12" t="s">
        <v>268</v>
      </c>
      <c r="AR115" s="28" t="str">
        <f t="shared" ca="1" si="8"/>
        <v/>
      </c>
      <c r="AS115" s="28" t="str">
        <f t="shared" ca="1" si="9"/>
        <v/>
      </c>
    </row>
    <row r="116" spans="2:45" ht="27.6" customHeight="1">
      <c r="B116">
        <f t="shared" ca="1" si="5"/>
        <v>0</v>
      </c>
      <c r="C116" t="s">
        <v>85</v>
      </c>
      <c r="D116" t="s">
        <v>92</v>
      </c>
      <c r="E116" t="s">
        <v>92</v>
      </c>
      <c r="F116" t="s">
        <v>92</v>
      </c>
      <c r="G116" t="s">
        <v>92</v>
      </c>
      <c r="H116" t="s">
        <v>92</v>
      </c>
      <c r="I116" s="12" t="s">
        <v>268</v>
      </c>
      <c r="J116" t="s">
        <v>278</v>
      </c>
      <c r="L116" t="s">
        <v>92</v>
      </c>
      <c r="N116" s="14">
        <v>1</v>
      </c>
      <c r="P116" s="12" t="s">
        <v>268</v>
      </c>
      <c r="W116" s="9" t="str">
        <f t="shared" ca="1" si="6"/>
        <v>18.5%</v>
      </c>
      <c r="X116" t="s">
        <v>321</v>
      </c>
      <c r="Y116" s="9" t="str">
        <f t="shared" ca="1" si="7"/>
        <v>Sin costo</v>
      </c>
      <c r="Z116" t="s">
        <v>327</v>
      </c>
      <c r="AA116" t="s">
        <v>329</v>
      </c>
      <c r="AB116" t="s">
        <v>334</v>
      </c>
      <c r="AC116" s="12" t="s">
        <v>339</v>
      </c>
      <c r="AE116" t="s">
        <v>268</v>
      </c>
      <c r="AG116" s="12" t="s">
        <v>268</v>
      </c>
      <c r="AH116" t="s">
        <v>92</v>
      </c>
      <c r="AI116" s="12" t="s">
        <v>268</v>
      </c>
      <c r="AJ116" t="s">
        <v>92</v>
      </c>
      <c r="AK116" t="s">
        <v>92</v>
      </c>
      <c r="AL116" t="s">
        <v>92</v>
      </c>
      <c r="AM116" s="12" t="s">
        <v>268</v>
      </c>
      <c r="AN116" s="12" t="s">
        <v>268</v>
      </c>
      <c r="AO116" s="12" t="s">
        <v>268</v>
      </c>
      <c r="AP116" s="12" t="s">
        <v>268</v>
      </c>
      <c r="AQ116" s="12" t="s">
        <v>268</v>
      </c>
      <c r="AR116" s="28" t="str">
        <f t="shared" ca="1" si="8"/>
        <v/>
      </c>
      <c r="AS116" s="28" t="str">
        <f t="shared" ca="1" si="9"/>
        <v/>
      </c>
    </row>
    <row r="117" spans="2:45" ht="27.6" customHeight="1">
      <c r="B117">
        <f t="shared" ca="1" si="5"/>
        <v>0</v>
      </c>
      <c r="C117" t="s">
        <v>85</v>
      </c>
      <c r="D117" t="s">
        <v>92</v>
      </c>
      <c r="E117" t="s">
        <v>92</v>
      </c>
      <c r="F117" t="s">
        <v>92</v>
      </c>
      <c r="G117" t="s">
        <v>92</v>
      </c>
      <c r="H117" t="s">
        <v>92</v>
      </c>
      <c r="I117" s="12" t="s">
        <v>268</v>
      </c>
      <c r="J117" t="s">
        <v>278</v>
      </c>
      <c r="L117" t="s">
        <v>92</v>
      </c>
      <c r="N117" s="14">
        <v>1</v>
      </c>
      <c r="P117" s="12" t="s">
        <v>268</v>
      </c>
      <c r="W117" s="9" t="str">
        <f t="shared" ca="1" si="6"/>
        <v>18.5%</v>
      </c>
      <c r="X117" t="s">
        <v>321</v>
      </c>
      <c r="Y117" s="9" t="str">
        <f t="shared" ca="1" si="7"/>
        <v>Sin costo</v>
      </c>
      <c r="Z117" t="s">
        <v>327</v>
      </c>
      <c r="AA117" t="s">
        <v>329</v>
      </c>
      <c r="AB117" t="s">
        <v>334</v>
      </c>
      <c r="AC117" s="12" t="s">
        <v>339</v>
      </c>
      <c r="AE117" t="s">
        <v>268</v>
      </c>
      <c r="AG117" s="12" t="s">
        <v>268</v>
      </c>
      <c r="AH117" t="s">
        <v>92</v>
      </c>
      <c r="AI117" s="12" t="s">
        <v>268</v>
      </c>
      <c r="AJ117" t="s">
        <v>92</v>
      </c>
      <c r="AK117" t="s">
        <v>92</v>
      </c>
      <c r="AL117" t="s">
        <v>92</v>
      </c>
      <c r="AM117" s="12" t="s">
        <v>268</v>
      </c>
      <c r="AN117" s="12" t="s">
        <v>268</v>
      </c>
      <c r="AO117" s="12" t="s">
        <v>268</v>
      </c>
      <c r="AP117" s="12" t="s">
        <v>268</v>
      </c>
      <c r="AQ117" s="12" t="s">
        <v>268</v>
      </c>
      <c r="AR117" s="28" t="str">
        <f t="shared" ca="1" si="8"/>
        <v/>
      </c>
      <c r="AS117" s="28" t="str">
        <f t="shared" ca="1" si="9"/>
        <v/>
      </c>
    </row>
    <row r="118" spans="2:45" ht="27.6" customHeight="1">
      <c r="B118">
        <f t="shared" ca="1" si="5"/>
        <v>0</v>
      </c>
      <c r="C118" t="s">
        <v>85</v>
      </c>
      <c r="D118" t="s">
        <v>92</v>
      </c>
      <c r="E118" t="s">
        <v>92</v>
      </c>
      <c r="F118" t="s">
        <v>92</v>
      </c>
      <c r="G118" t="s">
        <v>92</v>
      </c>
      <c r="H118" t="s">
        <v>92</v>
      </c>
      <c r="I118" s="12" t="s">
        <v>268</v>
      </c>
      <c r="J118" t="s">
        <v>278</v>
      </c>
      <c r="L118" t="s">
        <v>92</v>
      </c>
      <c r="N118" s="14">
        <v>1</v>
      </c>
      <c r="P118" s="12" t="s">
        <v>268</v>
      </c>
      <c r="W118" s="9" t="str">
        <f t="shared" ca="1" si="6"/>
        <v>18.5%</v>
      </c>
      <c r="X118" t="s">
        <v>321</v>
      </c>
      <c r="Y118" s="9" t="str">
        <f t="shared" ca="1" si="7"/>
        <v>Sin costo</v>
      </c>
      <c r="Z118" t="s">
        <v>327</v>
      </c>
      <c r="AA118" t="s">
        <v>329</v>
      </c>
      <c r="AB118" t="s">
        <v>334</v>
      </c>
      <c r="AC118" s="12" t="s">
        <v>339</v>
      </c>
      <c r="AE118" t="s">
        <v>268</v>
      </c>
      <c r="AG118" s="12" t="s">
        <v>268</v>
      </c>
      <c r="AH118" t="s">
        <v>92</v>
      </c>
      <c r="AI118" s="12" t="s">
        <v>268</v>
      </c>
      <c r="AJ118" t="s">
        <v>92</v>
      </c>
      <c r="AK118" t="s">
        <v>92</v>
      </c>
      <c r="AL118" t="s">
        <v>92</v>
      </c>
      <c r="AM118" s="12" t="s">
        <v>268</v>
      </c>
      <c r="AN118" s="12" t="s">
        <v>268</v>
      </c>
      <c r="AO118" s="12" t="s">
        <v>268</v>
      </c>
      <c r="AP118" s="12" t="s">
        <v>268</v>
      </c>
      <c r="AQ118" s="12" t="s">
        <v>268</v>
      </c>
      <c r="AR118" s="28" t="str">
        <f t="shared" ca="1" si="8"/>
        <v/>
      </c>
      <c r="AS118" s="28" t="str">
        <f t="shared" ca="1" si="9"/>
        <v/>
      </c>
    </row>
    <row r="119" spans="2:45" ht="27.6" customHeight="1">
      <c r="B119">
        <f t="shared" ca="1" si="5"/>
        <v>0</v>
      </c>
      <c r="C119" t="s">
        <v>85</v>
      </c>
      <c r="D119" t="s">
        <v>92</v>
      </c>
      <c r="E119" t="s">
        <v>92</v>
      </c>
      <c r="F119" t="s">
        <v>92</v>
      </c>
      <c r="G119" t="s">
        <v>92</v>
      </c>
      <c r="H119" t="s">
        <v>92</v>
      </c>
      <c r="I119" s="12" t="s">
        <v>268</v>
      </c>
      <c r="J119" t="s">
        <v>278</v>
      </c>
      <c r="L119" t="s">
        <v>92</v>
      </c>
      <c r="N119" s="14">
        <v>1</v>
      </c>
      <c r="P119" s="12" t="s">
        <v>268</v>
      </c>
      <c r="W119" s="9" t="str">
        <f t="shared" ca="1" si="6"/>
        <v>18.5%</v>
      </c>
      <c r="X119" t="s">
        <v>321</v>
      </c>
      <c r="Y119" s="9" t="str">
        <f t="shared" ca="1" si="7"/>
        <v>Sin costo</v>
      </c>
      <c r="Z119" t="s">
        <v>327</v>
      </c>
      <c r="AA119" t="s">
        <v>329</v>
      </c>
      <c r="AB119" t="s">
        <v>334</v>
      </c>
      <c r="AC119" s="12" t="s">
        <v>339</v>
      </c>
      <c r="AE119" t="s">
        <v>268</v>
      </c>
      <c r="AG119" s="12" t="s">
        <v>268</v>
      </c>
      <c r="AH119" t="s">
        <v>92</v>
      </c>
      <c r="AI119" s="12" t="s">
        <v>268</v>
      </c>
      <c r="AJ119" t="s">
        <v>92</v>
      </c>
      <c r="AK119" t="s">
        <v>92</v>
      </c>
      <c r="AL119" t="s">
        <v>92</v>
      </c>
      <c r="AM119" s="12" t="s">
        <v>268</v>
      </c>
      <c r="AN119" s="12" t="s">
        <v>268</v>
      </c>
      <c r="AO119" s="12" t="s">
        <v>268</v>
      </c>
      <c r="AP119" s="12" t="s">
        <v>268</v>
      </c>
      <c r="AQ119" s="12" t="s">
        <v>268</v>
      </c>
      <c r="AR119" s="28" t="str">
        <f t="shared" ca="1" si="8"/>
        <v/>
      </c>
      <c r="AS119" s="28" t="str">
        <f t="shared" ca="1" si="9"/>
        <v/>
      </c>
    </row>
    <row r="120" spans="2:45" ht="27.6" customHeight="1">
      <c r="B120">
        <f t="shared" ca="1" si="5"/>
        <v>0</v>
      </c>
      <c r="C120" t="s">
        <v>85</v>
      </c>
      <c r="D120" t="s">
        <v>92</v>
      </c>
      <c r="E120" t="s">
        <v>92</v>
      </c>
      <c r="F120" t="s">
        <v>92</v>
      </c>
      <c r="G120" t="s">
        <v>92</v>
      </c>
      <c r="H120" t="s">
        <v>92</v>
      </c>
      <c r="I120" s="12" t="s">
        <v>268</v>
      </c>
      <c r="J120" t="s">
        <v>278</v>
      </c>
      <c r="L120" t="s">
        <v>92</v>
      </c>
      <c r="N120" s="14">
        <v>1</v>
      </c>
      <c r="P120" s="12" t="s">
        <v>268</v>
      </c>
      <c r="W120" s="9" t="str">
        <f t="shared" ca="1" si="6"/>
        <v>18.5%</v>
      </c>
      <c r="X120" t="s">
        <v>321</v>
      </c>
      <c r="Y120" s="9" t="str">
        <f t="shared" ca="1" si="7"/>
        <v>Sin costo</v>
      </c>
      <c r="Z120" t="s">
        <v>327</v>
      </c>
      <c r="AA120" t="s">
        <v>329</v>
      </c>
      <c r="AB120" t="s">
        <v>334</v>
      </c>
      <c r="AC120" s="12" t="s">
        <v>339</v>
      </c>
      <c r="AE120" t="s">
        <v>268</v>
      </c>
      <c r="AG120" s="12" t="s">
        <v>268</v>
      </c>
      <c r="AH120" t="s">
        <v>92</v>
      </c>
      <c r="AI120" s="12" t="s">
        <v>268</v>
      </c>
      <c r="AJ120" t="s">
        <v>92</v>
      </c>
      <c r="AK120" t="s">
        <v>92</v>
      </c>
      <c r="AL120" t="s">
        <v>92</v>
      </c>
      <c r="AM120" s="12" t="s">
        <v>268</v>
      </c>
      <c r="AN120" s="12" t="s">
        <v>268</v>
      </c>
      <c r="AO120" s="12" t="s">
        <v>268</v>
      </c>
      <c r="AP120" s="12" t="s">
        <v>268</v>
      </c>
      <c r="AQ120" s="12" t="s">
        <v>268</v>
      </c>
      <c r="AR120" s="28" t="str">
        <f t="shared" ca="1" si="8"/>
        <v/>
      </c>
      <c r="AS120" s="28" t="str">
        <f t="shared" ca="1" si="9"/>
        <v/>
      </c>
    </row>
    <row r="121" spans="2:45" ht="27.6" customHeight="1">
      <c r="B121">
        <f t="shared" ca="1" si="5"/>
        <v>0</v>
      </c>
      <c r="C121" t="s">
        <v>85</v>
      </c>
      <c r="D121" t="s">
        <v>92</v>
      </c>
      <c r="E121" t="s">
        <v>92</v>
      </c>
      <c r="F121" t="s">
        <v>92</v>
      </c>
      <c r="G121" t="s">
        <v>92</v>
      </c>
      <c r="H121" t="s">
        <v>92</v>
      </c>
      <c r="I121" s="12" t="s">
        <v>268</v>
      </c>
      <c r="J121" t="s">
        <v>278</v>
      </c>
      <c r="L121" t="s">
        <v>92</v>
      </c>
      <c r="N121" s="14">
        <v>1</v>
      </c>
      <c r="P121" s="12" t="s">
        <v>268</v>
      </c>
      <c r="W121" s="9" t="str">
        <f t="shared" ca="1" si="6"/>
        <v>18.5%</v>
      </c>
      <c r="X121" t="s">
        <v>321</v>
      </c>
      <c r="Y121" s="9" t="str">
        <f t="shared" ca="1" si="7"/>
        <v>Sin costo</v>
      </c>
      <c r="Z121" t="s">
        <v>327</v>
      </c>
      <c r="AA121" t="s">
        <v>329</v>
      </c>
      <c r="AB121" t="s">
        <v>334</v>
      </c>
      <c r="AC121" s="12" t="s">
        <v>339</v>
      </c>
      <c r="AE121" t="s">
        <v>268</v>
      </c>
      <c r="AG121" s="12" t="s">
        <v>268</v>
      </c>
      <c r="AH121" t="s">
        <v>92</v>
      </c>
      <c r="AI121" s="12" t="s">
        <v>268</v>
      </c>
      <c r="AJ121" t="s">
        <v>92</v>
      </c>
      <c r="AK121" t="s">
        <v>92</v>
      </c>
      <c r="AL121" t="s">
        <v>92</v>
      </c>
      <c r="AM121" s="12" t="s">
        <v>268</v>
      </c>
      <c r="AN121" s="12" t="s">
        <v>268</v>
      </c>
      <c r="AO121" s="12" t="s">
        <v>268</v>
      </c>
      <c r="AP121" s="12" t="s">
        <v>268</v>
      </c>
      <c r="AQ121" s="12" t="s">
        <v>268</v>
      </c>
      <c r="AR121" s="28" t="str">
        <f t="shared" ca="1" si="8"/>
        <v/>
      </c>
      <c r="AS121" s="28" t="str">
        <f t="shared" ca="1" si="9"/>
        <v/>
      </c>
    </row>
    <row r="122" spans="2:45" ht="27.6" customHeight="1">
      <c r="B122">
        <f t="shared" ca="1" si="5"/>
        <v>0</v>
      </c>
      <c r="C122" t="s">
        <v>85</v>
      </c>
      <c r="D122" t="s">
        <v>92</v>
      </c>
      <c r="E122" t="s">
        <v>92</v>
      </c>
      <c r="F122" t="s">
        <v>92</v>
      </c>
      <c r="G122" t="s">
        <v>92</v>
      </c>
      <c r="H122" t="s">
        <v>92</v>
      </c>
      <c r="I122" s="12" t="s">
        <v>268</v>
      </c>
      <c r="J122" t="s">
        <v>278</v>
      </c>
      <c r="L122" t="s">
        <v>92</v>
      </c>
      <c r="N122" s="14">
        <v>1</v>
      </c>
      <c r="P122" s="12" t="s">
        <v>268</v>
      </c>
      <c r="W122" s="9" t="str">
        <f t="shared" ca="1" si="6"/>
        <v>18.5%</v>
      </c>
      <c r="X122" t="s">
        <v>321</v>
      </c>
      <c r="Y122" s="9" t="str">
        <f t="shared" ca="1" si="7"/>
        <v>Sin costo</v>
      </c>
      <c r="Z122" t="s">
        <v>327</v>
      </c>
      <c r="AA122" t="s">
        <v>329</v>
      </c>
      <c r="AB122" t="s">
        <v>334</v>
      </c>
      <c r="AC122" s="12" t="s">
        <v>339</v>
      </c>
      <c r="AE122" t="s">
        <v>268</v>
      </c>
      <c r="AG122" s="12" t="s">
        <v>268</v>
      </c>
      <c r="AH122" t="s">
        <v>92</v>
      </c>
      <c r="AI122" s="12" t="s">
        <v>268</v>
      </c>
      <c r="AJ122" t="s">
        <v>92</v>
      </c>
      <c r="AK122" t="s">
        <v>92</v>
      </c>
      <c r="AL122" t="s">
        <v>92</v>
      </c>
      <c r="AM122" s="12" t="s">
        <v>268</v>
      </c>
      <c r="AN122" s="12" t="s">
        <v>268</v>
      </c>
      <c r="AO122" s="12" t="s">
        <v>268</v>
      </c>
      <c r="AP122" s="12" t="s">
        <v>268</v>
      </c>
      <c r="AQ122" s="12" t="s">
        <v>268</v>
      </c>
      <c r="AR122" s="28" t="str">
        <f t="shared" ca="1" si="8"/>
        <v/>
      </c>
      <c r="AS122" s="28" t="str">
        <f t="shared" ca="1" si="9"/>
        <v/>
      </c>
    </row>
    <row r="123" spans="2:45" ht="27.6" customHeight="1">
      <c r="B123">
        <f t="shared" ca="1" si="5"/>
        <v>0</v>
      </c>
      <c r="C123" t="s">
        <v>85</v>
      </c>
      <c r="D123" t="s">
        <v>92</v>
      </c>
      <c r="E123" t="s">
        <v>92</v>
      </c>
      <c r="F123" t="s">
        <v>92</v>
      </c>
      <c r="G123" t="s">
        <v>92</v>
      </c>
      <c r="H123" t="s">
        <v>92</v>
      </c>
      <c r="I123" s="12" t="s">
        <v>268</v>
      </c>
      <c r="J123" t="s">
        <v>278</v>
      </c>
      <c r="L123" t="s">
        <v>92</v>
      </c>
      <c r="N123" s="14">
        <v>1</v>
      </c>
      <c r="P123" s="12" t="s">
        <v>268</v>
      </c>
      <c r="W123" s="9" t="str">
        <f t="shared" ca="1" si="6"/>
        <v>18.5%</v>
      </c>
      <c r="X123" t="s">
        <v>321</v>
      </c>
      <c r="Y123" s="9" t="str">
        <f t="shared" ca="1" si="7"/>
        <v>Sin costo</v>
      </c>
      <c r="Z123" t="s">
        <v>327</v>
      </c>
      <c r="AA123" t="s">
        <v>329</v>
      </c>
      <c r="AB123" t="s">
        <v>334</v>
      </c>
      <c r="AC123" s="12" t="s">
        <v>339</v>
      </c>
      <c r="AE123" t="s">
        <v>268</v>
      </c>
      <c r="AG123" s="12" t="s">
        <v>268</v>
      </c>
      <c r="AH123" t="s">
        <v>92</v>
      </c>
      <c r="AI123" s="12" t="s">
        <v>268</v>
      </c>
      <c r="AJ123" t="s">
        <v>92</v>
      </c>
      <c r="AK123" t="s">
        <v>92</v>
      </c>
      <c r="AL123" t="s">
        <v>92</v>
      </c>
      <c r="AM123" s="12" t="s">
        <v>268</v>
      </c>
      <c r="AN123" s="12" t="s">
        <v>268</v>
      </c>
      <c r="AO123" s="12" t="s">
        <v>268</v>
      </c>
      <c r="AP123" s="12" t="s">
        <v>268</v>
      </c>
      <c r="AQ123" s="12" t="s">
        <v>268</v>
      </c>
      <c r="AR123" s="28" t="str">
        <f t="shared" ca="1" si="8"/>
        <v/>
      </c>
      <c r="AS123" s="28" t="str">
        <f t="shared" ca="1" si="9"/>
        <v/>
      </c>
    </row>
    <row r="124" spans="2:45" ht="27.6" customHeight="1">
      <c r="B124">
        <f t="shared" ca="1" si="5"/>
        <v>0</v>
      </c>
      <c r="C124" t="s">
        <v>85</v>
      </c>
      <c r="D124" t="s">
        <v>92</v>
      </c>
      <c r="E124" t="s">
        <v>92</v>
      </c>
      <c r="F124" t="s">
        <v>92</v>
      </c>
      <c r="G124" t="s">
        <v>92</v>
      </c>
      <c r="H124" t="s">
        <v>92</v>
      </c>
      <c r="I124" s="12" t="s">
        <v>268</v>
      </c>
      <c r="J124" t="s">
        <v>278</v>
      </c>
      <c r="L124" t="s">
        <v>92</v>
      </c>
      <c r="N124" s="14">
        <v>1</v>
      </c>
      <c r="P124" s="12" t="s">
        <v>268</v>
      </c>
      <c r="W124" s="9" t="str">
        <f t="shared" ca="1" si="6"/>
        <v>18.5%</v>
      </c>
      <c r="X124" t="s">
        <v>321</v>
      </c>
      <c r="Y124" s="9" t="str">
        <f t="shared" ca="1" si="7"/>
        <v>Sin costo</v>
      </c>
      <c r="Z124" t="s">
        <v>327</v>
      </c>
      <c r="AA124" t="s">
        <v>329</v>
      </c>
      <c r="AB124" t="s">
        <v>334</v>
      </c>
      <c r="AC124" s="12" t="s">
        <v>339</v>
      </c>
      <c r="AE124" t="s">
        <v>268</v>
      </c>
      <c r="AG124" s="12" t="s">
        <v>268</v>
      </c>
      <c r="AH124" t="s">
        <v>92</v>
      </c>
      <c r="AI124" s="12" t="s">
        <v>268</v>
      </c>
      <c r="AJ124" t="s">
        <v>92</v>
      </c>
      <c r="AK124" t="s">
        <v>92</v>
      </c>
      <c r="AL124" t="s">
        <v>92</v>
      </c>
      <c r="AM124" s="12" t="s">
        <v>268</v>
      </c>
      <c r="AN124" s="12" t="s">
        <v>268</v>
      </c>
      <c r="AO124" s="12" t="s">
        <v>268</v>
      </c>
      <c r="AP124" s="12" t="s">
        <v>268</v>
      </c>
      <c r="AQ124" s="12" t="s">
        <v>268</v>
      </c>
      <c r="AR124" s="28" t="str">
        <f t="shared" ca="1" si="8"/>
        <v/>
      </c>
      <c r="AS124" s="28" t="str">
        <f t="shared" ca="1" si="9"/>
        <v/>
      </c>
    </row>
    <row r="125" spans="2:45" ht="27.6" customHeight="1">
      <c r="B125">
        <f t="shared" ca="1" si="5"/>
        <v>0</v>
      </c>
      <c r="C125" t="s">
        <v>85</v>
      </c>
      <c r="D125" t="s">
        <v>92</v>
      </c>
      <c r="E125" t="s">
        <v>92</v>
      </c>
      <c r="F125" t="s">
        <v>92</v>
      </c>
      <c r="G125" t="s">
        <v>92</v>
      </c>
      <c r="H125" t="s">
        <v>92</v>
      </c>
      <c r="I125" s="12" t="s">
        <v>268</v>
      </c>
      <c r="J125" t="s">
        <v>278</v>
      </c>
      <c r="L125" t="s">
        <v>92</v>
      </c>
      <c r="N125" s="14">
        <v>1</v>
      </c>
      <c r="P125" s="12" t="s">
        <v>268</v>
      </c>
      <c r="W125" s="9" t="str">
        <f t="shared" ca="1" si="6"/>
        <v>18.5%</v>
      </c>
      <c r="X125" t="s">
        <v>321</v>
      </c>
      <c r="Y125" s="9" t="str">
        <f t="shared" ca="1" si="7"/>
        <v>Sin costo</v>
      </c>
      <c r="Z125" t="s">
        <v>327</v>
      </c>
      <c r="AA125" t="s">
        <v>329</v>
      </c>
      <c r="AB125" t="s">
        <v>334</v>
      </c>
      <c r="AC125" s="12" t="s">
        <v>339</v>
      </c>
      <c r="AE125" t="s">
        <v>268</v>
      </c>
      <c r="AG125" s="12" t="s">
        <v>268</v>
      </c>
      <c r="AH125" t="s">
        <v>92</v>
      </c>
      <c r="AI125" s="12" t="s">
        <v>268</v>
      </c>
      <c r="AJ125" t="s">
        <v>92</v>
      </c>
      <c r="AK125" t="s">
        <v>92</v>
      </c>
      <c r="AL125" t="s">
        <v>92</v>
      </c>
      <c r="AM125" s="12" t="s">
        <v>268</v>
      </c>
      <c r="AN125" s="12" t="s">
        <v>268</v>
      </c>
      <c r="AO125" s="12" t="s">
        <v>268</v>
      </c>
      <c r="AP125" s="12" t="s">
        <v>268</v>
      </c>
      <c r="AQ125" s="12" t="s">
        <v>268</v>
      </c>
      <c r="AR125" s="28" t="str">
        <f t="shared" ca="1" si="8"/>
        <v/>
      </c>
      <c r="AS125" s="28" t="str">
        <f t="shared" ca="1" si="9"/>
        <v/>
      </c>
    </row>
    <row r="126" spans="2:45" ht="27.6" customHeight="1">
      <c r="B126">
        <f t="shared" ca="1" si="5"/>
        <v>0</v>
      </c>
      <c r="C126" t="s">
        <v>85</v>
      </c>
      <c r="D126" t="s">
        <v>92</v>
      </c>
      <c r="E126" t="s">
        <v>92</v>
      </c>
      <c r="F126" t="s">
        <v>92</v>
      </c>
      <c r="G126" t="s">
        <v>92</v>
      </c>
      <c r="H126" t="s">
        <v>92</v>
      </c>
      <c r="I126" s="12" t="s">
        <v>268</v>
      </c>
      <c r="J126" t="s">
        <v>278</v>
      </c>
      <c r="L126" t="s">
        <v>92</v>
      </c>
      <c r="N126" s="14">
        <v>1</v>
      </c>
      <c r="P126" s="12" t="s">
        <v>268</v>
      </c>
      <c r="W126" s="9" t="str">
        <f t="shared" ca="1" si="6"/>
        <v>18.5%</v>
      </c>
      <c r="X126" t="s">
        <v>321</v>
      </c>
      <c r="Y126" s="9" t="str">
        <f t="shared" ca="1" si="7"/>
        <v>Sin costo</v>
      </c>
      <c r="Z126" t="s">
        <v>327</v>
      </c>
      <c r="AA126" t="s">
        <v>329</v>
      </c>
      <c r="AB126" t="s">
        <v>334</v>
      </c>
      <c r="AC126" s="12" t="s">
        <v>339</v>
      </c>
      <c r="AE126" t="s">
        <v>268</v>
      </c>
      <c r="AG126" s="12" t="s">
        <v>268</v>
      </c>
      <c r="AH126" t="s">
        <v>92</v>
      </c>
      <c r="AI126" s="12" t="s">
        <v>268</v>
      </c>
      <c r="AJ126" t="s">
        <v>92</v>
      </c>
      <c r="AK126" t="s">
        <v>92</v>
      </c>
      <c r="AL126" t="s">
        <v>92</v>
      </c>
      <c r="AM126" s="12" t="s">
        <v>268</v>
      </c>
      <c r="AN126" s="12" t="s">
        <v>268</v>
      </c>
      <c r="AO126" s="12" t="s">
        <v>268</v>
      </c>
      <c r="AP126" s="12" t="s">
        <v>268</v>
      </c>
      <c r="AQ126" s="12" t="s">
        <v>268</v>
      </c>
      <c r="AR126" s="28" t="str">
        <f t="shared" ca="1" si="8"/>
        <v/>
      </c>
      <c r="AS126" s="28" t="str">
        <f t="shared" ca="1" si="9"/>
        <v/>
      </c>
    </row>
    <row r="127" spans="2:45" ht="27.6" customHeight="1">
      <c r="B127">
        <f t="shared" ca="1" si="5"/>
        <v>0</v>
      </c>
      <c r="C127" t="s">
        <v>85</v>
      </c>
      <c r="D127" t="s">
        <v>92</v>
      </c>
      <c r="E127" t="s">
        <v>92</v>
      </c>
      <c r="F127" t="s">
        <v>92</v>
      </c>
      <c r="G127" t="s">
        <v>92</v>
      </c>
      <c r="H127" t="s">
        <v>92</v>
      </c>
      <c r="I127" s="12" t="s">
        <v>268</v>
      </c>
      <c r="J127" t="s">
        <v>278</v>
      </c>
      <c r="L127" t="s">
        <v>92</v>
      </c>
      <c r="N127" s="14">
        <v>1</v>
      </c>
      <c r="P127" s="12" t="s">
        <v>268</v>
      </c>
      <c r="W127" s="9" t="str">
        <f t="shared" ca="1" si="6"/>
        <v>18.5%</v>
      </c>
      <c r="X127" t="s">
        <v>321</v>
      </c>
      <c r="Y127" s="9" t="str">
        <f t="shared" ca="1" si="7"/>
        <v>Sin costo</v>
      </c>
      <c r="Z127" t="s">
        <v>327</v>
      </c>
      <c r="AA127" t="s">
        <v>329</v>
      </c>
      <c r="AB127" t="s">
        <v>334</v>
      </c>
      <c r="AC127" s="12" t="s">
        <v>339</v>
      </c>
      <c r="AE127" t="s">
        <v>268</v>
      </c>
      <c r="AG127" s="12" t="s">
        <v>268</v>
      </c>
      <c r="AH127" t="s">
        <v>92</v>
      </c>
      <c r="AI127" s="12" t="s">
        <v>268</v>
      </c>
      <c r="AJ127" t="s">
        <v>92</v>
      </c>
      <c r="AK127" t="s">
        <v>92</v>
      </c>
      <c r="AL127" t="s">
        <v>92</v>
      </c>
      <c r="AM127" s="12" t="s">
        <v>268</v>
      </c>
      <c r="AN127" s="12" t="s">
        <v>268</v>
      </c>
      <c r="AO127" s="12" t="s">
        <v>268</v>
      </c>
      <c r="AP127" s="12" t="s">
        <v>268</v>
      </c>
      <c r="AQ127" s="12" t="s">
        <v>268</v>
      </c>
      <c r="AR127" s="28" t="str">
        <f t="shared" ca="1" si="8"/>
        <v/>
      </c>
      <c r="AS127" s="28" t="str">
        <f t="shared" ca="1" si="9"/>
        <v/>
      </c>
    </row>
    <row r="128" spans="2:45" ht="27.6" customHeight="1">
      <c r="B128">
        <f t="shared" ca="1" si="5"/>
        <v>0</v>
      </c>
      <c r="C128" t="s">
        <v>85</v>
      </c>
      <c r="D128" t="s">
        <v>92</v>
      </c>
      <c r="E128" t="s">
        <v>92</v>
      </c>
      <c r="F128" t="s">
        <v>92</v>
      </c>
      <c r="G128" t="s">
        <v>92</v>
      </c>
      <c r="H128" t="s">
        <v>92</v>
      </c>
      <c r="I128" s="12" t="s">
        <v>268</v>
      </c>
      <c r="J128" t="s">
        <v>278</v>
      </c>
      <c r="L128" t="s">
        <v>92</v>
      </c>
      <c r="N128" s="14">
        <v>1</v>
      </c>
      <c r="P128" s="12" t="s">
        <v>268</v>
      </c>
      <c r="W128" s="9" t="str">
        <f t="shared" ca="1" si="6"/>
        <v>18.5%</v>
      </c>
      <c r="X128" t="s">
        <v>321</v>
      </c>
      <c r="Y128" s="9" t="str">
        <f t="shared" ca="1" si="7"/>
        <v>Sin costo</v>
      </c>
      <c r="Z128" t="s">
        <v>327</v>
      </c>
      <c r="AA128" t="s">
        <v>329</v>
      </c>
      <c r="AB128" t="s">
        <v>334</v>
      </c>
      <c r="AC128" s="12" t="s">
        <v>339</v>
      </c>
      <c r="AE128" t="s">
        <v>268</v>
      </c>
      <c r="AG128" s="12" t="s">
        <v>268</v>
      </c>
      <c r="AH128" t="s">
        <v>92</v>
      </c>
      <c r="AI128" s="12" t="s">
        <v>268</v>
      </c>
      <c r="AJ128" t="s">
        <v>92</v>
      </c>
      <c r="AK128" t="s">
        <v>92</v>
      </c>
      <c r="AL128" t="s">
        <v>92</v>
      </c>
      <c r="AM128" s="12" t="s">
        <v>268</v>
      </c>
      <c r="AN128" s="12" t="s">
        <v>268</v>
      </c>
      <c r="AO128" s="12" t="s">
        <v>268</v>
      </c>
      <c r="AP128" s="12" t="s">
        <v>268</v>
      </c>
      <c r="AQ128" s="12" t="s">
        <v>268</v>
      </c>
      <c r="AR128" s="28" t="str">
        <f t="shared" ca="1" si="8"/>
        <v/>
      </c>
      <c r="AS128" s="28" t="str">
        <f t="shared" ca="1" si="9"/>
        <v/>
      </c>
    </row>
    <row r="129" spans="2:45" ht="27.6" customHeight="1">
      <c r="B129">
        <f t="shared" ca="1" si="5"/>
        <v>0</v>
      </c>
      <c r="C129" t="s">
        <v>85</v>
      </c>
      <c r="D129" t="s">
        <v>92</v>
      </c>
      <c r="E129" t="s">
        <v>92</v>
      </c>
      <c r="F129" t="s">
        <v>92</v>
      </c>
      <c r="G129" t="s">
        <v>92</v>
      </c>
      <c r="H129" t="s">
        <v>92</v>
      </c>
      <c r="I129" s="12" t="s">
        <v>268</v>
      </c>
      <c r="J129" t="s">
        <v>278</v>
      </c>
      <c r="L129" t="s">
        <v>92</v>
      </c>
      <c r="N129" s="14">
        <v>1</v>
      </c>
      <c r="P129" s="12" t="s">
        <v>268</v>
      </c>
      <c r="W129" s="9" t="str">
        <f t="shared" ca="1" si="6"/>
        <v>18.5%</v>
      </c>
      <c r="X129" t="s">
        <v>321</v>
      </c>
      <c r="Y129" s="9" t="str">
        <f t="shared" ca="1" si="7"/>
        <v>Sin costo</v>
      </c>
      <c r="Z129" t="s">
        <v>327</v>
      </c>
      <c r="AA129" t="s">
        <v>329</v>
      </c>
      <c r="AB129" t="s">
        <v>334</v>
      </c>
      <c r="AC129" s="12" t="s">
        <v>339</v>
      </c>
      <c r="AE129" t="s">
        <v>268</v>
      </c>
      <c r="AG129" s="12" t="s">
        <v>268</v>
      </c>
      <c r="AH129" t="s">
        <v>92</v>
      </c>
      <c r="AI129" s="12" t="s">
        <v>268</v>
      </c>
      <c r="AJ129" t="s">
        <v>92</v>
      </c>
      <c r="AK129" t="s">
        <v>92</v>
      </c>
      <c r="AL129" t="s">
        <v>92</v>
      </c>
      <c r="AM129" s="12" t="s">
        <v>268</v>
      </c>
      <c r="AN129" s="12" t="s">
        <v>268</v>
      </c>
      <c r="AO129" s="12" t="s">
        <v>268</v>
      </c>
      <c r="AP129" s="12" t="s">
        <v>268</v>
      </c>
      <c r="AQ129" s="12" t="s">
        <v>268</v>
      </c>
      <c r="AR129" s="28" t="str">
        <f t="shared" ca="1" si="8"/>
        <v/>
      </c>
      <c r="AS129" s="28" t="str">
        <f t="shared" ca="1" si="9"/>
        <v/>
      </c>
    </row>
    <row r="130" spans="2:45" ht="27.6" customHeight="1">
      <c r="B130">
        <f t="shared" ca="1" si="5"/>
        <v>0</v>
      </c>
      <c r="C130" t="s">
        <v>85</v>
      </c>
      <c r="D130" t="s">
        <v>92</v>
      </c>
      <c r="E130" t="s">
        <v>92</v>
      </c>
      <c r="F130" t="s">
        <v>92</v>
      </c>
      <c r="G130" t="s">
        <v>92</v>
      </c>
      <c r="H130" t="s">
        <v>92</v>
      </c>
      <c r="I130" s="12" t="s">
        <v>268</v>
      </c>
      <c r="J130" t="s">
        <v>278</v>
      </c>
      <c r="L130" t="s">
        <v>92</v>
      </c>
      <c r="N130" s="14">
        <v>1</v>
      </c>
      <c r="P130" s="12" t="s">
        <v>268</v>
      </c>
      <c r="W130" s="9" t="str">
        <f t="shared" ca="1" si="6"/>
        <v>18.5%</v>
      </c>
      <c r="X130" t="s">
        <v>321</v>
      </c>
      <c r="Y130" s="9" t="str">
        <f t="shared" ca="1" si="7"/>
        <v>Sin costo</v>
      </c>
      <c r="Z130" t="s">
        <v>327</v>
      </c>
      <c r="AA130" t="s">
        <v>329</v>
      </c>
      <c r="AB130" t="s">
        <v>334</v>
      </c>
      <c r="AC130" s="12" t="s">
        <v>339</v>
      </c>
      <c r="AE130" t="s">
        <v>268</v>
      </c>
      <c r="AG130" s="12" t="s">
        <v>268</v>
      </c>
      <c r="AH130" t="s">
        <v>92</v>
      </c>
      <c r="AI130" s="12" t="s">
        <v>268</v>
      </c>
      <c r="AJ130" t="s">
        <v>92</v>
      </c>
      <c r="AK130" t="s">
        <v>92</v>
      </c>
      <c r="AL130" t="s">
        <v>92</v>
      </c>
      <c r="AM130" s="12" t="s">
        <v>268</v>
      </c>
      <c r="AN130" s="12" t="s">
        <v>268</v>
      </c>
      <c r="AO130" s="12" t="s">
        <v>268</v>
      </c>
      <c r="AP130" s="12" t="s">
        <v>268</v>
      </c>
      <c r="AQ130" s="12" t="s">
        <v>268</v>
      </c>
      <c r="AR130" s="28" t="str">
        <f t="shared" ca="1" si="8"/>
        <v/>
      </c>
      <c r="AS130" s="28" t="str">
        <f t="shared" ca="1" si="9"/>
        <v/>
      </c>
    </row>
    <row r="131" spans="2:45" ht="27.6" customHeight="1">
      <c r="B131">
        <f t="shared" ca="1" si="5"/>
        <v>0</v>
      </c>
      <c r="C131" t="s">
        <v>85</v>
      </c>
      <c r="D131" t="s">
        <v>92</v>
      </c>
      <c r="E131" t="s">
        <v>92</v>
      </c>
      <c r="F131" t="s">
        <v>92</v>
      </c>
      <c r="G131" t="s">
        <v>92</v>
      </c>
      <c r="H131" t="s">
        <v>92</v>
      </c>
      <c r="I131" s="12" t="s">
        <v>268</v>
      </c>
      <c r="J131" t="s">
        <v>278</v>
      </c>
      <c r="L131" t="s">
        <v>92</v>
      </c>
      <c r="N131" s="14">
        <v>1</v>
      </c>
      <c r="P131" s="12" t="s">
        <v>268</v>
      </c>
      <c r="W131" s="9" t="str">
        <f t="shared" ca="1" si="6"/>
        <v>18.5%</v>
      </c>
      <c r="X131" t="s">
        <v>321</v>
      </c>
      <c r="Y131" s="9" t="str">
        <f t="shared" ca="1" si="7"/>
        <v>Sin costo</v>
      </c>
      <c r="Z131" t="s">
        <v>327</v>
      </c>
      <c r="AA131" t="s">
        <v>329</v>
      </c>
      <c r="AB131" t="s">
        <v>334</v>
      </c>
      <c r="AC131" s="12" t="s">
        <v>339</v>
      </c>
      <c r="AE131" t="s">
        <v>268</v>
      </c>
      <c r="AG131" s="12" t="s">
        <v>268</v>
      </c>
      <c r="AH131" t="s">
        <v>92</v>
      </c>
      <c r="AI131" s="12" t="s">
        <v>268</v>
      </c>
      <c r="AJ131" t="s">
        <v>92</v>
      </c>
      <c r="AK131" t="s">
        <v>92</v>
      </c>
      <c r="AL131" t="s">
        <v>92</v>
      </c>
      <c r="AM131" s="12" t="s">
        <v>268</v>
      </c>
      <c r="AN131" s="12" t="s">
        <v>268</v>
      </c>
      <c r="AO131" s="12" t="s">
        <v>268</v>
      </c>
      <c r="AP131" s="12" t="s">
        <v>268</v>
      </c>
      <c r="AQ131" s="12" t="s">
        <v>268</v>
      </c>
      <c r="AR131" s="28" t="str">
        <f t="shared" ca="1" si="8"/>
        <v/>
      </c>
      <c r="AS131" s="28" t="str">
        <f t="shared" ca="1" si="9"/>
        <v/>
      </c>
    </row>
    <row r="132" spans="2:45" ht="27.6" customHeight="1">
      <c r="B132">
        <f t="shared" ca="1" si="5"/>
        <v>0</v>
      </c>
      <c r="C132" t="s">
        <v>85</v>
      </c>
      <c r="D132" t="s">
        <v>92</v>
      </c>
      <c r="E132" t="s">
        <v>92</v>
      </c>
      <c r="F132" t="s">
        <v>92</v>
      </c>
      <c r="G132" t="s">
        <v>92</v>
      </c>
      <c r="H132" t="s">
        <v>92</v>
      </c>
      <c r="I132" s="12" t="s">
        <v>268</v>
      </c>
      <c r="J132" t="s">
        <v>278</v>
      </c>
      <c r="L132" t="s">
        <v>92</v>
      </c>
      <c r="N132" s="14">
        <v>1</v>
      </c>
      <c r="P132" s="12" t="s">
        <v>268</v>
      </c>
      <c r="W132" s="9" t="str">
        <f t="shared" ca="1" si="6"/>
        <v>18.5%</v>
      </c>
      <c r="X132" t="s">
        <v>321</v>
      </c>
      <c r="Y132" s="9" t="str">
        <f t="shared" ca="1" si="7"/>
        <v>Sin costo</v>
      </c>
      <c r="Z132" t="s">
        <v>327</v>
      </c>
      <c r="AA132" t="s">
        <v>329</v>
      </c>
      <c r="AB132" t="s">
        <v>334</v>
      </c>
      <c r="AC132" s="12" t="s">
        <v>339</v>
      </c>
      <c r="AE132" t="s">
        <v>268</v>
      </c>
      <c r="AG132" s="12" t="s">
        <v>268</v>
      </c>
      <c r="AH132" t="s">
        <v>92</v>
      </c>
      <c r="AI132" s="12" t="s">
        <v>268</v>
      </c>
      <c r="AJ132" t="s">
        <v>92</v>
      </c>
      <c r="AK132" t="s">
        <v>92</v>
      </c>
      <c r="AL132" t="s">
        <v>92</v>
      </c>
      <c r="AM132" s="12" t="s">
        <v>268</v>
      </c>
      <c r="AN132" s="12" t="s">
        <v>268</v>
      </c>
      <c r="AO132" s="12" t="s">
        <v>268</v>
      </c>
      <c r="AP132" s="12" t="s">
        <v>268</v>
      </c>
      <c r="AQ132" s="12" t="s">
        <v>268</v>
      </c>
      <c r="AR132" s="28" t="str">
        <f t="shared" ca="1" si="8"/>
        <v/>
      </c>
      <c r="AS132" s="28" t="str">
        <f t="shared" ca="1" si="9"/>
        <v/>
      </c>
    </row>
    <row r="133" spans="2:45" ht="27.6" customHeight="1">
      <c r="B133">
        <f t="shared" ca="1" si="5"/>
        <v>0</v>
      </c>
      <c r="C133" t="s">
        <v>85</v>
      </c>
      <c r="D133" t="s">
        <v>92</v>
      </c>
      <c r="E133" t="s">
        <v>92</v>
      </c>
      <c r="F133" t="s">
        <v>92</v>
      </c>
      <c r="G133" t="s">
        <v>92</v>
      </c>
      <c r="H133" t="s">
        <v>92</v>
      </c>
      <c r="I133" s="12" t="s">
        <v>268</v>
      </c>
      <c r="J133" t="s">
        <v>278</v>
      </c>
      <c r="L133" t="s">
        <v>92</v>
      </c>
      <c r="N133" s="14">
        <v>1</v>
      </c>
      <c r="P133" s="12" t="s">
        <v>268</v>
      </c>
      <c r="W133" s="9" t="str">
        <f t="shared" ca="1" si="6"/>
        <v>18.5%</v>
      </c>
      <c r="X133" t="s">
        <v>321</v>
      </c>
      <c r="Y133" s="9" t="str">
        <f t="shared" ca="1" si="7"/>
        <v>Sin costo</v>
      </c>
      <c r="Z133" t="s">
        <v>327</v>
      </c>
      <c r="AA133" t="s">
        <v>329</v>
      </c>
      <c r="AB133" t="s">
        <v>334</v>
      </c>
      <c r="AC133" s="12" t="s">
        <v>339</v>
      </c>
      <c r="AE133" t="s">
        <v>268</v>
      </c>
      <c r="AG133" s="12" t="s">
        <v>268</v>
      </c>
      <c r="AH133" t="s">
        <v>92</v>
      </c>
      <c r="AI133" s="12" t="s">
        <v>268</v>
      </c>
      <c r="AJ133" t="s">
        <v>92</v>
      </c>
      <c r="AK133" t="s">
        <v>92</v>
      </c>
      <c r="AL133" t="s">
        <v>92</v>
      </c>
      <c r="AM133" s="12" t="s">
        <v>268</v>
      </c>
      <c r="AN133" s="12" t="s">
        <v>268</v>
      </c>
      <c r="AO133" s="12" t="s">
        <v>268</v>
      </c>
      <c r="AP133" s="12" t="s">
        <v>268</v>
      </c>
      <c r="AQ133" s="12" t="s">
        <v>268</v>
      </c>
      <c r="AR133" s="28" t="str">
        <f t="shared" ca="1" si="8"/>
        <v/>
      </c>
      <c r="AS133" s="28" t="str">
        <f t="shared" ca="1" si="9"/>
        <v/>
      </c>
    </row>
    <row r="134" spans="2:45" ht="27.6" customHeight="1">
      <c r="B134">
        <f t="shared" ca="1" si="5"/>
        <v>0</v>
      </c>
      <c r="C134" t="s">
        <v>85</v>
      </c>
      <c r="D134" t="s">
        <v>92</v>
      </c>
      <c r="E134" t="s">
        <v>92</v>
      </c>
      <c r="F134" t="s">
        <v>92</v>
      </c>
      <c r="G134" t="s">
        <v>92</v>
      </c>
      <c r="H134" t="s">
        <v>92</v>
      </c>
      <c r="I134" s="12" t="s">
        <v>268</v>
      </c>
      <c r="J134" t="s">
        <v>278</v>
      </c>
      <c r="L134" t="s">
        <v>92</v>
      </c>
      <c r="N134" s="14">
        <v>1</v>
      </c>
      <c r="P134" s="12" t="s">
        <v>268</v>
      </c>
      <c r="W134" s="9" t="str">
        <f t="shared" ca="1" si="6"/>
        <v>18.5%</v>
      </c>
      <c r="X134" t="s">
        <v>321</v>
      </c>
      <c r="Y134" s="9" t="str">
        <f t="shared" ca="1" si="7"/>
        <v>Sin costo</v>
      </c>
      <c r="Z134" t="s">
        <v>327</v>
      </c>
      <c r="AA134" t="s">
        <v>329</v>
      </c>
      <c r="AB134" t="s">
        <v>334</v>
      </c>
      <c r="AC134" s="12" t="s">
        <v>339</v>
      </c>
      <c r="AE134" t="s">
        <v>268</v>
      </c>
      <c r="AG134" s="12" t="s">
        <v>268</v>
      </c>
      <c r="AH134" t="s">
        <v>92</v>
      </c>
      <c r="AI134" s="12" t="s">
        <v>268</v>
      </c>
      <c r="AJ134" t="s">
        <v>92</v>
      </c>
      <c r="AK134" t="s">
        <v>92</v>
      </c>
      <c r="AL134" t="s">
        <v>92</v>
      </c>
      <c r="AM134" s="12" t="s">
        <v>268</v>
      </c>
      <c r="AN134" s="12" t="s">
        <v>268</v>
      </c>
      <c r="AO134" s="12" t="s">
        <v>268</v>
      </c>
      <c r="AP134" s="12" t="s">
        <v>268</v>
      </c>
      <c r="AQ134" s="12" t="s">
        <v>268</v>
      </c>
      <c r="AR134" s="28" t="str">
        <f t="shared" ca="1" si="8"/>
        <v/>
      </c>
      <c r="AS134" s="28" t="str">
        <f t="shared" ca="1" si="9"/>
        <v/>
      </c>
    </row>
    <row r="135" spans="2:45" ht="27.6" customHeight="1">
      <c r="B135">
        <f t="shared" ref="B135:B198" ca="1" si="10">LEN(INDIRECT(ADDRESS(ROW() + (0),COLUMN() + (-1))))</f>
        <v>0</v>
      </c>
      <c r="C135" t="s">
        <v>85</v>
      </c>
      <c r="D135" t="s">
        <v>92</v>
      </c>
      <c r="E135" t="s">
        <v>92</v>
      </c>
      <c r="F135" t="s">
        <v>92</v>
      </c>
      <c r="G135" t="s">
        <v>92</v>
      </c>
      <c r="H135" t="s">
        <v>92</v>
      </c>
      <c r="I135" s="12" t="s">
        <v>268</v>
      </c>
      <c r="J135" t="s">
        <v>278</v>
      </c>
      <c r="L135" t="s">
        <v>92</v>
      </c>
      <c r="N135" s="14">
        <v>1</v>
      </c>
      <c r="P135" s="12" t="s">
        <v>268</v>
      </c>
      <c r="W135" s="9" t="str">
        <f t="shared" ref="W135:W198" ca="1" si="11">IF(INDIRECT(ADDRESS(ROW() + (0),COLUMN() + (1)))="Cuotas extra", IF(("21.5%")="", "-", "21.5%"), IF(INDIRECT(ADDRESS(ROW() + (0),COLUMN() + (1)))="Cuotas", IF(("18.5%")="", "-", "18.5%"), "-"))</f>
        <v>18.5%</v>
      </c>
      <c r="X135" t="s">
        <v>321</v>
      </c>
      <c r="Y135" s="9" t="str">
        <f t="shared" ref="Y135:Y198" ca="1" si="12">IF(INDIRECT(ADDRESS(ROW() + (0),COLUMN() + (-1)))="Cuotas extra", IF(("")="", "Sin costo", ""), IF(INDIRECT(ADDRESS(ROW() + (0),COLUMN() + (-1)))="Cuotas", IF(("")="", "Sin costo", ""), "-"))</f>
        <v>Sin costo</v>
      </c>
      <c r="Z135" t="s">
        <v>327</v>
      </c>
      <c r="AA135" t="s">
        <v>329</v>
      </c>
      <c r="AB135" t="s">
        <v>334</v>
      </c>
      <c r="AC135" s="12" t="s">
        <v>339</v>
      </c>
      <c r="AE135" t="s">
        <v>268</v>
      </c>
      <c r="AG135" s="12" t="s">
        <v>268</v>
      </c>
      <c r="AH135" t="s">
        <v>92</v>
      </c>
      <c r="AI135" s="12" t="s">
        <v>268</v>
      </c>
      <c r="AJ135" t="s">
        <v>92</v>
      </c>
      <c r="AK135" t="s">
        <v>92</v>
      </c>
      <c r="AL135" t="s">
        <v>92</v>
      </c>
      <c r="AM135" s="12" t="s">
        <v>268</v>
      </c>
      <c r="AN135" s="12" t="s">
        <v>268</v>
      </c>
      <c r="AO135" s="12" t="s">
        <v>268</v>
      </c>
      <c r="AP135" s="12" t="s">
        <v>268</v>
      </c>
      <c r="AQ135" s="12" t="s">
        <v>268</v>
      </c>
      <c r="AR135" s="28" t="str">
        <f t="shared" ref="AR135:AR198" ca="1" si="1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135" s="28" t="str">
        <f t="shared" ref="AS135:AS198" ca="1" si="14">IF(TRIM(INDIRECT("A"&amp;ROW())) &lt;&gt; "",FALSE,"")</f>
        <v/>
      </c>
    </row>
    <row r="136" spans="2:45" ht="27.6" customHeight="1">
      <c r="B136">
        <f t="shared" ca="1" si="10"/>
        <v>0</v>
      </c>
      <c r="C136" t="s">
        <v>85</v>
      </c>
      <c r="D136" t="s">
        <v>92</v>
      </c>
      <c r="E136" t="s">
        <v>92</v>
      </c>
      <c r="F136" t="s">
        <v>92</v>
      </c>
      <c r="G136" t="s">
        <v>92</v>
      </c>
      <c r="H136" t="s">
        <v>92</v>
      </c>
      <c r="I136" s="12" t="s">
        <v>268</v>
      </c>
      <c r="J136" t="s">
        <v>278</v>
      </c>
      <c r="L136" t="s">
        <v>92</v>
      </c>
      <c r="N136" s="14">
        <v>1</v>
      </c>
      <c r="P136" s="12" t="s">
        <v>268</v>
      </c>
      <c r="W136" s="9" t="str">
        <f t="shared" ca="1" si="11"/>
        <v>18.5%</v>
      </c>
      <c r="X136" t="s">
        <v>321</v>
      </c>
      <c r="Y136" s="9" t="str">
        <f t="shared" ca="1" si="12"/>
        <v>Sin costo</v>
      </c>
      <c r="Z136" t="s">
        <v>327</v>
      </c>
      <c r="AA136" t="s">
        <v>329</v>
      </c>
      <c r="AB136" t="s">
        <v>334</v>
      </c>
      <c r="AC136" s="12" t="s">
        <v>339</v>
      </c>
      <c r="AE136" t="s">
        <v>268</v>
      </c>
      <c r="AG136" s="12" t="s">
        <v>268</v>
      </c>
      <c r="AH136" t="s">
        <v>92</v>
      </c>
      <c r="AI136" s="12" t="s">
        <v>268</v>
      </c>
      <c r="AJ136" t="s">
        <v>92</v>
      </c>
      <c r="AK136" t="s">
        <v>92</v>
      </c>
      <c r="AL136" t="s">
        <v>92</v>
      </c>
      <c r="AM136" s="12" t="s">
        <v>268</v>
      </c>
      <c r="AN136" s="12" t="s">
        <v>268</v>
      </c>
      <c r="AO136" s="12" t="s">
        <v>268</v>
      </c>
      <c r="AP136" s="12" t="s">
        <v>268</v>
      </c>
      <c r="AQ136" s="12" t="s">
        <v>268</v>
      </c>
      <c r="AR136" s="28" t="str">
        <f t="shared" ca="1" si="13"/>
        <v/>
      </c>
      <c r="AS136" s="28" t="str">
        <f t="shared" ca="1" si="14"/>
        <v/>
      </c>
    </row>
    <row r="137" spans="2:45" ht="27.6" customHeight="1">
      <c r="B137">
        <f t="shared" ca="1" si="10"/>
        <v>0</v>
      </c>
      <c r="C137" t="s">
        <v>85</v>
      </c>
      <c r="D137" t="s">
        <v>92</v>
      </c>
      <c r="E137" t="s">
        <v>92</v>
      </c>
      <c r="F137" t="s">
        <v>92</v>
      </c>
      <c r="G137" t="s">
        <v>92</v>
      </c>
      <c r="H137" t="s">
        <v>92</v>
      </c>
      <c r="I137" s="12" t="s">
        <v>268</v>
      </c>
      <c r="J137" t="s">
        <v>278</v>
      </c>
      <c r="L137" t="s">
        <v>92</v>
      </c>
      <c r="N137" s="14">
        <v>1</v>
      </c>
      <c r="P137" s="12" t="s">
        <v>268</v>
      </c>
      <c r="W137" s="9" t="str">
        <f t="shared" ca="1" si="11"/>
        <v>18.5%</v>
      </c>
      <c r="X137" t="s">
        <v>321</v>
      </c>
      <c r="Y137" s="9" t="str">
        <f t="shared" ca="1" si="12"/>
        <v>Sin costo</v>
      </c>
      <c r="Z137" t="s">
        <v>327</v>
      </c>
      <c r="AA137" t="s">
        <v>329</v>
      </c>
      <c r="AB137" t="s">
        <v>334</v>
      </c>
      <c r="AC137" s="12" t="s">
        <v>339</v>
      </c>
      <c r="AE137" t="s">
        <v>268</v>
      </c>
      <c r="AG137" s="12" t="s">
        <v>268</v>
      </c>
      <c r="AH137" t="s">
        <v>92</v>
      </c>
      <c r="AI137" s="12" t="s">
        <v>268</v>
      </c>
      <c r="AJ137" t="s">
        <v>92</v>
      </c>
      <c r="AK137" t="s">
        <v>92</v>
      </c>
      <c r="AL137" t="s">
        <v>92</v>
      </c>
      <c r="AM137" s="12" t="s">
        <v>268</v>
      </c>
      <c r="AN137" s="12" t="s">
        <v>268</v>
      </c>
      <c r="AO137" s="12" t="s">
        <v>268</v>
      </c>
      <c r="AP137" s="12" t="s">
        <v>268</v>
      </c>
      <c r="AQ137" s="12" t="s">
        <v>268</v>
      </c>
      <c r="AR137" s="28" t="str">
        <f t="shared" ca="1" si="13"/>
        <v/>
      </c>
      <c r="AS137" s="28" t="str">
        <f t="shared" ca="1" si="14"/>
        <v/>
      </c>
    </row>
    <row r="138" spans="2:45" ht="27.6" customHeight="1">
      <c r="B138">
        <f t="shared" ca="1" si="10"/>
        <v>0</v>
      </c>
      <c r="C138" t="s">
        <v>85</v>
      </c>
      <c r="D138" t="s">
        <v>92</v>
      </c>
      <c r="E138" t="s">
        <v>92</v>
      </c>
      <c r="F138" t="s">
        <v>92</v>
      </c>
      <c r="G138" t="s">
        <v>92</v>
      </c>
      <c r="H138" t="s">
        <v>92</v>
      </c>
      <c r="I138" s="12" t="s">
        <v>268</v>
      </c>
      <c r="J138" t="s">
        <v>278</v>
      </c>
      <c r="L138" t="s">
        <v>92</v>
      </c>
      <c r="N138" s="14">
        <v>1</v>
      </c>
      <c r="P138" s="12" t="s">
        <v>268</v>
      </c>
      <c r="W138" s="9" t="str">
        <f t="shared" ca="1" si="11"/>
        <v>18.5%</v>
      </c>
      <c r="X138" t="s">
        <v>321</v>
      </c>
      <c r="Y138" s="9" t="str">
        <f t="shared" ca="1" si="12"/>
        <v>Sin costo</v>
      </c>
      <c r="Z138" t="s">
        <v>327</v>
      </c>
      <c r="AA138" t="s">
        <v>329</v>
      </c>
      <c r="AB138" t="s">
        <v>334</v>
      </c>
      <c r="AC138" s="12" t="s">
        <v>339</v>
      </c>
      <c r="AE138" t="s">
        <v>268</v>
      </c>
      <c r="AG138" s="12" t="s">
        <v>268</v>
      </c>
      <c r="AH138" t="s">
        <v>92</v>
      </c>
      <c r="AI138" s="12" t="s">
        <v>268</v>
      </c>
      <c r="AJ138" t="s">
        <v>92</v>
      </c>
      <c r="AK138" t="s">
        <v>92</v>
      </c>
      <c r="AL138" t="s">
        <v>92</v>
      </c>
      <c r="AM138" s="12" t="s">
        <v>268</v>
      </c>
      <c r="AN138" s="12" t="s">
        <v>268</v>
      </c>
      <c r="AO138" s="12" t="s">
        <v>268</v>
      </c>
      <c r="AP138" s="12" t="s">
        <v>268</v>
      </c>
      <c r="AQ138" s="12" t="s">
        <v>268</v>
      </c>
      <c r="AR138" s="28" t="str">
        <f t="shared" ca="1" si="13"/>
        <v/>
      </c>
      <c r="AS138" s="28" t="str">
        <f t="shared" ca="1" si="14"/>
        <v/>
      </c>
    </row>
    <row r="139" spans="2:45" ht="27.6" customHeight="1">
      <c r="B139">
        <f t="shared" ca="1" si="10"/>
        <v>0</v>
      </c>
      <c r="C139" t="s">
        <v>85</v>
      </c>
      <c r="D139" t="s">
        <v>92</v>
      </c>
      <c r="E139" t="s">
        <v>92</v>
      </c>
      <c r="F139" t="s">
        <v>92</v>
      </c>
      <c r="G139" t="s">
        <v>92</v>
      </c>
      <c r="H139" t="s">
        <v>92</v>
      </c>
      <c r="I139" s="12" t="s">
        <v>268</v>
      </c>
      <c r="J139" t="s">
        <v>278</v>
      </c>
      <c r="L139" t="s">
        <v>92</v>
      </c>
      <c r="N139" s="14">
        <v>1</v>
      </c>
      <c r="P139" s="12" t="s">
        <v>268</v>
      </c>
      <c r="W139" s="9" t="str">
        <f t="shared" ca="1" si="11"/>
        <v>18.5%</v>
      </c>
      <c r="X139" t="s">
        <v>321</v>
      </c>
      <c r="Y139" s="9" t="str">
        <f t="shared" ca="1" si="12"/>
        <v>Sin costo</v>
      </c>
      <c r="Z139" t="s">
        <v>327</v>
      </c>
      <c r="AA139" t="s">
        <v>329</v>
      </c>
      <c r="AB139" t="s">
        <v>334</v>
      </c>
      <c r="AC139" s="12" t="s">
        <v>339</v>
      </c>
      <c r="AE139" t="s">
        <v>268</v>
      </c>
      <c r="AG139" s="12" t="s">
        <v>268</v>
      </c>
      <c r="AH139" t="s">
        <v>92</v>
      </c>
      <c r="AI139" s="12" t="s">
        <v>268</v>
      </c>
      <c r="AJ139" t="s">
        <v>92</v>
      </c>
      <c r="AK139" t="s">
        <v>92</v>
      </c>
      <c r="AL139" t="s">
        <v>92</v>
      </c>
      <c r="AM139" s="12" t="s">
        <v>268</v>
      </c>
      <c r="AN139" s="12" t="s">
        <v>268</v>
      </c>
      <c r="AO139" s="12" t="s">
        <v>268</v>
      </c>
      <c r="AP139" s="12" t="s">
        <v>268</v>
      </c>
      <c r="AQ139" s="12" t="s">
        <v>268</v>
      </c>
      <c r="AR139" s="28" t="str">
        <f t="shared" ca="1" si="13"/>
        <v/>
      </c>
      <c r="AS139" s="28" t="str">
        <f t="shared" ca="1" si="14"/>
        <v/>
      </c>
    </row>
    <row r="140" spans="2:45" ht="27.6" customHeight="1">
      <c r="B140">
        <f t="shared" ca="1" si="10"/>
        <v>0</v>
      </c>
      <c r="C140" t="s">
        <v>85</v>
      </c>
      <c r="D140" t="s">
        <v>92</v>
      </c>
      <c r="E140" t="s">
        <v>92</v>
      </c>
      <c r="F140" t="s">
        <v>92</v>
      </c>
      <c r="G140" t="s">
        <v>92</v>
      </c>
      <c r="H140" t="s">
        <v>92</v>
      </c>
      <c r="I140" s="12" t="s">
        <v>268</v>
      </c>
      <c r="J140" t="s">
        <v>278</v>
      </c>
      <c r="L140" t="s">
        <v>92</v>
      </c>
      <c r="N140" s="14">
        <v>1</v>
      </c>
      <c r="P140" s="12" t="s">
        <v>268</v>
      </c>
      <c r="W140" s="9" t="str">
        <f t="shared" ca="1" si="11"/>
        <v>18.5%</v>
      </c>
      <c r="X140" t="s">
        <v>321</v>
      </c>
      <c r="Y140" s="9" t="str">
        <f t="shared" ca="1" si="12"/>
        <v>Sin costo</v>
      </c>
      <c r="Z140" t="s">
        <v>327</v>
      </c>
      <c r="AA140" t="s">
        <v>329</v>
      </c>
      <c r="AB140" t="s">
        <v>334</v>
      </c>
      <c r="AC140" s="12" t="s">
        <v>339</v>
      </c>
      <c r="AE140" t="s">
        <v>268</v>
      </c>
      <c r="AG140" s="12" t="s">
        <v>268</v>
      </c>
      <c r="AH140" t="s">
        <v>92</v>
      </c>
      <c r="AI140" s="12" t="s">
        <v>268</v>
      </c>
      <c r="AJ140" t="s">
        <v>92</v>
      </c>
      <c r="AK140" t="s">
        <v>92</v>
      </c>
      <c r="AL140" t="s">
        <v>92</v>
      </c>
      <c r="AM140" s="12" t="s">
        <v>268</v>
      </c>
      <c r="AN140" s="12" t="s">
        <v>268</v>
      </c>
      <c r="AO140" s="12" t="s">
        <v>268</v>
      </c>
      <c r="AP140" s="12" t="s">
        <v>268</v>
      </c>
      <c r="AQ140" s="12" t="s">
        <v>268</v>
      </c>
      <c r="AR140" s="28" t="str">
        <f t="shared" ca="1" si="13"/>
        <v/>
      </c>
      <c r="AS140" s="28" t="str">
        <f t="shared" ca="1" si="14"/>
        <v/>
      </c>
    </row>
    <row r="141" spans="2:45" ht="27.6" customHeight="1">
      <c r="B141">
        <f t="shared" ca="1" si="10"/>
        <v>0</v>
      </c>
      <c r="C141" t="s">
        <v>85</v>
      </c>
      <c r="D141" t="s">
        <v>92</v>
      </c>
      <c r="E141" t="s">
        <v>92</v>
      </c>
      <c r="F141" t="s">
        <v>92</v>
      </c>
      <c r="G141" t="s">
        <v>92</v>
      </c>
      <c r="H141" t="s">
        <v>92</v>
      </c>
      <c r="I141" s="12" t="s">
        <v>268</v>
      </c>
      <c r="J141" t="s">
        <v>278</v>
      </c>
      <c r="L141" t="s">
        <v>92</v>
      </c>
      <c r="N141" s="14">
        <v>1</v>
      </c>
      <c r="P141" s="12" t="s">
        <v>268</v>
      </c>
      <c r="W141" s="9" t="str">
        <f t="shared" ca="1" si="11"/>
        <v>18.5%</v>
      </c>
      <c r="X141" t="s">
        <v>321</v>
      </c>
      <c r="Y141" s="9" t="str">
        <f t="shared" ca="1" si="12"/>
        <v>Sin costo</v>
      </c>
      <c r="Z141" t="s">
        <v>327</v>
      </c>
      <c r="AA141" t="s">
        <v>329</v>
      </c>
      <c r="AB141" t="s">
        <v>334</v>
      </c>
      <c r="AC141" s="12" t="s">
        <v>339</v>
      </c>
      <c r="AE141" t="s">
        <v>268</v>
      </c>
      <c r="AG141" s="12" t="s">
        <v>268</v>
      </c>
      <c r="AH141" t="s">
        <v>92</v>
      </c>
      <c r="AI141" s="12" t="s">
        <v>268</v>
      </c>
      <c r="AJ141" t="s">
        <v>92</v>
      </c>
      <c r="AK141" t="s">
        <v>92</v>
      </c>
      <c r="AL141" t="s">
        <v>92</v>
      </c>
      <c r="AM141" s="12" t="s">
        <v>268</v>
      </c>
      <c r="AN141" s="12" t="s">
        <v>268</v>
      </c>
      <c r="AO141" s="12" t="s">
        <v>268</v>
      </c>
      <c r="AP141" s="12" t="s">
        <v>268</v>
      </c>
      <c r="AQ141" s="12" t="s">
        <v>268</v>
      </c>
      <c r="AR141" s="28" t="str">
        <f t="shared" ca="1" si="13"/>
        <v/>
      </c>
      <c r="AS141" s="28" t="str">
        <f t="shared" ca="1" si="14"/>
        <v/>
      </c>
    </row>
    <row r="142" spans="2:45" ht="27.6" customHeight="1">
      <c r="B142">
        <f t="shared" ca="1" si="10"/>
        <v>0</v>
      </c>
      <c r="C142" t="s">
        <v>85</v>
      </c>
      <c r="D142" t="s">
        <v>92</v>
      </c>
      <c r="E142" t="s">
        <v>92</v>
      </c>
      <c r="F142" t="s">
        <v>92</v>
      </c>
      <c r="G142" t="s">
        <v>92</v>
      </c>
      <c r="H142" t="s">
        <v>92</v>
      </c>
      <c r="I142" s="12" t="s">
        <v>268</v>
      </c>
      <c r="J142" t="s">
        <v>278</v>
      </c>
      <c r="L142" t="s">
        <v>92</v>
      </c>
      <c r="N142" s="14">
        <v>1</v>
      </c>
      <c r="P142" s="12" t="s">
        <v>268</v>
      </c>
      <c r="W142" s="9" t="str">
        <f t="shared" ca="1" si="11"/>
        <v>18.5%</v>
      </c>
      <c r="X142" t="s">
        <v>321</v>
      </c>
      <c r="Y142" s="9" t="str">
        <f t="shared" ca="1" si="12"/>
        <v>Sin costo</v>
      </c>
      <c r="Z142" t="s">
        <v>327</v>
      </c>
      <c r="AA142" t="s">
        <v>329</v>
      </c>
      <c r="AB142" t="s">
        <v>334</v>
      </c>
      <c r="AC142" s="12" t="s">
        <v>339</v>
      </c>
      <c r="AE142" t="s">
        <v>268</v>
      </c>
      <c r="AG142" s="12" t="s">
        <v>268</v>
      </c>
      <c r="AH142" t="s">
        <v>92</v>
      </c>
      <c r="AI142" s="12" t="s">
        <v>268</v>
      </c>
      <c r="AJ142" t="s">
        <v>92</v>
      </c>
      <c r="AK142" t="s">
        <v>92</v>
      </c>
      <c r="AL142" t="s">
        <v>92</v>
      </c>
      <c r="AM142" s="12" t="s">
        <v>268</v>
      </c>
      <c r="AN142" s="12" t="s">
        <v>268</v>
      </c>
      <c r="AO142" s="12" t="s">
        <v>268</v>
      </c>
      <c r="AP142" s="12" t="s">
        <v>268</v>
      </c>
      <c r="AQ142" s="12" t="s">
        <v>268</v>
      </c>
      <c r="AR142" s="28" t="str">
        <f t="shared" ca="1" si="13"/>
        <v/>
      </c>
      <c r="AS142" s="28" t="str">
        <f t="shared" ca="1" si="14"/>
        <v/>
      </c>
    </row>
    <row r="143" spans="2:45" ht="27.6" customHeight="1">
      <c r="B143">
        <f t="shared" ca="1" si="10"/>
        <v>0</v>
      </c>
      <c r="C143" t="s">
        <v>85</v>
      </c>
      <c r="D143" t="s">
        <v>92</v>
      </c>
      <c r="E143" t="s">
        <v>92</v>
      </c>
      <c r="F143" t="s">
        <v>92</v>
      </c>
      <c r="G143" t="s">
        <v>92</v>
      </c>
      <c r="H143" t="s">
        <v>92</v>
      </c>
      <c r="I143" s="12" t="s">
        <v>268</v>
      </c>
      <c r="J143" t="s">
        <v>278</v>
      </c>
      <c r="L143" t="s">
        <v>92</v>
      </c>
      <c r="N143" s="14">
        <v>1</v>
      </c>
      <c r="P143" s="12" t="s">
        <v>268</v>
      </c>
      <c r="W143" s="9" t="str">
        <f t="shared" ca="1" si="11"/>
        <v>18.5%</v>
      </c>
      <c r="X143" t="s">
        <v>321</v>
      </c>
      <c r="Y143" s="9" t="str">
        <f t="shared" ca="1" si="12"/>
        <v>Sin costo</v>
      </c>
      <c r="Z143" t="s">
        <v>327</v>
      </c>
      <c r="AA143" t="s">
        <v>329</v>
      </c>
      <c r="AB143" t="s">
        <v>334</v>
      </c>
      <c r="AC143" s="12" t="s">
        <v>339</v>
      </c>
      <c r="AE143" t="s">
        <v>268</v>
      </c>
      <c r="AG143" s="12" t="s">
        <v>268</v>
      </c>
      <c r="AH143" t="s">
        <v>92</v>
      </c>
      <c r="AI143" s="12" t="s">
        <v>268</v>
      </c>
      <c r="AJ143" t="s">
        <v>92</v>
      </c>
      <c r="AK143" t="s">
        <v>92</v>
      </c>
      <c r="AL143" t="s">
        <v>92</v>
      </c>
      <c r="AM143" s="12" t="s">
        <v>268</v>
      </c>
      <c r="AN143" s="12" t="s">
        <v>268</v>
      </c>
      <c r="AO143" s="12" t="s">
        <v>268</v>
      </c>
      <c r="AP143" s="12" t="s">
        <v>268</v>
      </c>
      <c r="AQ143" s="12" t="s">
        <v>268</v>
      </c>
      <c r="AR143" s="28" t="str">
        <f t="shared" ca="1" si="13"/>
        <v/>
      </c>
      <c r="AS143" s="28" t="str">
        <f t="shared" ca="1" si="14"/>
        <v/>
      </c>
    </row>
    <row r="144" spans="2:45" ht="27.6" customHeight="1">
      <c r="B144">
        <f t="shared" ca="1" si="10"/>
        <v>0</v>
      </c>
      <c r="C144" t="s">
        <v>85</v>
      </c>
      <c r="D144" t="s">
        <v>92</v>
      </c>
      <c r="E144" t="s">
        <v>92</v>
      </c>
      <c r="F144" t="s">
        <v>92</v>
      </c>
      <c r="G144" t="s">
        <v>92</v>
      </c>
      <c r="H144" t="s">
        <v>92</v>
      </c>
      <c r="I144" s="12" t="s">
        <v>268</v>
      </c>
      <c r="J144" t="s">
        <v>278</v>
      </c>
      <c r="L144" t="s">
        <v>92</v>
      </c>
      <c r="N144" s="14">
        <v>1</v>
      </c>
      <c r="P144" s="12" t="s">
        <v>268</v>
      </c>
      <c r="W144" s="9" t="str">
        <f t="shared" ca="1" si="11"/>
        <v>18.5%</v>
      </c>
      <c r="X144" t="s">
        <v>321</v>
      </c>
      <c r="Y144" s="9" t="str">
        <f t="shared" ca="1" si="12"/>
        <v>Sin costo</v>
      </c>
      <c r="Z144" t="s">
        <v>327</v>
      </c>
      <c r="AA144" t="s">
        <v>329</v>
      </c>
      <c r="AB144" t="s">
        <v>334</v>
      </c>
      <c r="AC144" s="12" t="s">
        <v>339</v>
      </c>
      <c r="AE144" t="s">
        <v>268</v>
      </c>
      <c r="AG144" s="12" t="s">
        <v>268</v>
      </c>
      <c r="AH144" t="s">
        <v>92</v>
      </c>
      <c r="AI144" s="12" t="s">
        <v>268</v>
      </c>
      <c r="AJ144" t="s">
        <v>92</v>
      </c>
      <c r="AK144" t="s">
        <v>92</v>
      </c>
      <c r="AL144" t="s">
        <v>92</v>
      </c>
      <c r="AM144" s="12" t="s">
        <v>268</v>
      </c>
      <c r="AN144" s="12" t="s">
        <v>268</v>
      </c>
      <c r="AO144" s="12" t="s">
        <v>268</v>
      </c>
      <c r="AP144" s="12" t="s">
        <v>268</v>
      </c>
      <c r="AQ144" s="12" t="s">
        <v>268</v>
      </c>
      <c r="AR144" s="28" t="str">
        <f t="shared" ca="1" si="13"/>
        <v/>
      </c>
      <c r="AS144" s="28" t="str">
        <f t="shared" ca="1" si="14"/>
        <v/>
      </c>
    </row>
    <row r="145" spans="2:45" ht="27.6" customHeight="1">
      <c r="B145">
        <f t="shared" ca="1" si="10"/>
        <v>0</v>
      </c>
      <c r="C145" t="s">
        <v>85</v>
      </c>
      <c r="D145" t="s">
        <v>92</v>
      </c>
      <c r="E145" t="s">
        <v>92</v>
      </c>
      <c r="F145" t="s">
        <v>92</v>
      </c>
      <c r="G145" t="s">
        <v>92</v>
      </c>
      <c r="H145" t="s">
        <v>92</v>
      </c>
      <c r="I145" s="12" t="s">
        <v>268</v>
      </c>
      <c r="J145" t="s">
        <v>278</v>
      </c>
      <c r="L145" t="s">
        <v>92</v>
      </c>
      <c r="N145" s="14">
        <v>1</v>
      </c>
      <c r="P145" s="12" t="s">
        <v>268</v>
      </c>
      <c r="W145" s="9" t="str">
        <f t="shared" ca="1" si="11"/>
        <v>18.5%</v>
      </c>
      <c r="X145" t="s">
        <v>321</v>
      </c>
      <c r="Y145" s="9" t="str">
        <f t="shared" ca="1" si="12"/>
        <v>Sin costo</v>
      </c>
      <c r="Z145" t="s">
        <v>327</v>
      </c>
      <c r="AA145" t="s">
        <v>329</v>
      </c>
      <c r="AB145" t="s">
        <v>334</v>
      </c>
      <c r="AC145" s="12" t="s">
        <v>339</v>
      </c>
      <c r="AE145" t="s">
        <v>268</v>
      </c>
      <c r="AG145" s="12" t="s">
        <v>268</v>
      </c>
      <c r="AH145" t="s">
        <v>92</v>
      </c>
      <c r="AI145" s="12" t="s">
        <v>268</v>
      </c>
      <c r="AJ145" t="s">
        <v>92</v>
      </c>
      <c r="AK145" t="s">
        <v>92</v>
      </c>
      <c r="AL145" t="s">
        <v>92</v>
      </c>
      <c r="AM145" s="12" t="s">
        <v>268</v>
      </c>
      <c r="AN145" s="12" t="s">
        <v>268</v>
      </c>
      <c r="AO145" s="12" t="s">
        <v>268</v>
      </c>
      <c r="AP145" s="12" t="s">
        <v>268</v>
      </c>
      <c r="AQ145" s="12" t="s">
        <v>268</v>
      </c>
      <c r="AR145" s="28" t="str">
        <f t="shared" ca="1" si="13"/>
        <v/>
      </c>
      <c r="AS145" s="28" t="str">
        <f t="shared" ca="1" si="14"/>
        <v/>
      </c>
    </row>
    <row r="146" spans="2:45" ht="27.6" customHeight="1">
      <c r="B146">
        <f t="shared" ca="1" si="10"/>
        <v>0</v>
      </c>
      <c r="C146" t="s">
        <v>85</v>
      </c>
      <c r="D146" t="s">
        <v>92</v>
      </c>
      <c r="E146" t="s">
        <v>92</v>
      </c>
      <c r="F146" t="s">
        <v>92</v>
      </c>
      <c r="G146" t="s">
        <v>92</v>
      </c>
      <c r="H146" t="s">
        <v>92</v>
      </c>
      <c r="I146" s="12" t="s">
        <v>268</v>
      </c>
      <c r="J146" t="s">
        <v>278</v>
      </c>
      <c r="L146" t="s">
        <v>92</v>
      </c>
      <c r="N146" s="14">
        <v>1</v>
      </c>
      <c r="P146" s="12" t="s">
        <v>268</v>
      </c>
      <c r="W146" s="9" t="str">
        <f t="shared" ca="1" si="11"/>
        <v>18.5%</v>
      </c>
      <c r="X146" t="s">
        <v>321</v>
      </c>
      <c r="Y146" s="9" t="str">
        <f t="shared" ca="1" si="12"/>
        <v>Sin costo</v>
      </c>
      <c r="Z146" t="s">
        <v>327</v>
      </c>
      <c r="AA146" t="s">
        <v>329</v>
      </c>
      <c r="AB146" t="s">
        <v>334</v>
      </c>
      <c r="AC146" s="12" t="s">
        <v>339</v>
      </c>
      <c r="AE146" t="s">
        <v>268</v>
      </c>
      <c r="AG146" s="12" t="s">
        <v>268</v>
      </c>
      <c r="AH146" t="s">
        <v>92</v>
      </c>
      <c r="AI146" s="12" t="s">
        <v>268</v>
      </c>
      <c r="AJ146" t="s">
        <v>92</v>
      </c>
      <c r="AK146" t="s">
        <v>92</v>
      </c>
      <c r="AL146" t="s">
        <v>92</v>
      </c>
      <c r="AM146" s="12" t="s">
        <v>268</v>
      </c>
      <c r="AN146" s="12" t="s">
        <v>268</v>
      </c>
      <c r="AO146" s="12" t="s">
        <v>268</v>
      </c>
      <c r="AP146" s="12" t="s">
        <v>268</v>
      </c>
      <c r="AQ146" s="12" t="s">
        <v>268</v>
      </c>
      <c r="AR146" s="28" t="str">
        <f t="shared" ca="1" si="13"/>
        <v/>
      </c>
      <c r="AS146" s="28" t="str">
        <f t="shared" ca="1" si="14"/>
        <v/>
      </c>
    </row>
    <row r="147" spans="2:45" ht="27.6" customHeight="1">
      <c r="B147">
        <f t="shared" ca="1" si="10"/>
        <v>0</v>
      </c>
      <c r="C147" t="s">
        <v>85</v>
      </c>
      <c r="D147" t="s">
        <v>92</v>
      </c>
      <c r="E147" t="s">
        <v>92</v>
      </c>
      <c r="F147" t="s">
        <v>92</v>
      </c>
      <c r="G147" t="s">
        <v>92</v>
      </c>
      <c r="H147" t="s">
        <v>92</v>
      </c>
      <c r="I147" s="12" t="s">
        <v>268</v>
      </c>
      <c r="J147" t="s">
        <v>278</v>
      </c>
      <c r="L147" t="s">
        <v>92</v>
      </c>
      <c r="N147" s="14">
        <v>1</v>
      </c>
      <c r="P147" s="12" t="s">
        <v>268</v>
      </c>
      <c r="W147" s="9" t="str">
        <f t="shared" ca="1" si="11"/>
        <v>18.5%</v>
      </c>
      <c r="X147" t="s">
        <v>321</v>
      </c>
      <c r="Y147" s="9" t="str">
        <f t="shared" ca="1" si="12"/>
        <v>Sin costo</v>
      </c>
      <c r="Z147" t="s">
        <v>327</v>
      </c>
      <c r="AA147" t="s">
        <v>329</v>
      </c>
      <c r="AB147" t="s">
        <v>334</v>
      </c>
      <c r="AC147" s="12" t="s">
        <v>339</v>
      </c>
      <c r="AE147" t="s">
        <v>268</v>
      </c>
      <c r="AG147" s="12" t="s">
        <v>268</v>
      </c>
      <c r="AH147" t="s">
        <v>92</v>
      </c>
      <c r="AI147" s="12" t="s">
        <v>268</v>
      </c>
      <c r="AJ147" t="s">
        <v>92</v>
      </c>
      <c r="AK147" t="s">
        <v>92</v>
      </c>
      <c r="AL147" t="s">
        <v>92</v>
      </c>
      <c r="AM147" s="12" t="s">
        <v>268</v>
      </c>
      <c r="AN147" s="12" t="s">
        <v>268</v>
      </c>
      <c r="AO147" s="12" t="s">
        <v>268</v>
      </c>
      <c r="AP147" s="12" t="s">
        <v>268</v>
      </c>
      <c r="AQ147" s="12" t="s">
        <v>268</v>
      </c>
      <c r="AR147" s="28" t="str">
        <f t="shared" ca="1" si="13"/>
        <v/>
      </c>
      <c r="AS147" s="28" t="str">
        <f t="shared" ca="1" si="14"/>
        <v/>
      </c>
    </row>
    <row r="148" spans="2:45" ht="27.6" customHeight="1">
      <c r="B148">
        <f t="shared" ca="1" si="10"/>
        <v>0</v>
      </c>
      <c r="C148" t="s">
        <v>85</v>
      </c>
      <c r="D148" t="s">
        <v>92</v>
      </c>
      <c r="E148" t="s">
        <v>92</v>
      </c>
      <c r="F148" t="s">
        <v>92</v>
      </c>
      <c r="G148" t="s">
        <v>92</v>
      </c>
      <c r="H148" t="s">
        <v>92</v>
      </c>
      <c r="I148" s="12" t="s">
        <v>268</v>
      </c>
      <c r="J148" t="s">
        <v>278</v>
      </c>
      <c r="L148" t="s">
        <v>92</v>
      </c>
      <c r="N148" s="14">
        <v>1</v>
      </c>
      <c r="P148" s="12" t="s">
        <v>268</v>
      </c>
      <c r="W148" s="9" t="str">
        <f t="shared" ca="1" si="11"/>
        <v>18.5%</v>
      </c>
      <c r="X148" t="s">
        <v>321</v>
      </c>
      <c r="Y148" s="9" t="str">
        <f t="shared" ca="1" si="12"/>
        <v>Sin costo</v>
      </c>
      <c r="Z148" t="s">
        <v>327</v>
      </c>
      <c r="AA148" t="s">
        <v>329</v>
      </c>
      <c r="AB148" t="s">
        <v>334</v>
      </c>
      <c r="AC148" s="12" t="s">
        <v>339</v>
      </c>
      <c r="AE148" t="s">
        <v>268</v>
      </c>
      <c r="AG148" s="12" t="s">
        <v>268</v>
      </c>
      <c r="AH148" t="s">
        <v>92</v>
      </c>
      <c r="AI148" s="12" t="s">
        <v>268</v>
      </c>
      <c r="AJ148" t="s">
        <v>92</v>
      </c>
      <c r="AK148" t="s">
        <v>92</v>
      </c>
      <c r="AL148" t="s">
        <v>92</v>
      </c>
      <c r="AM148" s="12" t="s">
        <v>268</v>
      </c>
      <c r="AN148" s="12" t="s">
        <v>268</v>
      </c>
      <c r="AO148" s="12" t="s">
        <v>268</v>
      </c>
      <c r="AP148" s="12" t="s">
        <v>268</v>
      </c>
      <c r="AQ148" s="12" t="s">
        <v>268</v>
      </c>
      <c r="AR148" s="28" t="str">
        <f t="shared" ca="1" si="13"/>
        <v/>
      </c>
      <c r="AS148" s="28" t="str">
        <f t="shared" ca="1" si="14"/>
        <v/>
      </c>
    </row>
    <row r="149" spans="2:45" ht="27.6" customHeight="1">
      <c r="B149">
        <f t="shared" ca="1" si="10"/>
        <v>0</v>
      </c>
      <c r="C149" t="s">
        <v>85</v>
      </c>
      <c r="D149" t="s">
        <v>92</v>
      </c>
      <c r="E149" t="s">
        <v>92</v>
      </c>
      <c r="F149" t="s">
        <v>92</v>
      </c>
      <c r="G149" t="s">
        <v>92</v>
      </c>
      <c r="H149" t="s">
        <v>92</v>
      </c>
      <c r="I149" s="12" t="s">
        <v>268</v>
      </c>
      <c r="J149" t="s">
        <v>278</v>
      </c>
      <c r="L149" t="s">
        <v>92</v>
      </c>
      <c r="N149" s="14">
        <v>1</v>
      </c>
      <c r="P149" s="12" t="s">
        <v>268</v>
      </c>
      <c r="W149" s="9" t="str">
        <f t="shared" ca="1" si="11"/>
        <v>18.5%</v>
      </c>
      <c r="X149" t="s">
        <v>321</v>
      </c>
      <c r="Y149" s="9" t="str">
        <f t="shared" ca="1" si="12"/>
        <v>Sin costo</v>
      </c>
      <c r="Z149" t="s">
        <v>327</v>
      </c>
      <c r="AA149" t="s">
        <v>329</v>
      </c>
      <c r="AB149" t="s">
        <v>334</v>
      </c>
      <c r="AC149" s="12" t="s">
        <v>339</v>
      </c>
      <c r="AE149" t="s">
        <v>268</v>
      </c>
      <c r="AG149" s="12" t="s">
        <v>268</v>
      </c>
      <c r="AH149" t="s">
        <v>92</v>
      </c>
      <c r="AI149" s="12" t="s">
        <v>268</v>
      </c>
      <c r="AJ149" t="s">
        <v>92</v>
      </c>
      <c r="AK149" t="s">
        <v>92</v>
      </c>
      <c r="AL149" t="s">
        <v>92</v>
      </c>
      <c r="AM149" s="12" t="s">
        <v>268</v>
      </c>
      <c r="AN149" s="12" t="s">
        <v>268</v>
      </c>
      <c r="AO149" s="12" t="s">
        <v>268</v>
      </c>
      <c r="AP149" s="12" t="s">
        <v>268</v>
      </c>
      <c r="AQ149" s="12" t="s">
        <v>268</v>
      </c>
      <c r="AR149" s="28" t="str">
        <f t="shared" ca="1" si="13"/>
        <v/>
      </c>
      <c r="AS149" s="28" t="str">
        <f t="shared" ca="1" si="14"/>
        <v/>
      </c>
    </row>
    <row r="150" spans="2:45" ht="27.6" customHeight="1">
      <c r="B150">
        <f t="shared" ca="1" si="10"/>
        <v>0</v>
      </c>
      <c r="C150" t="s">
        <v>85</v>
      </c>
      <c r="D150" t="s">
        <v>92</v>
      </c>
      <c r="E150" t="s">
        <v>92</v>
      </c>
      <c r="F150" t="s">
        <v>92</v>
      </c>
      <c r="G150" t="s">
        <v>92</v>
      </c>
      <c r="H150" t="s">
        <v>92</v>
      </c>
      <c r="I150" s="12" t="s">
        <v>268</v>
      </c>
      <c r="J150" t="s">
        <v>278</v>
      </c>
      <c r="L150" t="s">
        <v>92</v>
      </c>
      <c r="N150" s="14">
        <v>1</v>
      </c>
      <c r="P150" s="12" t="s">
        <v>268</v>
      </c>
      <c r="W150" s="9" t="str">
        <f t="shared" ca="1" si="11"/>
        <v>18.5%</v>
      </c>
      <c r="X150" t="s">
        <v>321</v>
      </c>
      <c r="Y150" s="9" t="str">
        <f t="shared" ca="1" si="12"/>
        <v>Sin costo</v>
      </c>
      <c r="Z150" t="s">
        <v>327</v>
      </c>
      <c r="AA150" t="s">
        <v>329</v>
      </c>
      <c r="AB150" t="s">
        <v>334</v>
      </c>
      <c r="AC150" s="12" t="s">
        <v>339</v>
      </c>
      <c r="AE150" t="s">
        <v>268</v>
      </c>
      <c r="AG150" s="12" t="s">
        <v>268</v>
      </c>
      <c r="AH150" t="s">
        <v>92</v>
      </c>
      <c r="AI150" s="12" t="s">
        <v>268</v>
      </c>
      <c r="AJ150" t="s">
        <v>92</v>
      </c>
      <c r="AK150" t="s">
        <v>92</v>
      </c>
      <c r="AL150" t="s">
        <v>92</v>
      </c>
      <c r="AM150" s="12" t="s">
        <v>268</v>
      </c>
      <c r="AN150" s="12" t="s">
        <v>268</v>
      </c>
      <c r="AO150" s="12" t="s">
        <v>268</v>
      </c>
      <c r="AP150" s="12" t="s">
        <v>268</v>
      </c>
      <c r="AQ150" s="12" t="s">
        <v>268</v>
      </c>
      <c r="AR150" s="28" t="str">
        <f t="shared" ca="1" si="13"/>
        <v/>
      </c>
      <c r="AS150" s="28" t="str">
        <f t="shared" ca="1" si="14"/>
        <v/>
      </c>
    </row>
    <row r="151" spans="2:45" ht="27.6" customHeight="1">
      <c r="B151">
        <f t="shared" ca="1" si="10"/>
        <v>0</v>
      </c>
      <c r="C151" t="s">
        <v>85</v>
      </c>
      <c r="D151" t="s">
        <v>92</v>
      </c>
      <c r="E151" t="s">
        <v>92</v>
      </c>
      <c r="F151" t="s">
        <v>92</v>
      </c>
      <c r="G151" t="s">
        <v>92</v>
      </c>
      <c r="H151" t="s">
        <v>92</v>
      </c>
      <c r="I151" s="12" t="s">
        <v>268</v>
      </c>
      <c r="J151" t="s">
        <v>278</v>
      </c>
      <c r="L151" t="s">
        <v>92</v>
      </c>
      <c r="N151" s="14">
        <v>1</v>
      </c>
      <c r="P151" s="12" t="s">
        <v>268</v>
      </c>
      <c r="W151" s="9" t="str">
        <f t="shared" ca="1" si="11"/>
        <v>18.5%</v>
      </c>
      <c r="X151" t="s">
        <v>321</v>
      </c>
      <c r="Y151" s="9" t="str">
        <f t="shared" ca="1" si="12"/>
        <v>Sin costo</v>
      </c>
      <c r="Z151" t="s">
        <v>327</v>
      </c>
      <c r="AA151" t="s">
        <v>329</v>
      </c>
      <c r="AB151" t="s">
        <v>334</v>
      </c>
      <c r="AC151" s="12" t="s">
        <v>339</v>
      </c>
      <c r="AE151" t="s">
        <v>268</v>
      </c>
      <c r="AG151" s="12" t="s">
        <v>268</v>
      </c>
      <c r="AH151" t="s">
        <v>92</v>
      </c>
      <c r="AI151" s="12" t="s">
        <v>268</v>
      </c>
      <c r="AJ151" t="s">
        <v>92</v>
      </c>
      <c r="AK151" t="s">
        <v>92</v>
      </c>
      <c r="AL151" t="s">
        <v>92</v>
      </c>
      <c r="AM151" s="12" t="s">
        <v>268</v>
      </c>
      <c r="AN151" s="12" t="s">
        <v>268</v>
      </c>
      <c r="AO151" s="12" t="s">
        <v>268</v>
      </c>
      <c r="AP151" s="12" t="s">
        <v>268</v>
      </c>
      <c r="AQ151" s="12" t="s">
        <v>268</v>
      </c>
      <c r="AR151" s="28" t="str">
        <f t="shared" ca="1" si="13"/>
        <v/>
      </c>
      <c r="AS151" s="28" t="str">
        <f t="shared" ca="1" si="14"/>
        <v/>
      </c>
    </row>
    <row r="152" spans="2:45" ht="27.6" customHeight="1">
      <c r="B152">
        <f t="shared" ca="1" si="10"/>
        <v>0</v>
      </c>
      <c r="C152" t="s">
        <v>85</v>
      </c>
      <c r="D152" t="s">
        <v>92</v>
      </c>
      <c r="E152" t="s">
        <v>92</v>
      </c>
      <c r="F152" t="s">
        <v>92</v>
      </c>
      <c r="G152" t="s">
        <v>92</v>
      </c>
      <c r="H152" t="s">
        <v>92</v>
      </c>
      <c r="I152" s="12" t="s">
        <v>268</v>
      </c>
      <c r="J152" t="s">
        <v>278</v>
      </c>
      <c r="L152" t="s">
        <v>92</v>
      </c>
      <c r="N152" s="14">
        <v>1</v>
      </c>
      <c r="P152" s="12" t="s">
        <v>268</v>
      </c>
      <c r="W152" s="9" t="str">
        <f t="shared" ca="1" si="11"/>
        <v>18.5%</v>
      </c>
      <c r="X152" t="s">
        <v>321</v>
      </c>
      <c r="Y152" s="9" t="str">
        <f t="shared" ca="1" si="12"/>
        <v>Sin costo</v>
      </c>
      <c r="Z152" t="s">
        <v>327</v>
      </c>
      <c r="AA152" t="s">
        <v>329</v>
      </c>
      <c r="AB152" t="s">
        <v>334</v>
      </c>
      <c r="AC152" s="12" t="s">
        <v>339</v>
      </c>
      <c r="AE152" t="s">
        <v>268</v>
      </c>
      <c r="AG152" s="12" t="s">
        <v>268</v>
      </c>
      <c r="AH152" t="s">
        <v>92</v>
      </c>
      <c r="AI152" s="12" t="s">
        <v>268</v>
      </c>
      <c r="AJ152" t="s">
        <v>92</v>
      </c>
      <c r="AK152" t="s">
        <v>92</v>
      </c>
      <c r="AL152" t="s">
        <v>92</v>
      </c>
      <c r="AM152" s="12" t="s">
        <v>268</v>
      </c>
      <c r="AN152" s="12" t="s">
        <v>268</v>
      </c>
      <c r="AO152" s="12" t="s">
        <v>268</v>
      </c>
      <c r="AP152" s="12" t="s">
        <v>268</v>
      </c>
      <c r="AQ152" s="12" t="s">
        <v>268</v>
      </c>
      <c r="AR152" s="28" t="str">
        <f t="shared" ca="1" si="13"/>
        <v/>
      </c>
      <c r="AS152" s="28" t="str">
        <f t="shared" ca="1" si="14"/>
        <v/>
      </c>
    </row>
    <row r="153" spans="2:45" ht="27.6" customHeight="1">
      <c r="B153">
        <f t="shared" ca="1" si="10"/>
        <v>0</v>
      </c>
      <c r="C153" t="s">
        <v>85</v>
      </c>
      <c r="D153" t="s">
        <v>92</v>
      </c>
      <c r="E153" t="s">
        <v>92</v>
      </c>
      <c r="F153" t="s">
        <v>92</v>
      </c>
      <c r="G153" t="s">
        <v>92</v>
      </c>
      <c r="H153" t="s">
        <v>92</v>
      </c>
      <c r="I153" s="12" t="s">
        <v>268</v>
      </c>
      <c r="J153" t="s">
        <v>278</v>
      </c>
      <c r="L153" t="s">
        <v>92</v>
      </c>
      <c r="N153" s="14">
        <v>1</v>
      </c>
      <c r="P153" s="12" t="s">
        <v>268</v>
      </c>
      <c r="W153" s="9" t="str">
        <f t="shared" ca="1" si="11"/>
        <v>18.5%</v>
      </c>
      <c r="X153" t="s">
        <v>321</v>
      </c>
      <c r="Y153" s="9" t="str">
        <f t="shared" ca="1" si="12"/>
        <v>Sin costo</v>
      </c>
      <c r="Z153" t="s">
        <v>327</v>
      </c>
      <c r="AA153" t="s">
        <v>329</v>
      </c>
      <c r="AB153" t="s">
        <v>334</v>
      </c>
      <c r="AC153" s="12" t="s">
        <v>339</v>
      </c>
      <c r="AE153" t="s">
        <v>268</v>
      </c>
      <c r="AG153" s="12" t="s">
        <v>268</v>
      </c>
      <c r="AH153" t="s">
        <v>92</v>
      </c>
      <c r="AI153" s="12" t="s">
        <v>268</v>
      </c>
      <c r="AJ153" t="s">
        <v>92</v>
      </c>
      <c r="AK153" t="s">
        <v>92</v>
      </c>
      <c r="AL153" t="s">
        <v>92</v>
      </c>
      <c r="AM153" s="12" t="s">
        <v>268</v>
      </c>
      <c r="AN153" s="12" t="s">
        <v>268</v>
      </c>
      <c r="AO153" s="12" t="s">
        <v>268</v>
      </c>
      <c r="AP153" s="12" t="s">
        <v>268</v>
      </c>
      <c r="AQ153" s="12" t="s">
        <v>268</v>
      </c>
      <c r="AR153" s="28" t="str">
        <f t="shared" ca="1" si="13"/>
        <v/>
      </c>
      <c r="AS153" s="28" t="str">
        <f t="shared" ca="1" si="14"/>
        <v/>
      </c>
    </row>
    <row r="154" spans="2:45" ht="27.6" customHeight="1">
      <c r="B154">
        <f t="shared" ca="1" si="10"/>
        <v>0</v>
      </c>
      <c r="C154" t="s">
        <v>85</v>
      </c>
      <c r="D154" t="s">
        <v>92</v>
      </c>
      <c r="E154" t="s">
        <v>92</v>
      </c>
      <c r="F154" t="s">
        <v>92</v>
      </c>
      <c r="G154" t="s">
        <v>92</v>
      </c>
      <c r="H154" t="s">
        <v>92</v>
      </c>
      <c r="I154" s="12" t="s">
        <v>268</v>
      </c>
      <c r="J154" t="s">
        <v>278</v>
      </c>
      <c r="L154" t="s">
        <v>92</v>
      </c>
      <c r="N154" s="14">
        <v>1</v>
      </c>
      <c r="P154" s="12" t="s">
        <v>268</v>
      </c>
      <c r="W154" s="9" t="str">
        <f t="shared" ca="1" si="11"/>
        <v>18.5%</v>
      </c>
      <c r="X154" t="s">
        <v>321</v>
      </c>
      <c r="Y154" s="9" t="str">
        <f t="shared" ca="1" si="12"/>
        <v>Sin costo</v>
      </c>
      <c r="Z154" t="s">
        <v>327</v>
      </c>
      <c r="AA154" t="s">
        <v>329</v>
      </c>
      <c r="AB154" t="s">
        <v>334</v>
      </c>
      <c r="AC154" s="12" t="s">
        <v>339</v>
      </c>
      <c r="AE154" t="s">
        <v>268</v>
      </c>
      <c r="AG154" s="12" t="s">
        <v>268</v>
      </c>
      <c r="AH154" t="s">
        <v>92</v>
      </c>
      <c r="AI154" s="12" t="s">
        <v>268</v>
      </c>
      <c r="AJ154" t="s">
        <v>92</v>
      </c>
      <c r="AK154" t="s">
        <v>92</v>
      </c>
      <c r="AL154" t="s">
        <v>92</v>
      </c>
      <c r="AM154" s="12" t="s">
        <v>268</v>
      </c>
      <c r="AN154" s="12" t="s">
        <v>268</v>
      </c>
      <c r="AO154" s="12" t="s">
        <v>268</v>
      </c>
      <c r="AP154" s="12" t="s">
        <v>268</v>
      </c>
      <c r="AQ154" s="12" t="s">
        <v>268</v>
      </c>
      <c r="AR154" s="28" t="str">
        <f t="shared" ca="1" si="13"/>
        <v/>
      </c>
      <c r="AS154" s="28" t="str">
        <f t="shared" ca="1" si="14"/>
        <v/>
      </c>
    </row>
    <row r="155" spans="2:45" ht="27.6" customHeight="1">
      <c r="B155">
        <f t="shared" ca="1" si="10"/>
        <v>0</v>
      </c>
      <c r="C155" t="s">
        <v>85</v>
      </c>
      <c r="D155" t="s">
        <v>92</v>
      </c>
      <c r="E155" t="s">
        <v>92</v>
      </c>
      <c r="F155" t="s">
        <v>92</v>
      </c>
      <c r="G155" t="s">
        <v>92</v>
      </c>
      <c r="H155" t="s">
        <v>92</v>
      </c>
      <c r="I155" s="12" t="s">
        <v>268</v>
      </c>
      <c r="J155" t="s">
        <v>278</v>
      </c>
      <c r="L155" t="s">
        <v>92</v>
      </c>
      <c r="N155" s="14">
        <v>1</v>
      </c>
      <c r="P155" s="12" t="s">
        <v>268</v>
      </c>
      <c r="W155" s="9" t="str">
        <f t="shared" ca="1" si="11"/>
        <v>18.5%</v>
      </c>
      <c r="X155" t="s">
        <v>321</v>
      </c>
      <c r="Y155" s="9" t="str">
        <f t="shared" ca="1" si="12"/>
        <v>Sin costo</v>
      </c>
      <c r="Z155" t="s">
        <v>327</v>
      </c>
      <c r="AA155" t="s">
        <v>329</v>
      </c>
      <c r="AB155" t="s">
        <v>334</v>
      </c>
      <c r="AC155" s="12" t="s">
        <v>339</v>
      </c>
      <c r="AE155" t="s">
        <v>268</v>
      </c>
      <c r="AG155" s="12" t="s">
        <v>268</v>
      </c>
      <c r="AH155" t="s">
        <v>92</v>
      </c>
      <c r="AI155" s="12" t="s">
        <v>268</v>
      </c>
      <c r="AJ155" t="s">
        <v>92</v>
      </c>
      <c r="AK155" t="s">
        <v>92</v>
      </c>
      <c r="AL155" t="s">
        <v>92</v>
      </c>
      <c r="AM155" s="12" t="s">
        <v>268</v>
      </c>
      <c r="AN155" s="12" t="s">
        <v>268</v>
      </c>
      <c r="AO155" s="12" t="s">
        <v>268</v>
      </c>
      <c r="AP155" s="12" t="s">
        <v>268</v>
      </c>
      <c r="AQ155" s="12" t="s">
        <v>268</v>
      </c>
      <c r="AR155" s="28" t="str">
        <f t="shared" ca="1" si="13"/>
        <v/>
      </c>
      <c r="AS155" s="28" t="str">
        <f t="shared" ca="1" si="14"/>
        <v/>
      </c>
    </row>
    <row r="156" spans="2:45" ht="27.6" customHeight="1">
      <c r="B156">
        <f t="shared" ca="1" si="10"/>
        <v>0</v>
      </c>
      <c r="C156" t="s">
        <v>85</v>
      </c>
      <c r="D156" t="s">
        <v>92</v>
      </c>
      <c r="E156" t="s">
        <v>92</v>
      </c>
      <c r="F156" t="s">
        <v>92</v>
      </c>
      <c r="G156" t="s">
        <v>92</v>
      </c>
      <c r="H156" t="s">
        <v>92</v>
      </c>
      <c r="I156" s="12" t="s">
        <v>268</v>
      </c>
      <c r="J156" t="s">
        <v>278</v>
      </c>
      <c r="L156" t="s">
        <v>92</v>
      </c>
      <c r="N156" s="14">
        <v>1</v>
      </c>
      <c r="P156" s="12" t="s">
        <v>268</v>
      </c>
      <c r="W156" s="9" t="str">
        <f t="shared" ca="1" si="11"/>
        <v>18.5%</v>
      </c>
      <c r="X156" t="s">
        <v>321</v>
      </c>
      <c r="Y156" s="9" t="str">
        <f t="shared" ca="1" si="12"/>
        <v>Sin costo</v>
      </c>
      <c r="Z156" t="s">
        <v>327</v>
      </c>
      <c r="AA156" t="s">
        <v>329</v>
      </c>
      <c r="AB156" t="s">
        <v>334</v>
      </c>
      <c r="AC156" s="12" t="s">
        <v>339</v>
      </c>
      <c r="AE156" t="s">
        <v>268</v>
      </c>
      <c r="AG156" s="12" t="s">
        <v>268</v>
      </c>
      <c r="AH156" t="s">
        <v>92</v>
      </c>
      <c r="AI156" s="12" t="s">
        <v>268</v>
      </c>
      <c r="AJ156" t="s">
        <v>92</v>
      </c>
      <c r="AK156" t="s">
        <v>92</v>
      </c>
      <c r="AL156" t="s">
        <v>92</v>
      </c>
      <c r="AM156" s="12" t="s">
        <v>268</v>
      </c>
      <c r="AN156" s="12" t="s">
        <v>268</v>
      </c>
      <c r="AO156" s="12" t="s">
        <v>268</v>
      </c>
      <c r="AP156" s="12" t="s">
        <v>268</v>
      </c>
      <c r="AQ156" s="12" t="s">
        <v>268</v>
      </c>
      <c r="AR156" s="28" t="str">
        <f t="shared" ca="1" si="13"/>
        <v/>
      </c>
      <c r="AS156" s="28" t="str">
        <f t="shared" ca="1" si="14"/>
        <v/>
      </c>
    </row>
    <row r="157" spans="2:45" ht="27.6" customHeight="1">
      <c r="B157">
        <f t="shared" ca="1" si="10"/>
        <v>0</v>
      </c>
      <c r="C157" t="s">
        <v>85</v>
      </c>
      <c r="D157" t="s">
        <v>92</v>
      </c>
      <c r="E157" t="s">
        <v>92</v>
      </c>
      <c r="F157" t="s">
        <v>92</v>
      </c>
      <c r="G157" t="s">
        <v>92</v>
      </c>
      <c r="H157" t="s">
        <v>92</v>
      </c>
      <c r="I157" s="12" t="s">
        <v>268</v>
      </c>
      <c r="J157" t="s">
        <v>278</v>
      </c>
      <c r="L157" t="s">
        <v>92</v>
      </c>
      <c r="N157" s="14">
        <v>1</v>
      </c>
      <c r="P157" s="12" t="s">
        <v>268</v>
      </c>
      <c r="W157" s="9" t="str">
        <f t="shared" ca="1" si="11"/>
        <v>18.5%</v>
      </c>
      <c r="X157" t="s">
        <v>321</v>
      </c>
      <c r="Y157" s="9" t="str">
        <f t="shared" ca="1" si="12"/>
        <v>Sin costo</v>
      </c>
      <c r="Z157" t="s">
        <v>327</v>
      </c>
      <c r="AA157" t="s">
        <v>329</v>
      </c>
      <c r="AB157" t="s">
        <v>334</v>
      </c>
      <c r="AC157" s="12" t="s">
        <v>339</v>
      </c>
      <c r="AE157" t="s">
        <v>268</v>
      </c>
      <c r="AG157" s="12" t="s">
        <v>268</v>
      </c>
      <c r="AH157" t="s">
        <v>92</v>
      </c>
      <c r="AI157" s="12" t="s">
        <v>268</v>
      </c>
      <c r="AJ157" t="s">
        <v>92</v>
      </c>
      <c r="AK157" t="s">
        <v>92</v>
      </c>
      <c r="AL157" t="s">
        <v>92</v>
      </c>
      <c r="AM157" s="12" t="s">
        <v>268</v>
      </c>
      <c r="AN157" s="12" t="s">
        <v>268</v>
      </c>
      <c r="AO157" s="12" t="s">
        <v>268</v>
      </c>
      <c r="AP157" s="12" t="s">
        <v>268</v>
      </c>
      <c r="AQ157" s="12" t="s">
        <v>268</v>
      </c>
      <c r="AR157" s="28" t="str">
        <f t="shared" ca="1" si="13"/>
        <v/>
      </c>
      <c r="AS157" s="28" t="str">
        <f t="shared" ca="1" si="14"/>
        <v/>
      </c>
    </row>
    <row r="158" spans="2:45" ht="27.6" customHeight="1">
      <c r="B158">
        <f t="shared" ca="1" si="10"/>
        <v>0</v>
      </c>
      <c r="C158" t="s">
        <v>85</v>
      </c>
      <c r="D158" t="s">
        <v>92</v>
      </c>
      <c r="E158" t="s">
        <v>92</v>
      </c>
      <c r="F158" t="s">
        <v>92</v>
      </c>
      <c r="G158" t="s">
        <v>92</v>
      </c>
      <c r="H158" t="s">
        <v>92</v>
      </c>
      <c r="I158" s="12" t="s">
        <v>268</v>
      </c>
      <c r="J158" t="s">
        <v>278</v>
      </c>
      <c r="L158" t="s">
        <v>92</v>
      </c>
      <c r="N158" s="14">
        <v>1</v>
      </c>
      <c r="P158" s="12" t="s">
        <v>268</v>
      </c>
      <c r="W158" s="9" t="str">
        <f t="shared" ca="1" si="11"/>
        <v>18.5%</v>
      </c>
      <c r="X158" t="s">
        <v>321</v>
      </c>
      <c r="Y158" s="9" t="str">
        <f t="shared" ca="1" si="12"/>
        <v>Sin costo</v>
      </c>
      <c r="Z158" t="s">
        <v>327</v>
      </c>
      <c r="AA158" t="s">
        <v>329</v>
      </c>
      <c r="AB158" t="s">
        <v>334</v>
      </c>
      <c r="AC158" s="12" t="s">
        <v>339</v>
      </c>
      <c r="AE158" t="s">
        <v>268</v>
      </c>
      <c r="AG158" s="12" t="s">
        <v>268</v>
      </c>
      <c r="AH158" t="s">
        <v>92</v>
      </c>
      <c r="AI158" s="12" t="s">
        <v>268</v>
      </c>
      <c r="AJ158" t="s">
        <v>92</v>
      </c>
      <c r="AK158" t="s">
        <v>92</v>
      </c>
      <c r="AL158" t="s">
        <v>92</v>
      </c>
      <c r="AM158" s="12" t="s">
        <v>268</v>
      </c>
      <c r="AN158" s="12" t="s">
        <v>268</v>
      </c>
      <c r="AO158" s="12" t="s">
        <v>268</v>
      </c>
      <c r="AP158" s="12" t="s">
        <v>268</v>
      </c>
      <c r="AQ158" s="12" t="s">
        <v>268</v>
      </c>
      <c r="AR158" s="28" t="str">
        <f t="shared" ca="1" si="13"/>
        <v/>
      </c>
      <c r="AS158" s="28" t="str">
        <f t="shared" ca="1" si="14"/>
        <v/>
      </c>
    </row>
    <row r="159" spans="2:45" ht="27.6" customHeight="1">
      <c r="B159">
        <f t="shared" ca="1" si="10"/>
        <v>0</v>
      </c>
      <c r="C159" t="s">
        <v>85</v>
      </c>
      <c r="D159" t="s">
        <v>92</v>
      </c>
      <c r="E159" t="s">
        <v>92</v>
      </c>
      <c r="F159" t="s">
        <v>92</v>
      </c>
      <c r="G159" t="s">
        <v>92</v>
      </c>
      <c r="H159" t="s">
        <v>92</v>
      </c>
      <c r="I159" s="12" t="s">
        <v>268</v>
      </c>
      <c r="J159" t="s">
        <v>278</v>
      </c>
      <c r="L159" t="s">
        <v>92</v>
      </c>
      <c r="N159" s="14">
        <v>1</v>
      </c>
      <c r="P159" s="12" t="s">
        <v>268</v>
      </c>
      <c r="W159" s="9" t="str">
        <f t="shared" ca="1" si="11"/>
        <v>18.5%</v>
      </c>
      <c r="X159" t="s">
        <v>321</v>
      </c>
      <c r="Y159" s="9" t="str">
        <f t="shared" ca="1" si="12"/>
        <v>Sin costo</v>
      </c>
      <c r="Z159" t="s">
        <v>327</v>
      </c>
      <c r="AA159" t="s">
        <v>329</v>
      </c>
      <c r="AB159" t="s">
        <v>334</v>
      </c>
      <c r="AC159" s="12" t="s">
        <v>339</v>
      </c>
      <c r="AE159" t="s">
        <v>268</v>
      </c>
      <c r="AG159" s="12" t="s">
        <v>268</v>
      </c>
      <c r="AH159" t="s">
        <v>92</v>
      </c>
      <c r="AI159" s="12" t="s">
        <v>268</v>
      </c>
      <c r="AJ159" t="s">
        <v>92</v>
      </c>
      <c r="AK159" t="s">
        <v>92</v>
      </c>
      <c r="AL159" t="s">
        <v>92</v>
      </c>
      <c r="AM159" s="12" t="s">
        <v>268</v>
      </c>
      <c r="AN159" s="12" t="s">
        <v>268</v>
      </c>
      <c r="AO159" s="12" t="s">
        <v>268</v>
      </c>
      <c r="AP159" s="12" t="s">
        <v>268</v>
      </c>
      <c r="AQ159" s="12" t="s">
        <v>268</v>
      </c>
      <c r="AR159" s="28" t="str">
        <f t="shared" ca="1" si="13"/>
        <v/>
      </c>
      <c r="AS159" s="28" t="str">
        <f t="shared" ca="1" si="14"/>
        <v/>
      </c>
    </row>
    <row r="160" spans="2:45" ht="27.6" customHeight="1">
      <c r="B160">
        <f t="shared" ca="1" si="10"/>
        <v>0</v>
      </c>
      <c r="C160" t="s">
        <v>85</v>
      </c>
      <c r="D160" t="s">
        <v>92</v>
      </c>
      <c r="E160" t="s">
        <v>92</v>
      </c>
      <c r="F160" t="s">
        <v>92</v>
      </c>
      <c r="G160" t="s">
        <v>92</v>
      </c>
      <c r="H160" t="s">
        <v>92</v>
      </c>
      <c r="I160" s="12" t="s">
        <v>268</v>
      </c>
      <c r="J160" t="s">
        <v>278</v>
      </c>
      <c r="L160" t="s">
        <v>92</v>
      </c>
      <c r="N160" s="14">
        <v>1</v>
      </c>
      <c r="P160" s="12" t="s">
        <v>268</v>
      </c>
      <c r="W160" s="9" t="str">
        <f t="shared" ca="1" si="11"/>
        <v>18.5%</v>
      </c>
      <c r="X160" t="s">
        <v>321</v>
      </c>
      <c r="Y160" s="9" t="str">
        <f t="shared" ca="1" si="12"/>
        <v>Sin costo</v>
      </c>
      <c r="Z160" t="s">
        <v>327</v>
      </c>
      <c r="AA160" t="s">
        <v>329</v>
      </c>
      <c r="AB160" t="s">
        <v>334</v>
      </c>
      <c r="AC160" s="12" t="s">
        <v>339</v>
      </c>
      <c r="AE160" t="s">
        <v>268</v>
      </c>
      <c r="AG160" s="12" t="s">
        <v>268</v>
      </c>
      <c r="AH160" t="s">
        <v>92</v>
      </c>
      <c r="AI160" s="12" t="s">
        <v>268</v>
      </c>
      <c r="AJ160" t="s">
        <v>92</v>
      </c>
      <c r="AK160" t="s">
        <v>92</v>
      </c>
      <c r="AL160" t="s">
        <v>92</v>
      </c>
      <c r="AM160" s="12" t="s">
        <v>268</v>
      </c>
      <c r="AN160" s="12" t="s">
        <v>268</v>
      </c>
      <c r="AO160" s="12" t="s">
        <v>268</v>
      </c>
      <c r="AP160" s="12" t="s">
        <v>268</v>
      </c>
      <c r="AQ160" s="12" t="s">
        <v>268</v>
      </c>
      <c r="AR160" s="28" t="str">
        <f t="shared" ca="1" si="13"/>
        <v/>
      </c>
      <c r="AS160" s="28" t="str">
        <f t="shared" ca="1" si="14"/>
        <v/>
      </c>
    </row>
    <row r="161" spans="2:45" ht="27.6" customHeight="1">
      <c r="B161">
        <f t="shared" ca="1" si="10"/>
        <v>0</v>
      </c>
      <c r="C161" t="s">
        <v>85</v>
      </c>
      <c r="D161" t="s">
        <v>92</v>
      </c>
      <c r="E161" t="s">
        <v>92</v>
      </c>
      <c r="F161" t="s">
        <v>92</v>
      </c>
      <c r="G161" t="s">
        <v>92</v>
      </c>
      <c r="H161" t="s">
        <v>92</v>
      </c>
      <c r="I161" s="12" t="s">
        <v>268</v>
      </c>
      <c r="J161" t="s">
        <v>278</v>
      </c>
      <c r="L161" t="s">
        <v>92</v>
      </c>
      <c r="N161" s="14">
        <v>1</v>
      </c>
      <c r="P161" s="12" t="s">
        <v>268</v>
      </c>
      <c r="W161" s="9" t="str">
        <f t="shared" ca="1" si="11"/>
        <v>18.5%</v>
      </c>
      <c r="X161" t="s">
        <v>321</v>
      </c>
      <c r="Y161" s="9" t="str">
        <f t="shared" ca="1" si="12"/>
        <v>Sin costo</v>
      </c>
      <c r="Z161" t="s">
        <v>327</v>
      </c>
      <c r="AA161" t="s">
        <v>329</v>
      </c>
      <c r="AB161" t="s">
        <v>334</v>
      </c>
      <c r="AC161" s="12" t="s">
        <v>339</v>
      </c>
      <c r="AE161" t="s">
        <v>268</v>
      </c>
      <c r="AG161" s="12" t="s">
        <v>268</v>
      </c>
      <c r="AH161" t="s">
        <v>92</v>
      </c>
      <c r="AI161" s="12" t="s">
        <v>268</v>
      </c>
      <c r="AJ161" t="s">
        <v>92</v>
      </c>
      <c r="AK161" t="s">
        <v>92</v>
      </c>
      <c r="AL161" t="s">
        <v>92</v>
      </c>
      <c r="AM161" s="12" t="s">
        <v>268</v>
      </c>
      <c r="AN161" s="12" t="s">
        <v>268</v>
      </c>
      <c r="AO161" s="12" t="s">
        <v>268</v>
      </c>
      <c r="AP161" s="12" t="s">
        <v>268</v>
      </c>
      <c r="AQ161" s="12" t="s">
        <v>268</v>
      </c>
      <c r="AR161" s="28" t="str">
        <f t="shared" ca="1" si="13"/>
        <v/>
      </c>
      <c r="AS161" s="28" t="str">
        <f t="shared" ca="1" si="14"/>
        <v/>
      </c>
    </row>
    <row r="162" spans="2:45" ht="27.6" customHeight="1">
      <c r="B162">
        <f t="shared" ca="1" si="10"/>
        <v>0</v>
      </c>
      <c r="C162" t="s">
        <v>85</v>
      </c>
      <c r="D162" t="s">
        <v>92</v>
      </c>
      <c r="E162" t="s">
        <v>92</v>
      </c>
      <c r="F162" t="s">
        <v>92</v>
      </c>
      <c r="G162" t="s">
        <v>92</v>
      </c>
      <c r="H162" t="s">
        <v>92</v>
      </c>
      <c r="I162" s="12" t="s">
        <v>268</v>
      </c>
      <c r="J162" t="s">
        <v>278</v>
      </c>
      <c r="L162" t="s">
        <v>92</v>
      </c>
      <c r="N162" s="14">
        <v>1</v>
      </c>
      <c r="P162" s="12" t="s">
        <v>268</v>
      </c>
      <c r="W162" s="9" t="str">
        <f t="shared" ca="1" si="11"/>
        <v>18.5%</v>
      </c>
      <c r="X162" t="s">
        <v>321</v>
      </c>
      <c r="Y162" s="9" t="str">
        <f t="shared" ca="1" si="12"/>
        <v>Sin costo</v>
      </c>
      <c r="Z162" t="s">
        <v>327</v>
      </c>
      <c r="AA162" t="s">
        <v>329</v>
      </c>
      <c r="AB162" t="s">
        <v>334</v>
      </c>
      <c r="AC162" s="12" t="s">
        <v>339</v>
      </c>
      <c r="AE162" t="s">
        <v>268</v>
      </c>
      <c r="AG162" s="12" t="s">
        <v>268</v>
      </c>
      <c r="AH162" t="s">
        <v>92</v>
      </c>
      <c r="AI162" s="12" t="s">
        <v>268</v>
      </c>
      <c r="AJ162" t="s">
        <v>92</v>
      </c>
      <c r="AK162" t="s">
        <v>92</v>
      </c>
      <c r="AL162" t="s">
        <v>92</v>
      </c>
      <c r="AM162" s="12" t="s">
        <v>268</v>
      </c>
      <c r="AN162" s="12" t="s">
        <v>268</v>
      </c>
      <c r="AO162" s="12" t="s">
        <v>268</v>
      </c>
      <c r="AP162" s="12" t="s">
        <v>268</v>
      </c>
      <c r="AQ162" s="12" t="s">
        <v>268</v>
      </c>
      <c r="AR162" s="28" t="str">
        <f t="shared" ca="1" si="13"/>
        <v/>
      </c>
      <c r="AS162" s="28" t="str">
        <f t="shared" ca="1" si="14"/>
        <v/>
      </c>
    </row>
    <row r="163" spans="2:45" ht="27.6" customHeight="1">
      <c r="B163">
        <f t="shared" ca="1" si="10"/>
        <v>0</v>
      </c>
      <c r="C163" t="s">
        <v>85</v>
      </c>
      <c r="D163" t="s">
        <v>92</v>
      </c>
      <c r="E163" t="s">
        <v>92</v>
      </c>
      <c r="F163" t="s">
        <v>92</v>
      </c>
      <c r="G163" t="s">
        <v>92</v>
      </c>
      <c r="H163" t="s">
        <v>92</v>
      </c>
      <c r="I163" s="12" t="s">
        <v>268</v>
      </c>
      <c r="J163" t="s">
        <v>278</v>
      </c>
      <c r="L163" t="s">
        <v>92</v>
      </c>
      <c r="N163" s="14">
        <v>1</v>
      </c>
      <c r="P163" s="12" t="s">
        <v>268</v>
      </c>
      <c r="W163" s="9" t="str">
        <f t="shared" ca="1" si="11"/>
        <v>18.5%</v>
      </c>
      <c r="X163" t="s">
        <v>321</v>
      </c>
      <c r="Y163" s="9" t="str">
        <f t="shared" ca="1" si="12"/>
        <v>Sin costo</v>
      </c>
      <c r="Z163" t="s">
        <v>327</v>
      </c>
      <c r="AA163" t="s">
        <v>329</v>
      </c>
      <c r="AB163" t="s">
        <v>334</v>
      </c>
      <c r="AC163" s="12" t="s">
        <v>339</v>
      </c>
      <c r="AE163" t="s">
        <v>268</v>
      </c>
      <c r="AG163" s="12" t="s">
        <v>268</v>
      </c>
      <c r="AH163" t="s">
        <v>92</v>
      </c>
      <c r="AI163" s="12" t="s">
        <v>268</v>
      </c>
      <c r="AJ163" t="s">
        <v>92</v>
      </c>
      <c r="AK163" t="s">
        <v>92</v>
      </c>
      <c r="AL163" t="s">
        <v>92</v>
      </c>
      <c r="AM163" s="12" t="s">
        <v>268</v>
      </c>
      <c r="AN163" s="12" t="s">
        <v>268</v>
      </c>
      <c r="AO163" s="12" t="s">
        <v>268</v>
      </c>
      <c r="AP163" s="12" t="s">
        <v>268</v>
      </c>
      <c r="AQ163" s="12" t="s">
        <v>268</v>
      </c>
      <c r="AR163" s="28" t="str">
        <f t="shared" ca="1" si="13"/>
        <v/>
      </c>
      <c r="AS163" s="28" t="str">
        <f t="shared" ca="1" si="14"/>
        <v/>
      </c>
    </row>
    <row r="164" spans="2:45" ht="27.6" customHeight="1">
      <c r="B164">
        <f t="shared" ca="1" si="10"/>
        <v>0</v>
      </c>
      <c r="C164" t="s">
        <v>85</v>
      </c>
      <c r="D164" t="s">
        <v>92</v>
      </c>
      <c r="E164" t="s">
        <v>92</v>
      </c>
      <c r="F164" t="s">
        <v>92</v>
      </c>
      <c r="G164" t="s">
        <v>92</v>
      </c>
      <c r="H164" t="s">
        <v>92</v>
      </c>
      <c r="I164" s="12" t="s">
        <v>268</v>
      </c>
      <c r="J164" t="s">
        <v>278</v>
      </c>
      <c r="L164" t="s">
        <v>92</v>
      </c>
      <c r="N164" s="14">
        <v>1</v>
      </c>
      <c r="P164" s="12" t="s">
        <v>268</v>
      </c>
      <c r="W164" s="9" t="str">
        <f t="shared" ca="1" si="11"/>
        <v>18.5%</v>
      </c>
      <c r="X164" t="s">
        <v>321</v>
      </c>
      <c r="Y164" s="9" t="str">
        <f t="shared" ca="1" si="12"/>
        <v>Sin costo</v>
      </c>
      <c r="Z164" t="s">
        <v>327</v>
      </c>
      <c r="AA164" t="s">
        <v>329</v>
      </c>
      <c r="AB164" t="s">
        <v>334</v>
      </c>
      <c r="AC164" s="12" t="s">
        <v>339</v>
      </c>
      <c r="AE164" t="s">
        <v>268</v>
      </c>
      <c r="AG164" s="12" t="s">
        <v>268</v>
      </c>
      <c r="AH164" t="s">
        <v>92</v>
      </c>
      <c r="AI164" s="12" t="s">
        <v>268</v>
      </c>
      <c r="AJ164" t="s">
        <v>92</v>
      </c>
      <c r="AK164" t="s">
        <v>92</v>
      </c>
      <c r="AL164" t="s">
        <v>92</v>
      </c>
      <c r="AM164" s="12" t="s">
        <v>268</v>
      </c>
      <c r="AN164" s="12" t="s">
        <v>268</v>
      </c>
      <c r="AO164" s="12" t="s">
        <v>268</v>
      </c>
      <c r="AP164" s="12" t="s">
        <v>268</v>
      </c>
      <c r="AQ164" s="12" t="s">
        <v>268</v>
      </c>
      <c r="AR164" s="28" t="str">
        <f t="shared" ca="1" si="13"/>
        <v/>
      </c>
      <c r="AS164" s="28" t="str">
        <f t="shared" ca="1" si="14"/>
        <v/>
      </c>
    </row>
    <row r="165" spans="2:45" ht="27.6" customHeight="1">
      <c r="B165">
        <f t="shared" ca="1" si="10"/>
        <v>0</v>
      </c>
      <c r="C165" t="s">
        <v>85</v>
      </c>
      <c r="D165" t="s">
        <v>92</v>
      </c>
      <c r="E165" t="s">
        <v>92</v>
      </c>
      <c r="F165" t="s">
        <v>92</v>
      </c>
      <c r="G165" t="s">
        <v>92</v>
      </c>
      <c r="H165" t="s">
        <v>92</v>
      </c>
      <c r="I165" s="12" t="s">
        <v>268</v>
      </c>
      <c r="J165" t="s">
        <v>278</v>
      </c>
      <c r="L165" t="s">
        <v>92</v>
      </c>
      <c r="N165" s="14">
        <v>1</v>
      </c>
      <c r="P165" s="12" t="s">
        <v>268</v>
      </c>
      <c r="W165" s="9" t="str">
        <f t="shared" ca="1" si="11"/>
        <v>18.5%</v>
      </c>
      <c r="X165" t="s">
        <v>321</v>
      </c>
      <c r="Y165" s="9" t="str">
        <f t="shared" ca="1" si="12"/>
        <v>Sin costo</v>
      </c>
      <c r="Z165" t="s">
        <v>327</v>
      </c>
      <c r="AA165" t="s">
        <v>329</v>
      </c>
      <c r="AB165" t="s">
        <v>334</v>
      </c>
      <c r="AC165" s="12" t="s">
        <v>339</v>
      </c>
      <c r="AE165" t="s">
        <v>268</v>
      </c>
      <c r="AG165" s="12" t="s">
        <v>268</v>
      </c>
      <c r="AH165" t="s">
        <v>92</v>
      </c>
      <c r="AI165" s="12" t="s">
        <v>268</v>
      </c>
      <c r="AJ165" t="s">
        <v>92</v>
      </c>
      <c r="AK165" t="s">
        <v>92</v>
      </c>
      <c r="AL165" t="s">
        <v>92</v>
      </c>
      <c r="AM165" s="12" t="s">
        <v>268</v>
      </c>
      <c r="AN165" s="12" t="s">
        <v>268</v>
      </c>
      <c r="AO165" s="12" t="s">
        <v>268</v>
      </c>
      <c r="AP165" s="12" t="s">
        <v>268</v>
      </c>
      <c r="AQ165" s="12" t="s">
        <v>268</v>
      </c>
      <c r="AR165" s="28" t="str">
        <f t="shared" ca="1" si="13"/>
        <v/>
      </c>
      <c r="AS165" s="28" t="str">
        <f t="shared" ca="1" si="14"/>
        <v/>
      </c>
    </row>
    <row r="166" spans="2:45" ht="27.6" customHeight="1">
      <c r="B166">
        <f t="shared" ca="1" si="10"/>
        <v>0</v>
      </c>
      <c r="C166" t="s">
        <v>85</v>
      </c>
      <c r="D166" t="s">
        <v>92</v>
      </c>
      <c r="E166" t="s">
        <v>92</v>
      </c>
      <c r="F166" t="s">
        <v>92</v>
      </c>
      <c r="G166" t="s">
        <v>92</v>
      </c>
      <c r="H166" t="s">
        <v>92</v>
      </c>
      <c r="I166" s="12" t="s">
        <v>268</v>
      </c>
      <c r="J166" t="s">
        <v>278</v>
      </c>
      <c r="L166" t="s">
        <v>92</v>
      </c>
      <c r="N166" s="14">
        <v>1</v>
      </c>
      <c r="P166" s="12" t="s">
        <v>268</v>
      </c>
      <c r="W166" s="9" t="str">
        <f t="shared" ca="1" si="11"/>
        <v>18.5%</v>
      </c>
      <c r="X166" t="s">
        <v>321</v>
      </c>
      <c r="Y166" s="9" t="str">
        <f t="shared" ca="1" si="12"/>
        <v>Sin costo</v>
      </c>
      <c r="Z166" t="s">
        <v>327</v>
      </c>
      <c r="AA166" t="s">
        <v>329</v>
      </c>
      <c r="AB166" t="s">
        <v>334</v>
      </c>
      <c r="AC166" s="12" t="s">
        <v>339</v>
      </c>
      <c r="AE166" t="s">
        <v>268</v>
      </c>
      <c r="AG166" s="12" t="s">
        <v>268</v>
      </c>
      <c r="AH166" t="s">
        <v>92</v>
      </c>
      <c r="AI166" s="12" t="s">
        <v>268</v>
      </c>
      <c r="AJ166" t="s">
        <v>92</v>
      </c>
      <c r="AK166" t="s">
        <v>92</v>
      </c>
      <c r="AL166" t="s">
        <v>92</v>
      </c>
      <c r="AM166" s="12" t="s">
        <v>268</v>
      </c>
      <c r="AN166" s="12" t="s">
        <v>268</v>
      </c>
      <c r="AO166" s="12" t="s">
        <v>268</v>
      </c>
      <c r="AP166" s="12" t="s">
        <v>268</v>
      </c>
      <c r="AQ166" s="12" t="s">
        <v>268</v>
      </c>
      <c r="AR166" s="28" t="str">
        <f t="shared" ca="1" si="13"/>
        <v/>
      </c>
      <c r="AS166" s="28" t="str">
        <f t="shared" ca="1" si="14"/>
        <v/>
      </c>
    </row>
    <row r="167" spans="2:45" ht="27.6" customHeight="1">
      <c r="B167">
        <f t="shared" ca="1" si="10"/>
        <v>0</v>
      </c>
      <c r="C167" t="s">
        <v>85</v>
      </c>
      <c r="D167" t="s">
        <v>92</v>
      </c>
      <c r="E167" t="s">
        <v>92</v>
      </c>
      <c r="F167" t="s">
        <v>92</v>
      </c>
      <c r="G167" t="s">
        <v>92</v>
      </c>
      <c r="H167" t="s">
        <v>92</v>
      </c>
      <c r="I167" s="12" t="s">
        <v>268</v>
      </c>
      <c r="J167" t="s">
        <v>278</v>
      </c>
      <c r="L167" t="s">
        <v>92</v>
      </c>
      <c r="N167" s="14">
        <v>1</v>
      </c>
      <c r="P167" s="12" t="s">
        <v>268</v>
      </c>
      <c r="W167" s="9" t="str">
        <f t="shared" ca="1" si="11"/>
        <v>18.5%</v>
      </c>
      <c r="X167" t="s">
        <v>321</v>
      </c>
      <c r="Y167" s="9" t="str">
        <f t="shared" ca="1" si="12"/>
        <v>Sin costo</v>
      </c>
      <c r="Z167" t="s">
        <v>327</v>
      </c>
      <c r="AA167" t="s">
        <v>329</v>
      </c>
      <c r="AB167" t="s">
        <v>334</v>
      </c>
      <c r="AC167" s="12" t="s">
        <v>339</v>
      </c>
      <c r="AE167" t="s">
        <v>268</v>
      </c>
      <c r="AG167" s="12" t="s">
        <v>268</v>
      </c>
      <c r="AH167" t="s">
        <v>92</v>
      </c>
      <c r="AI167" s="12" t="s">
        <v>268</v>
      </c>
      <c r="AJ167" t="s">
        <v>92</v>
      </c>
      <c r="AK167" t="s">
        <v>92</v>
      </c>
      <c r="AL167" t="s">
        <v>92</v>
      </c>
      <c r="AM167" s="12" t="s">
        <v>268</v>
      </c>
      <c r="AN167" s="12" t="s">
        <v>268</v>
      </c>
      <c r="AO167" s="12" t="s">
        <v>268</v>
      </c>
      <c r="AP167" s="12" t="s">
        <v>268</v>
      </c>
      <c r="AQ167" s="12" t="s">
        <v>268</v>
      </c>
      <c r="AR167" s="28" t="str">
        <f t="shared" ca="1" si="13"/>
        <v/>
      </c>
      <c r="AS167" s="28" t="str">
        <f t="shared" ca="1" si="14"/>
        <v/>
      </c>
    </row>
    <row r="168" spans="2:45" ht="27.6" customHeight="1">
      <c r="B168">
        <f t="shared" ca="1" si="10"/>
        <v>0</v>
      </c>
      <c r="C168" t="s">
        <v>85</v>
      </c>
      <c r="D168" t="s">
        <v>92</v>
      </c>
      <c r="E168" t="s">
        <v>92</v>
      </c>
      <c r="F168" t="s">
        <v>92</v>
      </c>
      <c r="G168" t="s">
        <v>92</v>
      </c>
      <c r="H168" t="s">
        <v>92</v>
      </c>
      <c r="I168" s="12" t="s">
        <v>268</v>
      </c>
      <c r="J168" t="s">
        <v>278</v>
      </c>
      <c r="L168" t="s">
        <v>92</v>
      </c>
      <c r="N168" s="14">
        <v>1</v>
      </c>
      <c r="P168" s="12" t="s">
        <v>268</v>
      </c>
      <c r="W168" s="9" t="str">
        <f t="shared" ca="1" si="11"/>
        <v>18.5%</v>
      </c>
      <c r="X168" t="s">
        <v>321</v>
      </c>
      <c r="Y168" s="9" t="str">
        <f t="shared" ca="1" si="12"/>
        <v>Sin costo</v>
      </c>
      <c r="Z168" t="s">
        <v>327</v>
      </c>
      <c r="AA168" t="s">
        <v>329</v>
      </c>
      <c r="AB168" t="s">
        <v>334</v>
      </c>
      <c r="AC168" s="12" t="s">
        <v>339</v>
      </c>
      <c r="AE168" t="s">
        <v>268</v>
      </c>
      <c r="AG168" s="12" t="s">
        <v>268</v>
      </c>
      <c r="AH168" t="s">
        <v>92</v>
      </c>
      <c r="AI168" s="12" t="s">
        <v>268</v>
      </c>
      <c r="AJ168" t="s">
        <v>92</v>
      </c>
      <c r="AK168" t="s">
        <v>92</v>
      </c>
      <c r="AL168" t="s">
        <v>92</v>
      </c>
      <c r="AM168" s="12" t="s">
        <v>268</v>
      </c>
      <c r="AN168" s="12" t="s">
        <v>268</v>
      </c>
      <c r="AO168" s="12" t="s">
        <v>268</v>
      </c>
      <c r="AP168" s="12" t="s">
        <v>268</v>
      </c>
      <c r="AQ168" s="12" t="s">
        <v>268</v>
      </c>
      <c r="AR168" s="28" t="str">
        <f t="shared" ca="1" si="13"/>
        <v/>
      </c>
      <c r="AS168" s="28" t="str">
        <f t="shared" ca="1" si="14"/>
        <v/>
      </c>
    </row>
    <row r="169" spans="2:45" ht="27.6" customHeight="1">
      <c r="B169">
        <f t="shared" ca="1" si="10"/>
        <v>0</v>
      </c>
      <c r="C169" t="s">
        <v>85</v>
      </c>
      <c r="D169" t="s">
        <v>92</v>
      </c>
      <c r="E169" t="s">
        <v>92</v>
      </c>
      <c r="F169" t="s">
        <v>92</v>
      </c>
      <c r="G169" t="s">
        <v>92</v>
      </c>
      <c r="H169" t="s">
        <v>92</v>
      </c>
      <c r="I169" s="12" t="s">
        <v>268</v>
      </c>
      <c r="J169" t="s">
        <v>278</v>
      </c>
      <c r="L169" t="s">
        <v>92</v>
      </c>
      <c r="N169" s="14">
        <v>1</v>
      </c>
      <c r="P169" s="12" t="s">
        <v>268</v>
      </c>
      <c r="W169" s="9" t="str">
        <f t="shared" ca="1" si="11"/>
        <v>18.5%</v>
      </c>
      <c r="X169" t="s">
        <v>321</v>
      </c>
      <c r="Y169" s="9" t="str">
        <f t="shared" ca="1" si="12"/>
        <v>Sin costo</v>
      </c>
      <c r="Z169" t="s">
        <v>327</v>
      </c>
      <c r="AA169" t="s">
        <v>329</v>
      </c>
      <c r="AB169" t="s">
        <v>334</v>
      </c>
      <c r="AC169" s="12" t="s">
        <v>339</v>
      </c>
      <c r="AE169" t="s">
        <v>268</v>
      </c>
      <c r="AG169" s="12" t="s">
        <v>268</v>
      </c>
      <c r="AH169" t="s">
        <v>92</v>
      </c>
      <c r="AI169" s="12" t="s">
        <v>268</v>
      </c>
      <c r="AJ169" t="s">
        <v>92</v>
      </c>
      <c r="AK169" t="s">
        <v>92</v>
      </c>
      <c r="AL169" t="s">
        <v>92</v>
      </c>
      <c r="AM169" s="12" t="s">
        <v>268</v>
      </c>
      <c r="AN169" s="12" t="s">
        <v>268</v>
      </c>
      <c r="AO169" s="12" t="s">
        <v>268</v>
      </c>
      <c r="AP169" s="12" t="s">
        <v>268</v>
      </c>
      <c r="AQ169" s="12" t="s">
        <v>268</v>
      </c>
      <c r="AR169" s="28" t="str">
        <f t="shared" ca="1" si="13"/>
        <v/>
      </c>
      <c r="AS169" s="28" t="str">
        <f t="shared" ca="1" si="14"/>
        <v/>
      </c>
    </row>
    <row r="170" spans="2:45" ht="27.6" customHeight="1">
      <c r="B170">
        <f t="shared" ca="1" si="10"/>
        <v>0</v>
      </c>
      <c r="C170" t="s">
        <v>85</v>
      </c>
      <c r="D170" t="s">
        <v>92</v>
      </c>
      <c r="E170" t="s">
        <v>92</v>
      </c>
      <c r="F170" t="s">
        <v>92</v>
      </c>
      <c r="G170" t="s">
        <v>92</v>
      </c>
      <c r="H170" t="s">
        <v>92</v>
      </c>
      <c r="I170" s="12" t="s">
        <v>268</v>
      </c>
      <c r="J170" t="s">
        <v>278</v>
      </c>
      <c r="L170" t="s">
        <v>92</v>
      </c>
      <c r="N170" s="14">
        <v>1</v>
      </c>
      <c r="P170" s="12" t="s">
        <v>268</v>
      </c>
      <c r="W170" s="9" t="str">
        <f t="shared" ca="1" si="11"/>
        <v>18.5%</v>
      </c>
      <c r="X170" t="s">
        <v>321</v>
      </c>
      <c r="Y170" s="9" t="str">
        <f t="shared" ca="1" si="12"/>
        <v>Sin costo</v>
      </c>
      <c r="Z170" t="s">
        <v>327</v>
      </c>
      <c r="AA170" t="s">
        <v>329</v>
      </c>
      <c r="AB170" t="s">
        <v>334</v>
      </c>
      <c r="AC170" s="12" t="s">
        <v>339</v>
      </c>
      <c r="AE170" t="s">
        <v>268</v>
      </c>
      <c r="AG170" s="12" t="s">
        <v>268</v>
      </c>
      <c r="AH170" t="s">
        <v>92</v>
      </c>
      <c r="AI170" s="12" t="s">
        <v>268</v>
      </c>
      <c r="AJ170" t="s">
        <v>92</v>
      </c>
      <c r="AK170" t="s">
        <v>92</v>
      </c>
      <c r="AL170" t="s">
        <v>92</v>
      </c>
      <c r="AM170" s="12" t="s">
        <v>268</v>
      </c>
      <c r="AN170" s="12" t="s">
        <v>268</v>
      </c>
      <c r="AO170" s="12" t="s">
        <v>268</v>
      </c>
      <c r="AP170" s="12" t="s">
        <v>268</v>
      </c>
      <c r="AQ170" s="12" t="s">
        <v>268</v>
      </c>
      <c r="AR170" s="28" t="str">
        <f t="shared" ca="1" si="13"/>
        <v/>
      </c>
      <c r="AS170" s="28" t="str">
        <f t="shared" ca="1" si="14"/>
        <v/>
      </c>
    </row>
    <row r="171" spans="2:45" ht="27.6" customHeight="1">
      <c r="B171">
        <f t="shared" ca="1" si="10"/>
        <v>0</v>
      </c>
      <c r="C171" t="s">
        <v>85</v>
      </c>
      <c r="D171" t="s">
        <v>92</v>
      </c>
      <c r="E171" t="s">
        <v>92</v>
      </c>
      <c r="F171" t="s">
        <v>92</v>
      </c>
      <c r="G171" t="s">
        <v>92</v>
      </c>
      <c r="H171" t="s">
        <v>92</v>
      </c>
      <c r="I171" s="12" t="s">
        <v>268</v>
      </c>
      <c r="J171" t="s">
        <v>278</v>
      </c>
      <c r="L171" t="s">
        <v>92</v>
      </c>
      <c r="N171" s="14">
        <v>1</v>
      </c>
      <c r="P171" s="12" t="s">
        <v>268</v>
      </c>
      <c r="W171" s="9" t="str">
        <f t="shared" ca="1" si="11"/>
        <v>18.5%</v>
      </c>
      <c r="X171" t="s">
        <v>321</v>
      </c>
      <c r="Y171" s="9" t="str">
        <f t="shared" ca="1" si="12"/>
        <v>Sin costo</v>
      </c>
      <c r="Z171" t="s">
        <v>327</v>
      </c>
      <c r="AA171" t="s">
        <v>329</v>
      </c>
      <c r="AB171" t="s">
        <v>334</v>
      </c>
      <c r="AC171" s="12" t="s">
        <v>339</v>
      </c>
      <c r="AE171" t="s">
        <v>268</v>
      </c>
      <c r="AG171" s="12" t="s">
        <v>268</v>
      </c>
      <c r="AH171" t="s">
        <v>92</v>
      </c>
      <c r="AI171" s="12" t="s">
        <v>268</v>
      </c>
      <c r="AJ171" t="s">
        <v>92</v>
      </c>
      <c r="AK171" t="s">
        <v>92</v>
      </c>
      <c r="AL171" t="s">
        <v>92</v>
      </c>
      <c r="AM171" s="12" t="s">
        <v>268</v>
      </c>
      <c r="AN171" s="12" t="s">
        <v>268</v>
      </c>
      <c r="AO171" s="12" t="s">
        <v>268</v>
      </c>
      <c r="AP171" s="12" t="s">
        <v>268</v>
      </c>
      <c r="AQ171" s="12" t="s">
        <v>268</v>
      </c>
      <c r="AR171" s="28" t="str">
        <f t="shared" ca="1" si="13"/>
        <v/>
      </c>
      <c r="AS171" s="28" t="str">
        <f t="shared" ca="1" si="14"/>
        <v/>
      </c>
    </row>
    <row r="172" spans="2:45" ht="27.6" customHeight="1">
      <c r="B172">
        <f t="shared" ca="1" si="10"/>
        <v>0</v>
      </c>
      <c r="C172" t="s">
        <v>85</v>
      </c>
      <c r="D172" t="s">
        <v>92</v>
      </c>
      <c r="E172" t="s">
        <v>92</v>
      </c>
      <c r="F172" t="s">
        <v>92</v>
      </c>
      <c r="G172" t="s">
        <v>92</v>
      </c>
      <c r="H172" t="s">
        <v>92</v>
      </c>
      <c r="I172" s="12" t="s">
        <v>268</v>
      </c>
      <c r="J172" t="s">
        <v>278</v>
      </c>
      <c r="L172" t="s">
        <v>92</v>
      </c>
      <c r="N172" s="14">
        <v>1</v>
      </c>
      <c r="P172" s="12" t="s">
        <v>268</v>
      </c>
      <c r="W172" s="9" t="str">
        <f t="shared" ca="1" si="11"/>
        <v>18.5%</v>
      </c>
      <c r="X172" t="s">
        <v>321</v>
      </c>
      <c r="Y172" s="9" t="str">
        <f t="shared" ca="1" si="12"/>
        <v>Sin costo</v>
      </c>
      <c r="Z172" t="s">
        <v>327</v>
      </c>
      <c r="AA172" t="s">
        <v>329</v>
      </c>
      <c r="AB172" t="s">
        <v>334</v>
      </c>
      <c r="AC172" s="12" t="s">
        <v>339</v>
      </c>
      <c r="AE172" t="s">
        <v>268</v>
      </c>
      <c r="AG172" s="12" t="s">
        <v>268</v>
      </c>
      <c r="AH172" t="s">
        <v>92</v>
      </c>
      <c r="AI172" s="12" t="s">
        <v>268</v>
      </c>
      <c r="AJ172" t="s">
        <v>92</v>
      </c>
      <c r="AK172" t="s">
        <v>92</v>
      </c>
      <c r="AL172" t="s">
        <v>92</v>
      </c>
      <c r="AM172" s="12" t="s">
        <v>268</v>
      </c>
      <c r="AN172" s="12" t="s">
        <v>268</v>
      </c>
      <c r="AO172" s="12" t="s">
        <v>268</v>
      </c>
      <c r="AP172" s="12" t="s">
        <v>268</v>
      </c>
      <c r="AQ172" s="12" t="s">
        <v>268</v>
      </c>
      <c r="AR172" s="28" t="str">
        <f t="shared" ca="1" si="13"/>
        <v/>
      </c>
      <c r="AS172" s="28" t="str">
        <f t="shared" ca="1" si="14"/>
        <v/>
      </c>
    </row>
    <row r="173" spans="2:45" ht="27.6" customHeight="1">
      <c r="B173">
        <f t="shared" ca="1" si="10"/>
        <v>0</v>
      </c>
      <c r="C173" t="s">
        <v>85</v>
      </c>
      <c r="D173" t="s">
        <v>92</v>
      </c>
      <c r="E173" t="s">
        <v>92</v>
      </c>
      <c r="F173" t="s">
        <v>92</v>
      </c>
      <c r="G173" t="s">
        <v>92</v>
      </c>
      <c r="H173" t="s">
        <v>92</v>
      </c>
      <c r="I173" s="12" t="s">
        <v>268</v>
      </c>
      <c r="J173" t="s">
        <v>278</v>
      </c>
      <c r="L173" t="s">
        <v>92</v>
      </c>
      <c r="N173" s="14">
        <v>1</v>
      </c>
      <c r="P173" s="12" t="s">
        <v>268</v>
      </c>
      <c r="W173" s="9" t="str">
        <f t="shared" ca="1" si="11"/>
        <v>18.5%</v>
      </c>
      <c r="X173" t="s">
        <v>321</v>
      </c>
      <c r="Y173" s="9" t="str">
        <f t="shared" ca="1" si="12"/>
        <v>Sin costo</v>
      </c>
      <c r="Z173" t="s">
        <v>327</v>
      </c>
      <c r="AA173" t="s">
        <v>329</v>
      </c>
      <c r="AB173" t="s">
        <v>334</v>
      </c>
      <c r="AC173" s="12" t="s">
        <v>339</v>
      </c>
      <c r="AE173" t="s">
        <v>268</v>
      </c>
      <c r="AG173" s="12" t="s">
        <v>268</v>
      </c>
      <c r="AH173" t="s">
        <v>92</v>
      </c>
      <c r="AI173" s="12" t="s">
        <v>268</v>
      </c>
      <c r="AJ173" t="s">
        <v>92</v>
      </c>
      <c r="AK173" t="s">
        <v>92</v>
      </c>
      <c r="AL173" t="s">
        <v>92</v>
      </c>
      <c r="AM173" s="12" t="s">
        <v>268</v>
      </c>
      <c r="AN173" s="12" t="s">
        <v>268</v>
      </c>
      <c r="AO173" s="12" t="s">
        <v>268</v>
      </c>
      <c r="AP173" s="12" t="s">
        <v>268</v>
      </c>
      <c r="AQ173" s="12" t="s">
        <v>268</v>
      </c>
      <c r="AR173" s="28" t="str">
        <f t="shared" ca="1" si="13"/>
        <v/>
      </c>
      <c r="AS173" s="28" t="str">
        <f t="shared" ca="1" si="14"/>
        <v/>
      </c>
    </row>
    <row r="174" spans="2:45" ht="27.6" customHeight="1">
      <c r="B174">
        <f t="shared" ca="1" si="10"/>
        <v>0</v>
      </c>
      <c r="C174" t="s">
        <v>85</v>
      </c>
      <c r="D174" t="s">
        <v>92</v>
      </c>
      <c r="E174" t="s">
        <v>92</v>
      </c>
      <c r="F174" t="s">
        <v>92</v>
      </c>
      <c r="G174" t="s">
        <v>92</v>
      </c>
      <c r="H174" t="s">
        <v>92</v>
      </c>
      <c r="I174" s="12" t="s">
        <v>268</v>
      </c>
      <c r="J174" t="s">
        <v>278</v>
      </c>
      <c r="L174" t="s">
        <v>92</v>
      </c>
      <c r="N174" s="14">
        <v>1</v>
      </c>
      <c r="P174" s="12" t="s">
        <v>268</v>
      </c>
      <c r="W174" s="9" t="str">
        <f t="shared" ca="1" si="11"/>
        <v>18.5%</v>
      </c>
      <c r="X174" t="s">
        <v>321</v>
      </c>
      <c r="Y174" s="9" t="str">
        <f t="shared" ca="1" si="12"/>
        <v>Sin costo</v>
      </c>
      <c r="Z174" t="s">
        <v>327</v>
      </c>
      <c r="AA174" t="s">
        <v>329</v>
      </c>
      <c r="AB174" t="s">
        <v>334</v>
      </c>
      <c r="AC174" s="12" t="s">
        <v>339</v>
      </c>
      <c r="AE174" t="s">
        <v>268</v>
      </c>
      <c r="AG174" s="12" t="s">
        <v>268</v>
      </c>
      <c r="AH174" t="s">
        <v>92</v>
      </c>
      <c r="AI174" s="12" t="s">
        <v>268</v>
      </c>
      <c r="AJ174" t="s">
        <v>92</v>
      </c>
      <c r="AK174" t="s">
        <v>92</v>
      </c>
      <c r="AL174" t="s">
        <v>92</v>
      </c>
      <c r="AM174" s="12" t="s">
        <v>268</v>
      </c>
      <c r="AN174" s="12" t="s">
        <v>268</v>
      </c>
      <c r="AO174" s="12" t="s">
        <v>268</v>
      </c>
      <c r="AP174" s="12" t="s">
        <v>268</v>
      </c>
      <c r="AQ174" s="12" t="s">
        <v>268</v>
      </c>
      <c r="AR174" s="28" t="str">
        <f t="shared" ca="1" si="13"/>
        <v/>
      </c>
      <c r="AS174" s="28" t="str">
        <f t="shared" ca="1" si="14"/>
        <v/>
      </c>
    </row>
    <row r="175" spans="2:45" ht="27.6" customHeight="1">
      <c r="B175">
        <f t="shared" ca="1" si="10"/>
        <v>0</v>
      </c>
      <c r="C175" t="s">
        <v>85</v>
      </c>
      <c r="D175" t="s">
        <v>92</v>
      </c>
      <c r="E175" t="s">
        <v>92</v>
      </c>
      <c r="F175" t="s">
        <v>92</v>
      </c>
      <c r="G175" t="s">
        <v>92</v>
      </c>
      <c r="H175" t="s">
        <v>92</v>
      </c>
      <c r="I175" s="12" t="s">
        <v>268</v>
      </c>
      <c r="J175" t="s">
        <v>278</v>
      </c>
      <c r="L175" t="s">
        <v>92</v>
      </c>
      <c r="N175" s="14">
        <v>1</v>
      </c>
      <c r="P175" s="12" t="s">
        <v>268</v>
      </c>
      <c r="W175" s="9" t="str">
        <f t="shared" ca="1" si="11"/>
        <v>18.5%</v>
      </c>
      <c r="X175" t="s">
        <v>321</v>
      </c>
      <c r="Y175" s="9" t="str">
        <f t="shared" ca="1" si="12"/>
        <v>Sin costo</v>
      </c>
      <c r="Z175" t="s">
        <v>327</v>
      </c>
      <c r="AA175" t="s">
        <v>329</v>
      </c>
      <c r="AB175" t="s">
        <v>334</v>
      </c>
      <c r="AC175" s="12" t="s">
        <v>339</v>
      </c>
      <c r="AE175" t="s">
        <v>268</v>
      </c>
      <c r="AG175" s="12" t="s">
        <v>268</v>
      </c>
      <c r="AH175" t="s">
        <v>92</v>
      </c>
      <c r="AI175" s="12" t="s">
        <v>268</v>
      </c>
      <c r="AJ175" t="s">
        <v>92</v>
      </c>
      <c r="AK175" t="s">
        <v>92</v>
      </c>
      <c r="AL175" t="s">
        <v>92</v>
      </c>
      <c r="AM175" s="12" t="s">
        <v>268</v>
      </c>
      <c r="AN175" s="12" t="s">
        <v>268</v>
      </c>
      <c r="AO175" s="12" t="s">
        <v>268</v>
      </c>
      <c r="AP175" s="12" t="s">
        <v>268</v>
      </c>
      <c r="AQ175" s="12" t="s">
        <v>268</v>
      </c>
      <c r="AR175" s="28" t="str">
        <f t="shared" ca="1" si="13"/>
        <v/>
      </c>
      <c r="AS175" s="28" t="str">
        <f t="shared" ca="1" si="14"/>
        <v/>
      </c>
    </row>
    <row r="176" spans="2:45" ht="27.6" customHeight="1">
      <c r="B176">
        <f t="shared" ca="1" si="10"/>
        <v>0</v>
      </c>
      <c r="C176" t="s">
        <v>85</v>
      </c>
      <c r="D176" t="s">
        <v>92</v>
      </c>
      <c r="E176" t="s">
        <v>92</v>
      </c>
      <c r="F176" t="s">
        <v>92</v>
      </c>
      <c r="G176" t="s">
        <v>92</v>
      </c>
      <c r="H176" t="s">
        <v>92</v>
      </c>
      <c r="I176" s="12" t="s">
        <v>268</v>
      </c>
      <c r="J176" t="s">
        <v>278</v>
      </c>
      <c r="L176" t="s">
        <v>92</v>
      </c>
      <c r="N176" s="14">
        <v>1</v>
      </c>
      <c r="P176" s="12" t="s">
        <v>268</v>
      </c>
      <c r="W176" s="9" t="str">
        <f t="shared" ca="1" si="11"/>
        <v>18.5%</v>
      </c>
      <c r="X176" t="s">
        <v>321</v>
      </c>
      <c r="Y176" s="9" t="str">
        <f t="shared" ca="1" si="12"/>
        <v>Sin costo</v>
      </c>
      <c r="Z176" t="s">
        <v>327</v>
      </c>
      <c r="AA176" t="s">
        <v>329</v>
      </c>
      <c r="AB176" t="s">
        <v>334</v>
      </c>
      <c r="AC176" s="12" t="s">
        <v>339</v>
      </c>
      <c r="AE176" t="s">
        <v>268</v>
      </c>
      <c r="AG176" s="12" t="s">
        <v>268</v>
      </c>
      <c r="AH176" t="s">
        <v>92</v>
      </c>
      <c r="AI176" s="12" t="s">
        <v>268</v>
      </c>
      <c r="AJ176" t="s">
        <v>92</v>
      </c>
      <c r="AK176" t="s">
        <v>92</v>
      </c>
      <c r="AL176" t="s">
        <v>92</v>
      </c>
      <c r="AM176" s="12" t="s">
        <v>268</v>
      </c>
      <c r="AN176" s="12" t="s">
        <v>268</v>
      </c>
      <c r="AO176" s="12" t="s">
        <v>268</v>
      </c>
      <c r="AP176" s="12" t="s">
        <v>268</v>
      </c>
      <c r="AQ176" s="12" t="s">
        <v>268</v>
      </c>
      <c r="AR176" s="28" t="str">
        <f t="shared" ca="1" si="13"/>
        <v/>
      </c>
      <c r="AS176" s="28" t="str">
        <f t="shared" ca="1" si="14"/>
        <v/>
      </c>
    </row>
    <row r="177" spans="2:45" ht="27.6" customHeight="1">
      <c r="B177">
        <f t="shared" ca="1" si="10"/>
        <v>0</v>
      </c>
      <c r="C177" t="s">
        <v>85</v>
      </c>
      <c r="D177" t="s">
        <v>92</v>
      </c>
      <c r="E177" t="s">
        <v>92</v>
      </c>
      <c r="F177" t="s">
        <v>92</v>
      </c>
      <c r="G177" t="s">
        <v>92</v>
      </c>
      <c r="H177" t="s">
        <v>92</v>
      </c>
      <c r="I177" s="12" t="s">
        <v>268</v>
      </c>
      <c r="J177" t="s">
        <v>278</v>
      </c>
      <c r="L177" t="s">
        <v>92</v>
      </c>
      <c r="N177" s="14">
        <v>1</v>
      </c>
      <c r="P177" s="12" t="s">
        <v>268</v>
      </c>
      <c r="W177" s="9" t="str">
        <f t="shared" ca="1" si="11"/>
        <v>18.5%</v>
      </c>
      <c r="X177" t="s">
        <v>321</v>
      </c>
      <c r="Y177" s="9" t="str">
        <f t="shared" ca="1" si="12"/>
        <v>Sin costo</v>
      </c>
      <c r="Z177" t="s">
        <v>327</v>
      </c>
      <c r="AA177" t="s">
        <v>329</v>
      </c>
      <c r="AB177" t="s">
        <v>334</v>
      </c>
      <c r="AC177" s="12" t="s">
        <v>339</v>
      </c>
      <c r="AE177" t="s">
        <v>268</v>
      </c>
      <c r="AG177" s="12" t="s">
        <v>268</v>
      </c>
      <c r="AH177" t="s">
        <v>92</v>
      </c>
      <c r="AI177" s="12" t="s">
        <v>268</v>
      </c>
      <c r="AJ177" t="s">
        <v>92</v>
      </c>
      <c r="AK177" t="s">
        <v>92</v>
      </c>
      <c r="AL177" t="s">
        <v>92</v>
      </c>
      <c r="AM177" s="12" t="s">
        <v>268</v>
      </c>
      <c r="AN177" s="12" t="s">
        <v>268</v>
      </c>
      <c r="AO177" s="12" t="s">
        <v>268</v>
      </c>
      <c r="AP177" s="12" t="s">
        <v>268</v>
      </c>
      <c r="AQ177" s="12" t="s">
        <v>268</v>
      </c>
      <c r="AR177" s="28" t="str">
        <f t="shared" ca="1" si="13"/>
        <v/>
      </c>
      <c r="AS177" s="28" t="str">
        <f t="shared" ca="1" si="14"/>
        <v/>
      </c>
    </row>
    <row r="178" spans="2:45" ht="27.6" customHeight="1">
      <c r="B178">
        <f t="shared" ca="1" si="10"/>
        <v>0</v>
      </c>
      <c r="C178" t="s">
        <v>85</v>
      </c>
      <c r="D178" t="s">
        <v>92</v>
      </c>
      <c r="E178" t="s">
        <v>92</v>
      </c>
      <c r="F178" t="s">
        <v>92</v>
      </c>
      <c r="G178" t="s">
        <v>92</v>
      </c>
      <c r="H178" t="s">
        <v>92</v>
      </c>
      <c r="I178" s="12" t="s">
        <v>268</v>
      </c>
      <c r="J178" t="s">
        <v>278</v>
      </c>
      <c r="L178" t="s">
        <v>92</v>
      </c>
      <c r="N178" s="14">
        <v>1</v>
      </c>
      <c r="P178" s="12" t="s">
        <v>268</v>
      </c>
      <c r="W178" s="9" t="str">
        <f t="shared" ca="1" si="11"/>
        <v>18.5%</v>
      </c>
      <c r="X178" t="s">
        <v>321</v>
      </c>
      <c r="Y178" s="9" t="str">
        <f t="shared" ca="1" si="12"/>
        <v>Sin costo</v>
      </c>
      <c r="Z178" t="s">
        <v>327</v>
      </c>
      <c r="AA178" t="s">
        <v>329</v>
      </c>
      <c r="AB178" t="s">
        <v>334</v>
      </c>
      <c r="AC178" s="12" t="s">
        <v>339</v>
      </c>
      <c r="AE178" t="s">
        <v>268</v>
      </c>
      <c r="AG178" s="12" t="s">
        <v>268</v>
      </c>
      <c r="AH178" t="s">
        <v>92</v>
      </c>
      <c r="AI178" s="12" t="s">
        <v>268</v>
      </c>
      <c r="AJ178" t="s">
        <v>92</v>
      </c>
      <c r="AK178" t="s">
        <v>92</v>
      </c>
      <c r="AL178" t="s">
        <v>92</v>
      </c>
      <c r="AM178" s="12" t="s">
        <v>268</v>
      </c>
      <c r="AN178" s="12" t="s">
        <v>268</v>
      </c>
      <c r="AO178" s="12" t="s">
        <v>268</v>
      </c>
      <c r="AP178" s="12" t="s">
        <v>268</v>
      </c>
      <c r="AQ178" s="12" t="s">
        <v>268</v>
      </c>
      <c r="AR178" s="28" t="str">
        <f t="shared" ca="1" si="13"/>
        <v/>
      </c>
      <c r="AS178" s="28" t="str">
        <f t="shared" ca="1" si="14"/>
        <v/>
      </c>
    </row>
    <row r="179" spans="2:45" ht="27.6" customHeight="1">
      <c r="B179">
        <f t="shared" ca="1" si="10"/>
        <v>0</v>
      </c>
      <c r="C179" t="s">
        <v>85</v>
      </c>
      <c r="D179" t="s">
        <v>92</v>
      </c>
      <c r="E179" t="s">
        <v>92</v>
      </c>
      <c r="F179" t="s">
        <v>92</v>
      </c>
      <c r="G179" t="s">
        <v>92</v>
      </c>
      <c r="H179" t="s">
        <v>92</v>
      </c>
      <c r="I179" s="12" t="s">
        <v>268</v>
      </c>
      <c r="J179" t="s">
        <v>278</v>
      </c>
      <c r="L179" t="s">
        <v>92</v>
      </c>
      <c r="N179" s="14">
        <v>1</v>
      </c>
      <c r="P179" s="12" t="s">
        <v>268</v>
      </c>
      <c r="W179" s="9" t="str">
        <f t="shared" ca="1" si="11"/>
        <v>18.5%</v>
      </c>
      <c r="X179" t="s">
        <v>321</v>
      </c>
      <c r="Y179" s="9" t="str">
        <f t="shared" ca="1" si="12"/>
        <v>Sin costo</v>
      </c>
      <c r="Z179" t="s">
        <v>327</v>
      </c>
      <c r="AA179" t="s">
        <v>329</v>
      </c>
      <c r="AB179" t="s">
        <v>334</v>
      </c>
      <c r="AC179" s="12" t="s">
        <v>339</v>
      </c>
      <c r="AE179" t="s">
        <v>268</v>
      </c>
      <c r="AG179" s="12" t="s">
        <v>268</v>
      </c>
      <c r="AH179" t="s">
        <v>92</v>
      </c>
      <c r="AI179" s="12" t="s">
        <v>268</v>
      </c>
      <c r="AJ179" t="s">
        <v>92</v>
      </c>
      <c r="AK179" t="s">
        <v>92</v>
      </c>
      <c r="AL179" t="s">
        <v>92</v>
      </c>
      <c r="AM179" s="12" t="s">
        <v>268</v>
      </c>
      <c r="AN179" s="12" t="s">
        <v>268</v>
      </c>
      <c r="AO179" s="12" t="s">
        <v>268</v>
      </c>
      <c r="AP179" s="12" t="s">
        <v>268</v>
      </c>
      <c r="AQ179" s="12" t="s">
        <v>268</v>
      </c>
      <c r="AR179" s="28" t="str">
        <f t="shared" ca="1" si="13"/>
        <v/>
      </c>
      <c r="AS179" s="28" t="str">
        <f t="shared" ca="1" si="14"/>
        <v/>
      </c>
    </row>
    <row r="180" spans="2:45" ht="27.6" customHeight="1">
      <c r="B180">
        <f t="shared" ca="1" si="10"/>
        <v>0</v>
      </c>
      <c r="C180" t="s">
        <v>85</v>
      </c>
      <c r="D180" t="s">
        <v>92</v>
      </c>
      <c r="E180" t="s">
        <v>92</v>
      </c>
      <c r="F180" t="s">
        <v>92</v>
      </c>
      <c r="G180" t="s">
        <v>92</v>
      </c>
      <c r="H180" t="s">
        <v>92</v>
      </c>
      <c r="I180" s="12" t="s">
        <v>268</v>
      </c>
      <c r="J180" t="s">
        <v>278</v>
      </c>
      <c r="L180" t="s">
        <v>92</v>
      </c>
      <c r="N180" s="14">
        <v>1</v>
      </c>
      <c r="P180" s="12" t="s">
        <v>268</v>
      </c>
      <c r="W180" s="9" t="str">
        <f t="shared" ca="1" si="11"/>
        <v>18.5%</v>
      </c>
      <c r="X180" t="s">
        <v>321</v>
      </c>
      <c r="Y180" s="9" t="str">
        <f t="shared" ca="1" si="12"/>
        <v>Sin costo</v>
      </c>
      <c r="Z180" t="s">
        <v>327</v>
      </c>
      <c r="AA180" t="s">
        <v>329</v>
      </c>
      <c r="AB180" t="s">
        <v>334</v>
      </c>
      <c r="AC180" s="12" t="s">
        <v>339</v>
      </c>
      <c r="AE180" t="s">
        <v>268</v>
      </c>
      <c r="AG180" s="12" t="s">
        <v>268</v>
      </c>
      <c r="AH180" t="s">
        <v>92</v>
      </c>
      <c r="AI180" s="12" t="s">
        <v>268</v>
      </c>
      <c r="AJ180" t="s">
        <v>92</v>
      </c>
      <c r="AK180" t="s">
        <v>92</v>
      </c>
      <c r="AL180" t="s">
        <v>92</v>
      </c>
      <c r="AM180" s="12" t="s">
        <v>268</v>
      </c>
      <c r="AN180" s="12" t="s">
        <v>268</v>
      </c>
      <c r="AO180" s="12" t="s">
        <v>268</v>
      </c>
      <c r="AP180" s="12" t="s">
        <v>268</v>
      </c>
      <c r="AQ180" s="12" t="s">
        <v>268</v>
      </c>
      <c r="AR180" s="28" t="str">
        <f t="shared" ca="1" si="13"/>
        <v/>
      </c>
      <c r="AS180" s="28" t="str">
        <f t="shared" ca="1" si="14"/>
        <v/>
      </c>
    </row>
    <row r="181" spans="2:45" ht="27.6" customHeight="1">
      <c r="B181">
        <f t="shared" ca="1" si="10"/>
        <v>0</v>
      </c>
      <c r="C181" t="s">
        <v>85</v>
      </c>
      <c r="D181" t="s">
        <v>92</v>
      </c>
      <c r="E181" t="s">
        <v>92</v>
      </c>
      <c r="F181" t="s">
        <v>92</v>
      </c>
      <c r="G181" t="s">
        <v>92</v>
      </c>
      <c r="H181" t="s">
        <v>92</v>
      </c>
      <c r="I181" s="12" t="s">
        <v>268</v>
      </c>
      <c r="J181" t="s">
        <v>278</v>
      </c>
      <c r="L181" t="s">
        <v>92</v>
      </c>
      <c r="N181" s="14">
        <v>1</v>
      </c>
      <c r="P181" s="12" t="s">
        <v>268</v>
      </c>
      <c r="W181" s="9" t="str">
        <f t="shared" ca="1" si="11"/>
        <v>18.5%</v>
      </c>
      <c r="X181" t="s">
        <v>321</v>
      </c>
      <c r="Y181" s="9" t="str">
        <f t="shared" ca="1" si="12"/>
        <v>Sin costo</v>
      </c>
      <c r="Z181" t="s">
        <v>327</v>
      </c>
      <c r="AA181" t="s">
        <v>329</v>
      </c>
      <c r="AB181" t="s">
        <v>334</v>
      </c>
      <c r="AC181" s="12" t="s">
        <v>339</v>
      </c>
      <c r="AE181" t="s">
        <v>268</v>
      </c>
      <c r="AG181" s="12" t="s">
        <v>268</v>
      </c>
      <c r="AH181" t="s">
        <v>92</v>
      </c>
      <c r="AI181" s="12" t="s">
        <v>268</v>
      </c>
      <c r="AJ181" t="s">
        <v>92</v>
      </c>
      <c r="AK181" t="s">
        <v>92</v>
      </c>
      <c r="AL181" t="s">
        <v>92</v>
      </c>
      <c r="AM181" s="12" t="s">
        <v>268</v>
      </c>
      <c r="AN181" s="12" t="s">
        <v>268</v>
      </c>
      <c r="AO181" s="12" t="s">
        <v>268</v>
      </c>
      <c r="AP181" s="12" t="s">
        <v>268</v>
      </c>
      <c r="AQ181" s="12" t="s">
        <v>268</v>
      </c>
      <c r="AR181" s="28" t="str">
        <f t="shared" ca="1" si="13"/>
        <v/>
      </c>
      <c r="AS181" s="28" t="str">
        <f t="shared" ca="1" si="14"/>
        <v/>
      </c>
    </row>
    <row r="182" spans="2:45" ht="27.6" customHeight="1">
      <c r="B182">
        <f t="shared" ca="1" si="10"/>
        <v>0</v>
      </c>
      <c r="C182" t="s">
        <v>85</v>
      </c>
      <c r="D182" t="s">
        <v>92</v>
      </c>
      <c r="E182" t="s">
        <v>92</v>
      </c>
      <c r="F182" t="s">
        <v>92</v>
      </c>
      <c r="G182" t="s">
        <v>92</v>
      </c>
      <c r="H182" t="s">
        <v>92</v>
      </c>
      <c r="I182" s="12" t="s">
        <v>268</v>
      </c>
      <c r="J182" t="s">
        <v>278</v>
      </c>
      <c r="L182" t="s">
        <v>92</v>
      </c>
      <c r="N182" s="14">
        <v>1</v>
      </c>
      <c r="P182" s="12" t="s">
        <v>268</v>
      </c>
      <c r="W182" s="9" t="str">
        <f t="shared" ca="1" si="11"/>
        <v>18.5%</v>
      </c>
      <c r="X182" t="s">
        <v>321</v>
      </c>
      <c r="Y182" s="9" t="str">
        <f t="shared" ca="1" si="12"/>
        <v>Sin costo</v>
      </c>
      <c r="Z182" t="s">
        <v>327</v>
      </c>
      <c r="AA182" t="s">
        <v>329</v>
      </c>
      <c r="AB182" t="s">
        <v>334</v>
      </c>
      <c r="AC182" s="12" t="s">
        <v>339</v>
      </c>
      <c r="AE182" t="s">
        <v>268</v>
      </c>
      <c r="AG182" s="12" t="s">
        <v>268</v>
      </c>
      <c r="AH182" t="s">
        <v>92</v>
      </c>
      <c r="AI182" s="12" t="s">
        <v>268</v>
      </c>
      <c r="AJ182" t="s">
        <v>92</v>
      </c>
      <c r="AK182" t="s">
        <v>92</v>
      </c>
      <c r="AL182" t="s">
        <v>92</v>
      </c>
      <c r="AM182" s="12" t="s">
        <v>268</v>
      </c>
      <c r="AN182" s="12" t="s">
        <v>268</v>
      </c>
      <c r="AO182" s="12" t="s">
        <v>268</v>
      </c>
      <c r="AP182" s="12" t="s">
        <v>268</v>
      </c>
      <c r="AQ182" s="12" t="s">
        <v>268</v>
      </c>
      <c r="AR182" s="28" t="str">
        <f t="shared" ca="1" si="13"/>
        <v/>
      </c>
      <c r="AS182" s="28" t="str">
        <f t="shared" ca="1" si="14"/>
        <v/>
      </c>
    </row>
    <row r="183" spans="2:45" ht="27.6" customHeight="1">
      <c r="B183">
        <f t="shared" ca="1" si="10"/>
        <v>0</v>
      </c>
      <c r="C183" t="s">
        <v>85</v>
      </c>
      <c r="D183" t="s">
        <v>92</v>
      </c>
      <c r="E183" t="s">
        <v>92</v>
      </c>
      <c r="F183" t="s">
        <v>92</v>
      </c>
      <c r="G183" t="s">
        <v>92</v>
      </c>
      <c r="H183" t="s">
        <v>92</v>
      </c>
      <c r="I183" s="12" t="s">
        <v>268</v>
      </c>
      <c r="J183" t="s">
        <v>278</v>
      </c>
      <c r="L183" t="s">
        <v>92</v>
      </c>
      <c r="N183" s="14">
        <v>1</v>
      </c>
      <c r="P183" s="12" t="s">
        <v>268</v>
      </c>
      <c r="W183" s="9" t="str">
        <f t="shared" ca="1" si="11"/>
        <v>18.5%</v>
      </c>
      <c r="X183" t="s">
        <v>321</v>
      </c>
      <c r="Y183" s="9" t="str">
        <f t="shared" ca="1" si="12"/>
        <v>Sin costo</v>
      </c>
      <c r="Z183" t="s">
        <v>327</v>
      </c>
      <c r="AA183" t="s">
        <v>329</v>
      </c>
      <c r="AB183" t="s">
        <v>334</v>
      </c>
      <c r="AC183" s="12" t="s">
        <v>339</v>
      </c>
      <c r="AE183" t="s">
        <v>268</v>
      </c>
      <c r="AG183" s="12" t="s">
        <v>268</v>
      </c>
      <c r="AH183" t="s">
        <v>92</v>
      </c>
      <c r="AI183" s="12" t="s">
        <v>268</v>
      </c>
      <c r="AJ183" t="s">
        <v>92</v>
      </c>
      <c r="AK183" t="s">
        <v>92</v>
      </c>
      <c r="AL183" t="s">
        <v>92</v>
      </c>
      <c r="AM183" s="12" t="s">
        <v>268</v>
      </c>
      <c r="AN183" s="12" t="s">
        <v>268</v>
      </c>
      <c r="AO183" s="12" t="s">
        <v>268</v>
      </c>
      <c r="AP183" s="12" t="s">
        <v>268</v>
      </c>
      <c r="AQ183" s="12" t="s">
        <v>268</v>
      </c>
      <c r="AR183" s="28" t="str">
        <f t="shared" ca="1" si="13"/>
        <v/>
      </c>
      <c r="AS183" s="28" t="str">
        <f t="shared" ca="1" si="14"/>
        <v/>
      </c>
    </row>
    <row r="184" spans="2:45" ht="27.6" customHeight="1">
      <c r="B184">
        <f t="shared" ca="1" si="10"/>
        <v>0</v>
      </c>
      <c r="C184" t="s">
        <v>85</v>
      </c>
      <c r="D184" t="s">
        <v>92</v>
      </c>
      <c r="E184" t="s">
        <v>92</v>
      </c>
      <c r="F184" t="s">
        <v>92</v>
      </c>
      <c r="G184" t="s">
        <v>92</v>
      </c>
      <c r="H184" t="s">
        <v>92</v>
      </c>
      <c r="I184" s="12" t="s">
        <v>268</v>
      </c>
      <c r="J184" t="s">
        <v>278</v>
      </c>
      <c r="L184" t="s">
        <v>92</v>
      </c>
      <c r="N184" s="14">
        <v>1</v>
      </c>
      <c r="P184" s="12" t="s">
        <v>268</v>
      </c>
      <c r="W184" s="9" t="str">
        <f t="shared" ca="1" si="11"/>
        <v>18.5%</v>
      </c>
      <c r="X184" t="s">
        <v>321</v>
      </c>
      <c r="Y184" s="9" t="str">
        <f t="shared" ca="1" si="12"/>
        <v>Sin costo</v>
      </c>
      <c r="Z184" t="s">
        <v>327</v>
      </c>
      <c r="AA184" t="s">
        <v>329</v>
      </c>
      <c r="AB184" t="s">
        <v>334</v>
      </c>
      <c r="AC184" s="12" t="s">
        <v>339</v>
      </c>
      <c r="AE184" t="s">
        <v>268</v>
      </c>
      <c r="AG184" s="12" t="s">
        <v>268</v>
      </c>
      <c r="AH184" t="s">
        <v>92</v>
      </c>
      <c r="AI184" s="12" t="s">
        <v>268</v>
      </c>
      <c r="AJ184" t="s">
        <v>92</v>
      </c>
      <c r="AK184" t="s">
        <v>92</v>
      </c>
      <c r="AL184" t="s">
        <v>92</v>
      </c>
      <c r="AM184" s="12" t="s">
        <v>268</v>
      </c>
      <c r="AN184" s="12" t="s">
        <v>268</v>
      </c>
      <c r="AO184" s="12" t="s">
        <v>268</v>
      </c>
      <c r="AP184" s="12" t="s">
        <v>268</v>
      </c>
      <c r="AQ184" s="12" t="s">
        <v>268</v>
      </c>
      <c r="AR184" s="28" t="str">
        <f t="shared" ca="1" si="13"/>
        <v/>
      </c>
      <c r="AS184" s="28" t="str">
        <f t="shared" ca="1" si="14"/>
        <v/>
      </c>
    </row>
    <row r="185" spans="2:45" ht="27.6" customHeight="1">
      <c r="B185">
        <f t="shared" ca="1" si="10"/>
        <v>0</v>
      </c>
      <c r="C185" t="s">
        <v>85</v>
      </c>
      <c r="D185" t="s">
        <v>92</v>
      </c>
      <c r="E185" t="s">
        <v>92</v>
      </c>
      <c r="F185" t="s">
        <v>92</v>
      </c>
      <c r="G185" t="s">
        <v>92</v>
      </c>
      <c r="H185" t="s">
        <v>92</v>
      </c>
      <c r="I185" s="12" t="s">
        <v>268</v>
      </c>
      <c r="J185" t="s">
        <v>278</v>
      </c>
      <c r="L185" t="s">
        <v>92</v>
      </c>
      <c r="N185" s="14">
        <v>1</v>
      </c>
      <c r="P185" s="12" t="s">
        <v>268</v>
      </c>
      <c r="W185" s="9" t="str">
        <f t="shared" ca="1" si="11"/>
        <v>18.5%</v>
      </c>
      <c r="X185" t="s">
        <v>321</v>
      </c>
      <c r="Y185" s="9" t="str">
        <f t="shared" ca="1" si="12"/>
        <v>Sin costo</v>
      </c>
      <c r="Z185" t="s">
        <v>327</v>
      </c>
      <c r="AA185" t="s">
        <v>329</v>
      </c>
      <c r="AB185" t="s">
        <v>334</v>
      </c>
      <c r="AC185" s="12" t="s">
        <v>339</v>
      </c>
      <c r="AE185" t="s">
        <v>268</v>
      </c>
      <c r="AG185" s="12" t="s">
        <v>268</v>
      </c>
      <c r="AH185" t="s">
        <v>92</v>
      </c>
      <c r="AI185" s="12" t="s">
        <v>268</v>
      </c>
      <c r="AJ185" t="s">
        <v>92</v>
      </c>
      <c r="AK185" t="s">
        <v>92</v>
      </c>
      <c r="AL185" t="s">
        <v>92</v>
      </c>
      <c r="AM185" s="12" t="s">
        <v>268</v>
      </c>
      <c r="AN185" s="12" t="s">
        <v>268</v>
      </c>
      <c r="AO185" s="12" t="s">
        <v>268</v>
      </c>
      <c r="AP185" s="12" t="s">
        <v>268</v>
      </c>
      <c r="AQ185" s="12" t="s">
        <v>268</v>
      </c>
      <c r="AR185" s="28" t="str">
        <f t="shared" ca="1" si="13"/>
        <v/>
      </c>
      <c r="AS185" s="28" t="str">
        <f t="shared" ca="1" si="14"/>
        <v/>
      </c>
    </row>
    <row r="186" spans="2:45" ht="27.6" customHeight="1">
      <c r="B186">
        <f t="shared" ca="1" si="10"/>
        <v>0</v>
      </c>
      <c r="C186" t="s">
        <v>85</v>
      </c>
      <c r="D186" t="s">
        <v>92</v>
      </c>
      <c r="E186" t="s">
        <v>92</v>
      </c>
      <c r="F186" t="s">
        <v>92</v>
      </c>
      <c r="G186" t="s">
        <v>92</v>
      </c>
      <c r="H186" t="s">
        <v>92</v>
      </c>
      <c r="I186" s="12" t="s">
        <v>268</v>
      </c>
      <c r="J186" t="s">
        <v>278</v>
      </c>
      <c r="L186" t="s">
        <v>92</v>
      </c>
      <c r="N186" s="14">
        <v>1</v>
      </c>
      <c r="P186" s="12" t="s">
        <v>268</v>
      </c>
      <c r="W186" s="9" t="str">
        <f t="shared" ca="1" si="11"/>
        <v>18.5%</v>
      </c>
      <c r="X186" t="s">
        <v>321</v>
      </c>
      <c r="Y186" s="9" t="str">
        <f t="shared" ca="1" si="12"/>
        <v>Sin costo</v>
      </c>
      <c r="Z186" t="s">
        <v>327</v>
      </c>
      <c r="AA186" t="s">
        <v>329</v>
      </c>
      <c r="AB186" t="s">
        <v>334</v>
      </c>
      <c r="AC186" s="12" t="s">
        <v>339</v>
      </c>
      <c r="AE186" t="s">
        <v>268</v>
      </c>
      <c r="AG186" s="12" t="s">
        <v>268</v>
      </c>
      <c r="AH186" t="s">
        <v>92</v>
      </c>
      <c r="AI186" s="12" t="s">
        <v>268</v>
      </c>
      <c r="AJ186" t="s">
        <v>92</v>
      </c>
      <c r="AK186" t="s">
        <v>92</v>
      </c>
      <c r="AL186" t="s">
        <v>92</v>
      </c>
      <c r="AM186" s="12" t="s">
        <v>268</v>
      </c>
      <c r="AN186" s="12" t="s">
        <v>268</v>
      </c>
      <c r="AO186" s="12" t="s">
        <v>268</v>
      </c>
      <c r="AP186" s="12" t="s">
        <v>268</v>
      </c>
      <c r="AQ186" s="12" t="s">
        <v>268</v>
      </c>
      <c r="AR186" s="28" t="str">
        <f t="shared" ca="1" si="13"/>
        <v/>
      </c>
      <c r="AS186" s="28" t="str">
        <f t="shared" ca="1" si="14"/>
        <v/>
      </c>
    </row>
    <row r="187" spans="2:45" ht="27.6" customHeight="1">
      <c r="B187">
        <f t="shared" ca="1" si="10"/>
        <v>0</v>
      </c>
      <c r="C187" t="s">
        <v>85</v>
      </c>
      <c r="D187" t="s">
        <v>92</v>
      </c>
      <c r="E187" t="s">
        <v>92</v>
      </c>
      <c r="F187" t="s">
        <v>92</v>
      </c>
      <c r="G187" t="s">
        <v>92</v>
      </c>
      <c r="H187" t="s">
        <v>92</v>
      </c>
      <c r="I187" s="12" t="s">
        <v>268</v>
      </c>
      <c r="J187" t="s">
        <v>278</v>
      </c>
      <c r="L187" t="s">
        <v>92</v>
      </c>
      <c r="N187" s="14">
        <v>1</v>
      </c>
      <c r="P187" s="12" t="s">
        <v>268</v>
      </c>
      <c r="W187" s="9" t="str">
        <f t="shared" ca="1" si="11"/>
        <v>18.5%</v>
      </c>
      <c r="X187" t="s">
        <v>321</v>
      </c>
      <c r="Y187" s="9" t="str">
        <f t="shared" ca="1" si="12"/>
        <v>Sin costo</v>
      </c>
      <c r="Z187" t="s">
        <v>327</v>
      </c>
      <c r="AA187" t="s">
        <v>329</v>
      </c>
      <c r="AB187" t="s">
        <v>334</v>
      </c>
      <c r="AC187" s="12" t="s">
        <v>339</v>
      </c>
      <c r="AE187" t="s">
        <v>268</v>
      </c>
      <c r="AG187" s="12" t="s">
        <v>268</v>
      </c>
      <c r="AH187" t="s">
        <v>92</v>
      </c>
      <c r="AI187" s="12" t="s">
        <v>268</v>
      </c>
      <c r="AJ187" t="s">
        <v>92</v>
      </c>
      <c r="AK187" t="s">
        <v>92</v>
      </c>
      <c r="AL187" t="s">
        <v>92</v>
      </c>
      <c r="AM187" s="12" t="s">
        <v>268</v>
      </c>
      <c r="AN187" s="12" t="s">
        <v>268</v>
      </c>
      <c r="AO187" s="12" t="s">
        <v>268</v>
      </c>
      <c r="AP187" s="12" t="s">
        <v>268</v>
      </c>
      <c r="AQ187" s="12" t="s">
        <v>268</v>
      </c>
      <c r="AR187" s="28" t="str">
        <f t="shared" ca="1" si="13"/>
        <v/>
      </c>
      <c r="AS187" s="28" t="str">
        <f t="shared" ca="1" si="14"/>
        <v/>
      </c>
    </row>
    <row r="188" spans="2:45" ht="27.6" customHeight="1">
      <c r="B188">
        <f t="shared" ca="1" si="10"/>
        <v>0</v>
      </c>
      <c r="C188" t="s">
        <v>85</v>
      </c>
      <c r="D188" t="s">
        <v>92</v>
      </c>
      <c r="E188" t="s">
        <v>92</v>
      </c>
      <c r="F188" t="s">
        <v>92</v>
      </c>
      <c r="G188" t="s">
        <v>92</v>
      </c>
      <c r="H188" t="s">
        <v>92</v>
      </c>
      <c r="I188" s="12" t="s">
        <v>268</v>
      </c>
      <c r="J188" t="s">
        <v>278</v>
      </c>
      <c r="L188" t="s">
        <v>92</v>
      </c>
      <c r="N188" s="14">
        <v>1</v>
      </c>
      <c r="P188" s="12" t="s">
        <v>268</v>
      </c>
      <c r="W188" s="9" t="str">
        <f t="shared" ca="1" si="11"/>
        <v>18.5%</v>
      </c>
      <c r="X188" t="s">
        <v>321</v>
      </c>
      <c r="Y188" s="9" t="str">
        <f t="shared" ca="1" si="12"/>
        <v>Sin costo</v>
      </c>
      <c r="Z188" t="s">
        <v>327</v>
      </c>
      <c r="AA188" t="s">
        <v>329</v>
      </c>
      <c r="AB188" t="s">
        <v>334</v>
      </c>
      <c r="AC188" s="12" t="s">
        <v>339</v>
      </c>
      <c r="AE188" t="s">
        <v>268</v>
      </c>
      <c r="AG188" s="12" t="s">
        <v>268</v>
      </c>
      <c r="AH188" t="s">
        <v>92</v>
      </c>
      <c r="AI188" s="12" t="s">
        <v>268</v>
      </c>
      <c r="AJ188" t="s">
        <v>92</v>
      </c>
      <c r="AK188" t="s">
        <v>92</v>
      </c>
      <c r="AL188" t="s">
        <v>92</v>
      </c>
      <c r="AM188" s="12" t="s">
        <v>268</v>
      </c>
      <c r="AN188" s="12" t="s">
        <v>268</v>
      </c>
      <c r="AO188" s="12" t="s">
        <v>268</v>
      </c>
      <c r="AP188" s="12" t="s">
        <v>268</v>
      </c>
      <c r="AQ188" s="12" t="s">
        <v>268</v>
      </c>
      <c r="AR188" s="28" t="str">
        <f t="shared" ca="1" si="13"/>
        <v/>
      </c>
      <c r="AS188" s="28" t="str">
        <f t="shared" ca="1" si="14"/>
        <v/>
      </c>
    </row>
    <row r="189" spans="2:45" ht="27.6" customHeight="1">
      <c r="B189">
        <f t="shared" ca="1" si="10"/>
        <v>0</v>
      </c>
      <c r="C189" t="s">
        <v>85</v>
      </c>
      <c r="D189" t="s">
        <v>92</v>
      </c>
      <c r="E189" t="s">
        <v>92</v>
      </c>
      <c r="F189" t="s">
        <v>92</v>
      </c>
      <c r="G189" t="s">
        <v>92</v>
      </c>
      <c r="H189" t="s">
        <v>92</v>
      </c>
      <c r="I189" s="12" t="s">
        <v>268</v>
      </c>
      <c r="J189" t="s">
        <v>278</v>
      </c>
      <c r="L189" t="s">
        <v>92</v>
      </c>
      <c r="N189" s="14">
        <v>1</v>
      </c>
      <c r="P189" s="12" t="s">
        <v>268</v>
      </c>
      <c r="W189" s="9" t="str">
        <f t="shared" ca="1" si="11"/>
        <v>18.5%</v>
      </c>
      <c r="X189" t="s">
        <v>321</v>
      </c>
      <c r="Y189" s="9" t="str">
        <f t="shared" ca="1" si="12"/>
        <v>Sin costo</v>
      </c>
      <c r="Z189" t="s">
        <v>327</v>
      </c>
      <c r="AA189" t="s">
        <v>329</v>
      </c>
      <c r="AB189" t="s">
        <v>334</v>
      </c>
      <c r="AC189" s="12" t="s">
        <v>339</v>
      </c>
      <c r="AE189" t="s">
        <v>268</v>
      </c>
      <c r="AG189" s="12" t="s">
        <v>268</v>
      </c>
      <c r="AH189" t="s">
        <v>92</v>
      </c>
      <c r="AI189" s="12" t="s">
        <v>268</v>
      </c>
      <c r="AJ189" t="s">
        <v>92</v>
      </c>
      <c r="AK189" t="s">
        <v>92</v>
      </c>
      <c r="AL189" t="s">
        <v>92</v>
      </c>
      <c r="AM189" s="12" t="s">
        <v>268</v>
      </c>
      <c r="AN189" s="12" t="s">
        <v>268</v>
      </c>
      <c r="AO189" s="12" t="s">
        <v>268</v>
      </c>
      <c r="AP189" s="12" t="s">
        <v>268</v>
      </c>
      <c r="AQ189" s="12" t="s">
        <v>268</v>
      </c>
      <c r="AR189" s="28" t="str">
        <f t="shared" ca="1" si="13"/>
        <v/>
      </c>
      <c r="AS189" s="28" t="str">
        <f t="shared" ca="1" si="14"/>
        <v/>
      </c>
    </row>
    <row r="190" spans="2:45" ht="27.6" customHeight="1">
      <c r="B190">
        <f t="shared" ca="1" si="10"/>
        <v>0</v>
      </c>
      <c r="C190" t="s">
        <v>85</v>
      </c>
      <c r="D190" t="s">
        <v>92</v>
      </c>
      <c r="E190" t="s">
        <v>92</v>
      </c>
      <c r="F190" t="s">
        <v>92</v>
      </c>
      <c r="G190" t="s">
        <v>92</v>
      </c>
      <c r="H190" t="s">
        <v>92</v>
      </c>
      <c r="I190" s="12" t="s">
        <v>268</v>
      </c>
      <c r="J190" t="s">
        <v>278</v>
      </c>
      <c r="L190" t="s">
        <v>92</v>
      </c>
      <c r="N190" s="14">
        <v>1</v>
      </c>
      <c r="P190" s="12" t="s">
        <v>268</v>
      </c>
      <c r="W190" s="9" t="str">
        <f t="shared" ca="1" si="11"/>
        <v>18.5%</v>
      </c>
      <c r="X190" t="s">
        <v>321</v>
      </c>
      <c r="Y190" s="9" t="str">
        <f t="shared" ca="1" si="12"/>
        <v>Sin costo</v>
      </c>
      <c r="Z190" t="s">
        <v>327</v>
      </c>
      <c r="AA190" t="s">
        <v>329</v>
      </c>
      <c r="AB190" t="s">
        <v>334</v>
      </c>
      <c r="AC190" s="12" t="s">
        <v>339</v>
      </c>
      <c r="AE190" t="s">
        <v>268</v>
      </c>
      <c r="AG190" s="12" t="s">
        <v>268</v>
      </c>
      <c r="AH190" t="s">
        <v>92</v>
      </c>
      <c r="AI190" s="12" t="s">
        <v>268</v>
      </c>
      <c r="AJ190" t="s">
        <v>92</v>
      </c>
      <c r="AK190" t="s">
        <v>92</v>
      </c>
      <c r="AL190" t="s">
        <v>92</v>
      </c>
      <c r="AM190" s="12" t="s">
        <v>268</v>
      </c>
      <c r="AN190" s="12" t="s">
        <v>268</v>
      </c>
      <c r="AO190" s="12" t="s">
        <v>268</v>
      </c>
      <c r="AP190" s="12" t="s">
        <v>268</v>
      </c>
      <c r="AQ190" s="12" t="s">
        <v>268</v>
      </c>
      <c r="AR190" s="28" t="str">
        <f t="shared" ca="1" si="13"/>
        <v/>
      </c>
      <c r="AS190" s="28" t="str">
        <f t="shared" ca="1" si="14"/>
        <v/>
      </c>
    </row>
    <row r="191" spans="2:45" ht="27.6" customHeight="1">
      <c r="B191">
        <f t="shared" ca="1" si="10"/>
        <v>0</v>
      </c>
      <c r="C191" t="s">
        <v>85</v>
      </c>
      <c r="D191" t="s">
        <v>92</v>
      </c>
      <c r="E191" t="s">
        <v>92</v>
      </c>
      <c r="F191" t="s">
        <v>92</v>
      </c>
      <c r="G191" t="s">
        <v>92</v>
      </c>
      <c r="H191" t="s">
        <v>92</v>
      </c>
      <c r="I191" s="12" t="s">
        <v>268</v>
      </c>
      <c r="J191" t="s">
        <v>278</v>
      </c>
      <c r="L191" t="s">
        <v>92</v>
      </c>
      <c r="N191" s="14">
        <v>1</v>
      </c>
      <c r="P191" s="12" t="s">
        <v>268</v>
      </c>
      <c r="W191" s="9" t="str">
        <f t="shared" ca="1" si="11"/>
        <v>18.5%</v>
      </c>
      <c r="X191" t="s">
        <v>321</v>
      </c>
      <c r="Y191" s="9" t="str">
        <f t="shared" ca="1" si="12"/>
        <v>Sin costo</v>
      </c>
      <c r="Z191" t="s">
        <v>327</v>
      </c>
      <c r="AA191" t="s">
        <v>329</v>
      </c>
      <c r="AB191" t="s">
        <v>334</v>
      </c>
      <c r="AC191" s="12" t="s">
        <v>339</v>
      </c>
      <c r="AE191" t="s">
        <v>268</v>
      </c>
      <c r="AG191" s="12" t="s">
        <v>268</v>
      </c>
      <c r="AH191" t="s">
        <v>92</v>
      </c>
      <c r="AI191" s="12" t="s">
        <v>268</v>
      </c>
      <c r="AJ191" t="s">
        <v>92</v>
      </c>
      <c r="AK191" t="s">
        <v>92</v>
      </c>
      <c r="AL191" t="s">
        <v>92</v>
      </c>
      <c r="AM191" s="12" t="s">
        <v>268</v>
      </c>
      <c r="AN191" s="12" t="s">
        <v>268</v>
      </c>
      <c r="AO191" s="12" t="s">
        <v>268</v>
      </c>
      <c r="AP191" s="12" t="s">
        <v>268</v>
      </c>
      <c r="AQ191" s="12" t="s">
        <v>268</v>
      </c>
      <c r="AR191" s="28" t="str">
        <f t="shared" ca="1" si="13"/>
        <v/>
      </c>
      <c r="AS191" s="28" t="str">
        <f t="shared" ca="1" si="14"/>
        <v/>
      </c>
    </row>
    <row r="192" spans="2:45" ht="27.6" customHeight="1">
      <c r="B192">
        <f t="shared" ca="1" si="10"/>
        <v>0</v>
      </c>
      <c r="C192" t="s">
        <v>85</v>
      </c>
      <c r="D192" t="s">
        <v>92</v>
      </c>
      <c r="E192" t="s">
        <v>92</v>
      </c>
      <c r="F192" t="s">
        <v>92</v>
      </c>
      <c r="G192" t="s">
        <v>92</v>
      </c>
      <c r="H192" t="s">
        <v>92</v>
      </c>
      <c r="I192" s="12" t="s">
        <v>268</v>
      </c>
      <c r="J192" t="s">
        <v>278</v>
      </c>
      <c r="L192" t="s">
        <v>92</v>
      </c>
      <c r="N192" s="14">
        <v>1</v>
      </c>
      <c r="P192" s="12" t="s">
        <v>268</v>
      </c>
      <c r="W192" s="9" t="str">
        <f t="shared" ca="1" si="11"/>
        <v>18.5%</v>
      </c>
      <c r="X192" t="s">
        <v>321</v>
      </c>
      <c r="Y192" s="9" t="str">
        <f t="shared" ca="1" si="12"/>
        <v>Sin costo</v>
      </c>
      <c r="Z192" t="s">
        <v>327</v>
      </c>
      <c r="AA192" t="s">
        <v>329</v>
      </c>
      <c r="AB192" t="s">
        <v>334</v>
      </c>
      <c r="AC192" s="12" t="s">
        <v>339</v>
      </c>
      <c r="AE192" t="s">
        <v>268</v>
      </c>
      <c r="AG192" s="12" t="s">
        <v>268</v>
      </c>
      <c r="AH192" t="s">
        <v>92</v>
      </c>
      <c r="AI192" s="12" t="s">
        <v>268</v>
      </c>
      <c r="AJ192" t="s">
        <v>92</v>
      </c>
      <c r="AK192" t="s">
        <v>92</v>
      </c>
      <c r="AL192" t="s">
        <v>92</v>
      </c>
      <c r="AM192" s="12" t="s">
        <v>268</v>
      </c>
      <c r="AN192" s="12" t="s">
        <v>268</v>
      </c>
      <c r="AO192" s="12" t="s">
        <v>268</v>
      </c>
      <c r="AP192" s="12" t="s">
        <v>268</v>
      </c>
      <c r="AQ192" s="12" t="s">
        <v>268</v>
      </c>
      <c r="AR192" s="28" t="str">
        <f t="shared" ca="1" si="13"/>
        <v/>
      </c>
      <c r="AS192" s="28" t="str">
        <f t="shared" ca="1" si="14"/>
        <v/>
      </c>
    </row>
    <row r="193" spans="2:45" ht="27.6" customHeight="1">
      <c r="B193">
        <f t="shared" ca="1" si="10"/>
        <v>0</v>
      </c>
      <c r="C193" t="s">
        <v>85</v>
      </c>
      <c r="D193" t="s">
        <v>92</v>
      </c>
      <c r="E193" t="s">
        <v>92</v>
      </c>
      <c r="F193" t="s">
        <v>92</v>
      </c>
      <c r="G193" t="s">
        <v>92</v>
      </c>
      <c r="H193" t="s">
        <v>92</v>
      </c>
      <c r="I193" s="12" t="s">
        <v>268</v>
      </c>
      <c r="J193" t="s">
        <v>278</v>
      </c>
      <c r="L193" t="s">
        <v>92</v>
      </c>
      <c r="N193" s="14">
        <v>1</v>
      </c>
      <c r="P193" s="12" t="s">
        <v>268</v>
      </c>
      <c r="W193" s="9" t="str">
        <f t="shared" ca="1" si="11"/>
        <v>18.5%</v>
      </c>
      <c r="X193" t="s">
        <v>321</v>
      </c>
      <c r="Y193" s="9" t="str">
        <f t="shared" ca="1" si="12"/>
        <v>Sin costo</v>
      </c>
      <c r="Z193" t="s">
        <v>327</v>
      </c>
      <c r="AA193" t="s">
        <v>329</v>
      </c>
      <c r="AB193" t="s">
        <v>334</v>
      </c>
      <c r="AC193" s="12" t="s">
        <v>339</v>
      </c>
      <c r="AE193" t="s">
        <v>268</v>
      </c>
      <c r="AG193" s="12" t="s">
        <v>268</v>
      </c>
      <c r="AH193" t="s">
        <v>92</v>
      </c>
      <c r="AI193" s="12" t="s">
        <v>268</v>
      </c>
      <c r="AJ193" t="s">
        <v>92</v>
      </c>
      <c r="AK193" t="s">
        <v>92</v>
      </c>
      <c r="AL193" t="s">
        <v>92</v>
      </c>
      <c r="AM193" s="12" t="s">
        <v>268</v>
      </c>
      <c r="AN193" s="12" t="s">
        <v>268</v>
      </c>
      <c r="AO193" s="12" t="s">
        <v>268</v>
      </c>
      <c r="AP193" s="12" t="s">
        <v>268</v>
      </c>
      <c r="AQ193" s="12" t="s">
        <v>268</v>
      </c>
      <c r="AR193" s="28" t="str">
        <f t="shared" ca="1" si="13"/>
        <v/>
      </c>
      <c r="AS193" s="28" t="str">
        <f t="shared" ca="1" si="14"/>
        <v/>
      </c>
    </row>
    <row r="194" spans="2:45" ht="27.6" customHeight="1">
      <c r="B194">
        <f t="shared" ca="1" si="10"/>
        <v>0</v>
      </c>
      <c r="C194" t="s">
        <v>85</v>
      </c>
      <c r="D194" t="s">
        <v>92</v>
      </c>
      <c r="E194" t="s">
        <v>92</v>
      </c>
      <c r="F194" t="s">
        <v>92</v>
      </c>
      <c r="G194" t="s">
        <v>92</v>
      </c>
      <c r="H194" t="s">
        <v>92</v>
      </c>
      <c r="I194" s="12" t="s">
        <v>268</v>
      </c>
      <c r="J194" t="s">
        <v>278</v>
      </c>
      <c r="L194" t="s">
        <v>92</v>
      </c>
      <c r="N194" s="14">
        <v>1</v>
      </c>
      <c r="P194" s="12" t="s">
        <v>268</v>
      </c>
      <c r="W194" s="9" t="str">
        <f t="shared" ca="1" si="11"/>
        <v>18.5%</v>
      </c>
      <c r="X194" t="s">
        <v>321</v>
      </c>
      <c r="Y194" s="9" t="str">
        <f t="shared" ca="1" si="12"/>
        <v>Sin costo</v>
      </c>
      <c r="Z194" t="s">
        <v>327</v>
      </c>
      <c r="AA194" t="s">
        <v>329</v>
      </c>
      <c r="AB194" t="s">
        <v>334</v>
      </c>
      <c r="AC194" s="12" t="s">
        <v>339</v>
      </c>
      <c r="AE194" t="s">
        <v>268</v>
      </c>
      <c r="AG194" s="12" t="s">
        <v>268</v>
      </c>
      <c r="AH194" t="s">
        <v>92</v>
      </c>
      <c r="AI194" s="12" t="s">
        <v>268</v>
      </c>
      <c r="AJ194" t="s">
        <v>92</v>
      </c>
      <c r="AK194" t="s">
        <v>92</v>
      </c>
      <c r="AL194" t="s">
        <v>92</v>
      </c>
      <c r="AM194" s="12" t="s">
        <v>268</v>
      </c>
      <c r="AN194" s="12" t="s">
        <v>268</v>
      </c>
      <c r="AO194" s="12" t="s">
        <v>268</v>
      </c>
      <c r="AP194" s="12" t="s">
        <v>268</v>
      </c>
      <c r="AQ194" s="12" t="s">
        <v>268</v>
      </c>
      <c r="AR194" s="28" t="str">
        <f t="shared" ca="1" si="13"/>
        <v/>
      </c>
      <c r="AS194" s="28" t="str">
        <f t="shared" ca="1" si="14"/>
        <v/>
      </c>
    </row>
    <row r="195" spans="2:45" ht="27.6" customHeight="1">
      <c r="B195">
        <f t="shared" ca="1" si="10"/>
        <v>0</v>
      </c>
      <c r="C195" t="s">
        <v>85</v>
      </c>
      <c r="D195" t="s">
        <v>92</v>
      </c>
      <c r="E195" t="s">
        <v>92</v>
      </c>
      <c r="F195" t="s">
        <v>92</v>
      </c>
      <c r="G195" t="s">
        <v>92</v>
      </c>
      <c r="H195" t="s">
        <v>92</v>
      </c>
      <c r="I195" s="12" t="s">
        <v>268</v>
      </c>
      <c r="J195" t="s">
        <v>278</v>
      </c>
      <c r="L195" t="s">
        <v>92</v>
      </c>
      <c r="N195" s="14">
        <v>1</v>
      </c>
      <c r="P195" s="12" t="s">
        <v>268</v>
      </c>
      <c r="W195" s="9" t="str">
        <f t="shared" ca="1" si="11"/>
        <v>18.5%</v>
      </c>
      <c r="X195" t="s">
        <v>321</v>
      </c>
      <c r="Y195" s="9" t="str">
        <f t="shared" ca="1" si="12"/>
        <v>Sin costo</v>
      </c>
      <c r="Z195" t="s">
        <v>327</v>
      </c>
      <c r="AA195" t="s">
        <v>329</v>
      </c>
      <c r="AB195" t="s">
        <v>334</v>
      </c>
      <c r="AC195" s="12" t="s">
        <v>339</v>
      </c>
      <c r="AE195" t="s">
        <v>268</v>
      </c>
      <c r="AG195" s="12" t="s">
        <v>268</v>
      </c>
      <c r="AH195" t="s">
        <v>92</v>
      </c>
      <c r="AI195" s="12" t="s">
        <v>268</v>
      </c>
      <c r="AJ195" t="s">
        <v>92</v>
      </c>
      <c r="AK195" t="s">
        <v>92</v>
      </c>
      <c r="AL195" t="s">
        <v>92</v>
      </c>
      <c r="AM195" s="12" t="s">
        <v>268</v>
      </c>
      <c r="AN195" s="12" t="s">
        <v>268</v>
      </c>
      <c r="AO195" s="12" t="s">
        <v>268</v>
      </c>
      <c r="AP195" s="12" t="s">
        <v>268</v>
      </c>
      <c r="AQ195" s="12" t="s">
        <v>268</v>
      </c>
      <c r="AR195" s="28" t="str">
        <f t="shared" ca="1" si="13"/>
        <v/>
      </c>
      <c r="AS195" s="28" t="str">
        <f t="shared" ca="1" si="14"/>
        <v/>
      </c>
    </row>
    <row r="196" spans="2:45" ht="27.6" customHeight="1">
      <c r="B196">
        <f t="shared" ca="1" si="10"/>
        <v>0</v>
      </c>
      <c r="C196" t="s">
        <v>85</v>
      </c>
      <c r="D196" t="s">
        <v>92</v>
      </c>
      <c r="E196" t="s">
        <v>92</v>
      </c>
      <c r="F196" t="s">
        <v>92</v>
      </c>
      <c r="G196" t="s">
        <v>92</v>
      </c>
      <c r="H196" t="s">
        <v>92</v>
      </c>
      <c r="I196" s="12" t="s">
        <v>268</v>
      </c>
      <c r="J196" t="s">
        <v>278</v>
      </c>
      <c r="L196" t="s">
        <v>92</v>
      </c>
      <c r="N196" s="14">
        <v>1</v>
      </c>
      <c r="P196" s="12" t="s">
        <v>268</v>
      </c>
      <c r="W196" s="9" t="str">
        <f t="shared" ca="1" si="11"/>
        <v>18.5%</v>
      </c>
      <c r="X196" t="s">
        <v>321</v>
      </c>
      <c r="Y196" s="9" t="str">
        <f t="shared" ca="1" si="12"/>
        <v>Sin costo</v>
      </c>
      <c r="Z196" t="s">
        <v>327</v>
      </c>
      <c r="AA196" t="s">
        <v>329</v>
      </c>
      <c r="AB196" t="s">
        <v>334</v>
      </c>
      <c r="AC196" s="12" t="s">
        <v>339</v>
      </c>
      <c r="AE196" t="s">
        <v>268</v>
      </c>
      <c r="AG196" s="12" t="s">
        <v>268</v>
      </c>
      <c r="AH196" t="s">
        <v>92</v>
      </c>
      <c r="AI196" s="12" t="s">
        <v>268</v>
      </c>
      <c r="AJ196" t="s">
        <v>92</v>
      </c>
      <c r="AK196" t="s">
        <v>92</v>
      </c>
      <c r="AL196" t="s">
        <v>92</v>
      </c>
      <c r="AM196" s="12" t="s">
        <v>268</v>
      </c>
      <c r="AN196" s="12" t="s">
        <v>268</v>
      </c>
      <c r="AO196" s="12" t="s">
        <v>268</v>
      </c>
      <c r="AP196" s="12" t="s">
        <v>268</v>
      </c>
      <c r="AQ196" s="12" t="s">
        <v>268</v>
      </c>
      <c r="AR196" s="28" t="str">
        <f t="shared" ca="1" si="13"/>
        <v/>
      </c>
      <c r="AS196" s="28" t="str">
        <f t="shared" ca="1" si="14"/>
        <v/>
      </c>
    </row>
    <row r="197" spans="2:45" ht="27.6" customHeight="1">
      <c r="B197">
        <f t="shared" ca="1" si="10"/>
        <v>0</v>
      </c>
      <c r="C197" t="s">
        <v>85</v>
      </c>
      <c r="D197" t="s">
        <v>92</v>
      </c>
      <c r="E197" t="s">
        <v>92</v>
      </c>
      <c r="F197" t="s">
        <v>92</v>
      </c>
      <c r="G197" t="s">
        <v>92</v>
      </c>
      <c r="H197" t="s">
        <v>92</v>
      </c>
      <c r="I197" s="12" t="s">
        <v>268</v>
      </c>
      <c r="J197" t="s">
        <v>278</v>
      </c>
      <c r="L197" t="s">
        <v>92</v>
      </c>
      <c r="N197" s="14">
        <v>1</v>
      </c>
      <c r="P197" s="12" t="s">
        <v>268</v>
      </c>
      <c r="W197" s="9" t="str">
        <f t="shared" ca="1" si="11"/>
        <v>18.5%</v>
      </c>
      <c r="X197" t="s">
        <v>321</v>
      </c>
      <c r="Y197" s="9" t="str">
        <f t="shared" ca="1" si="12"/>
        <v>Sin costo</v>
      </c>
      <c r="Z197" t="s">
        <v>327</v>
      </c>
      <c r="AA197" t="s">
        <v>329</v>
      </c>
      <c r="AB197" t="s">
        <v>334</v>
      </c>
      <c r="AC197" s="12" t="s">
        <v>339</v>
      </c>
      <c r="AE197" t="s">
        <v>268</v>
      </c>
      <c r="AG197" s="12" t="s">
        <v>268</v>
      </c>
      <c r="AH197" t="s">
        <v>92</v>
      </c>
      <c r="AI197" s="12" t="s">
        <v>268</v>
      </c>
      <c r="AJ197" t="s">
        <v>92</v>
      </c>
      <c r="AK197" t="s">
        <v>92</v>
      </c>
      <c r="AL197" t="s">
        <v>92</v>
      </c>
      <c r="AM197" s="12" t="s">
        <v>268</v>
      </c>
      <c r="AN197" s="12" t="s">
        <v>268</v>
      </c>
      <c r="AO197" s="12" t="s">
        <v>268</v>
      </c>
      <c r="AP197" s="12" t="s">
        <v>268</v>
      </c>
      <c r="AQ197" s="12" t="s">
        <v>268</v>
      </c>
      <c r="AR197" s="28" t="str">
        <f t="shared" ca="1" si="13"/>
        <v/>
      </c>
      <c r="AS197" s="28" t="str">
        <f t="shared" ca="1" si="14"/>
        <v/>
      </c>
    </row>
    <row r="198" spans="2:45" ht="27.6" customHeight="1">
      <c r="B198">
        <f t="shared" ca="1" si="10"/>
        <v>0</v>
      </c>
      <c r="C198" t="s">
        <v>85</v>
      </c>
      <c r="D198" t="s">
        <v>92</v>
      </c>
      <c r="E198" t="s">
        <v>92</v>
      </c>
      <c r="F198" t="s">
        <v>92</v>
      </c>
      <c r="G198" t="s">
        <v>92</v>
      </c>
      <c r="H198" t="s">
        <v>92</v>
      </c>
      <c r="I198" s="12" t="s">
        <v>268</v>
      </c>
      <c r="J198" t="s">
        <v>278</v>
      </c>
      <c r="L198" t="s">
        <v>92</v>
      </c>
      <c r="N198" s="14">
        <v>1</v>
      </c>
      <c r="P198" s="12" t="s">
        <v>268</v>
      </c>
      <c r="W198" s="9" t="str">
        <f t="shared" ca="1" si="11"/>
        <v>18.5%</v>
      </c>
      <c r="X198" t="s">
        <v>321</v>
      </c>
      <c r="Y198" s="9" t="str">
        <f t="shared" ca="1" si="12"/>
        <v>Sin costo</v>
      </c>
      <c r="Z198" t="s">
        <v>327</v>
      </c>
      <c r="AA198" t="s">
        <v>329</v>
      </c>
      <c r="AB198" t="s">
        <v>334</v>
      </c>
      <c r="AC198" s="12" t="s">
        <v>339</v>
      </c>
      <c r="AE198" t="s">
        <v>268</v>
      </c>
      <c r="AG198" s="12" t="s">
        <v>268</v>
      </c>
      <c r="AH198" t="s">
        <v>92</v>
      </c>
      <c r="AI198" s="12" t="s">
        <v>268</v>
      </c>
      <c r="AJ198" t="s">
        <v>92</v>
      </c>
      <c r="AK198" t="s">
        <v>92</v>
      </c>
      <c r="AL198" t="s">
        <v>92</v>
      </c>
      <c r="AM198" s="12" t="s">
        <v>268</v>
      </c>
      <c r="AN198" s="12" t="s">
        <v>268</v>
      </c>
      <c r="AO198" s="12" t="s">
        <v>268</v>
      </c>
      <c r="AP198" s="12" t="s">
        <v>268</v>
      </c>
      <c r="AQ198" s="12" t="s">
        <v>268</v>
      </c>
      <c r="AR198" s="28" t="str">
        <f t="shared" ca="1" si="13"/>
        <v/>
      </c>
      <c r="AS198" s="28" t="str">
        <f t="shared" ca="1" si="14"/>
        <v/>
      </c>
    </row>
    <row r="199" spans="2:45" ht="27.6" customHeight="1">
      <c r="B199">
        <f t="shared" ref="B199:B262" ca="1" si="15">LEN(INDIRECT(ADDRESS(ROW() + (0),COLUMN() + (-1))))</f>
        <v>0</v>
      </c>
      <c r="C199" t="s">
        <v>85</v>
      </c>
      <c r="D199" t="s">
        <v>92</v>
      </c>
      <c r="E199" t="s">
        <v>92</v>
      </c>
      <c r="F199" t="s">
        <v>92</v>
      </c>
      <c r="G199" t="s">
        <v>92</v>
      </c>
      <c r="H199" t="s">
        <v>92</v>
      </c>
      <c r="I199" s="12" t="s">
        <v>268</v>
      </c>
      <c r="J199" t="s">
        <v>278</v>
      </c>
      <c r="L199" t="s">
        <v>92</v>
      </c>
      <c r="N199" s="14">
        <v>1</v>
      </c>
      <c r="P199" s="12" t="s">
        <v>268</v>
      </c>
      <c r="W199" s="9" t="str">
        <f t="shared" ref="W199:W262" ca="1" si="16">IF(INDIRECT(ADDRESS(ROW() + (0),COLUMN() + (1)))="Cuotas extra", IF(("21.5%")="", "-", "21.5%"), IF(INDIRECT(ADDRESS(ROW() + (0),COLUMN() + (1)))="Cuotas", IF(("18.5%")="", "-", "18.5%"), "-"))</f>
        <v>18.5%</v>
      </c>
      <c r="X199" t="s">
        <v>321</v>
      </c>
      <c r="Y199" s="9" t="str">
        <f t="shared" ref="Y199:Y262" ca="1" si="17">IF(INDIRECT(ADDRESS(ROW() + (0),COLUMN() + (-1)))="Cuotas extra", IF(("")="", "Sin costo", ""), IF(INDIRECT(ADDRESS(ROW() + (0),COLUMN() + (-1)))="Cuotas", IF(("")="", "Sin costo", ""), "-"))</f>
        <v>Sin costo</v>
      </c>
      <c r="Z199" t="s">
        <v>327</v>
      </c>
      <c r="AA199" t="s">
        <v>329</v>
      </c>
      <c r="AB199" t="s">
        <v>334</v>
      </c>
      <c r="AC199" s="12" t="s">
        <v>339</v>
      </c>
      <c r="AE199" t="s">
        <v>268</v>
      </c>
      <c r="AG199" s="12" t="s">
        <v>268</v>
      </c>
      <c r="AH199" t="s">
        <v>92</v>
      </c>
      <c r="AI199" s="12" t="s">
        <v>268</v>
      </c>
      <c r="AJ199" t="s">
        <v>92</v>
      </c>
      <c r="AK199" t="s">
        <v>92</v>
      </c>
      <c r="AL199" t="s">
        <v>92</v>
      </c>
      <c r="AM199" s="12" t="s">
        <v>268</v>
      </c>
      <c r="AN199" s="12" t="s">
        <v>268</v>
      </c>
      <c r="AO199" s="12" t="s">
        <v>268</v>
      </c>
      <c r="AP199" s="12" t="s">
        <v>268</v>
      </c>
      <c r="AQ199" s="12" t="s">
        <v>268</v>
      </c>
      <c r="AR199" s="28" t="str">
        <f t="shared" ref="AR199:AR262" ca="1" si="1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199" s="28" t="str">
        <f t="shared" ref="AS199:AS262" ca="1" si="19">IF(TRIM(INDIRECT("A"&amp;ROW())) &lt;&gt; "",FALSE,"")</f>
        <v/>
      </c>
    </row>
    <row r="200" spans="2:45" ht="27.6" customHeight="1">
      <c r="B200">
        <f t="shared" ca="1" si="15"/>
        <v>0</v>
      </c>
      <c r="C200" t="s">
        <v>85</v>
      </c>
      <c r="D200" t="s">
        <v>92</v>
      </c>
      <c r="E200" t="s">
        <v>92</v>
      </c>
      <c r="F200" t="s">
        <v>92</v>
      </c>
      <c r="G200" t="s">
        <v>92</v>
      </c>
      <c r="H200" t="s">
        <v>92</v>
      </c>
      <c r="I200" s="12" t="s">
        <v>268</v>
      </c>
      <c r="J200" t="s">
        <v>278</v>
      </c>
      <c r="L200" t="s">
        <v>92</v>
      </c>
      <c r="N200" s="14">
        <v>1</v>
      </c>
      <c r="P200" s="12" t="s">
        <v>268</v>
      </c>
      <c r="W200" s="9" t="str">
        <f t="shared" ca="1" si="16"/>
        <v>18.5%</v>
      </c>
      <c r="X200" t="s">
        <v>321</v>
      </c>
      <c r="Y200" s="9" t="str">
        <f t="shared" ca="1" si="17"/>
        <v>Sin costo</v>
      </c>
      <c r="Z200" t="s">
        <v>327</v>
      </c>
      <c r="AA200" t="s">
        <v>329</v>
      </c>
      <c r="AB200" t="s">
        <v>334</v>
      </c>
      <c r="AC200" s="12" t="s">
        <v>339</v>
      </c>
      <c r="AE200" t="s">
        <v>268</v>
      </c>
      <c r="AG200" s="12" t="s">
        <v>268</v>
      </c>
      <c r="AH200" t="s">
        <v>92</v>
      </c>
      <c r="AI200" s="12" t="s">
        <v>268</v>
      </c>
      <c r="AJ200" t="s">
        <v>92</v>
      </c>
      <c r="AK200" t="s">
        <v>92</v>
      </c>
      <c r="AL200" t="s">
        <v>92</v>
      </c>
      <c r="AM200" s="12" t="s">
        <v>268</v>
      </c>
      <c r="AN200" s="12" t="s">
        <v>268</v>
      </c>
      <c r="AO200" s="12" t="s">
        <v>268</v>
      </c>
      <c r="AP200" s="12" t="s">
        <v>268</v>
      </c>
      <c r="AQ200" s="12" t="s">
        <v>268</v>
      </c>
      <c r="AR200" s="28" t="str">
        <f t="shared" ca="1" si="18"/>
        <v/>
      </c>
      <c r="AS200" s="28" t="str">
        <f t="shared" ca="1" si="19"/>
        <v/>
      </c>
    </row>
    <row r="201" spans="2:45" ht="27.6" customHeight="1">
      <c r="B201">
        <f t="shared" ca="1" si="15"/>
        <v>0</v>
      </c>
      <c r="C201" t="s">
        <v>85</v>
      </c>
      <c r="D201" t="s">
        <v>92</v>
      </c>
      <c r="E201" t="s">
        <v>92</v>
      </c>
      <c r="F201" t="s">
        <v>92</v>
      </c>
      <c r="G201" t="s">
        <v>92</v>
      </c>
      <c r="H201" t="s">
        <v>92</v>
      </c>
      <c r="I201" s="12" t="s">
        <v>268</v>
      </c>
      <c r="J201" t="s">
        <v>278</v>
      </c>
      <c r="L201" t="s">
        <v>92</v>
      </c>
      <c r="N201" s="14">
        <v>1</v>
      </c>
      <c r="P201" s="12" t="s">
        <v>268</v>
      </c>
      <c r="W201" s="9" t="str">
        <f t="shared" ca="1" si="16"/>
        <v>18.5%</v>
      </c>
      <c r="X201" t="s">
        <v>321</v>
      </c>
      <c r="Y201" s="9" t="str">
        <f t="shared" ca="1" si="17"/>
        <v>Sin costo</v>
      </c>
      <c r="Z201" t="s">
        <v>327</v>
      </c>
      <c r="AA201" t="s">
        <v>329</v>
      </c>
      <c r="AB201" t="s">
        <v>334</v>
      </c>
      <c r="AC201" s="12" t="s">
        <v>339</v>
      </c>
      <c r="AE201" t="s">
        <v>268</v>
      </c>
      <c r="AG201" s="12" t="s">
        <v>268</v>
      </c>
      <c r="AH201" t="s">
        <v>92</v>
      </c>
      <c r="AI201" s="12" t="s">
        <v>268</v>
      </c>
      <c r="AJ201" t="s">
        <v>92</v>
      </c>
      <c r="AK201" t="s">
        <v>92</v>
      </c>
      <c r="AL201" t="s">
        <v>92</v>
      </c>
      <c r="AM201" s="12" t="s">
        <v>268</v>
      </c>
      <c r="AN201" s="12" t="s">
        <v>268</v>
      </c>
      <c r="AO201" s="12" t="s">
        <v>268</v>
      </c>
      <c r="AP201" s="12" t="s">
        <v>268</v>
      </c>
      <c r="AQ201" s="12" t="s">
        <v>268</v>
      </c>
      <c r="AR201" s="28" t="str">
        <f t="shared" ca="1" si="18"/>
        <v/>
      </c>
      <c r="AS201" s="28" t="str">
        <f t="shared" ca="1" si="19"/>
        <v/>
      </c>
    </row>
    <row r="202" spans="2:45" ht="27.6" customHeight="1">
      <c r="B202">
        <f t="shared" ca="1" si="15"/>
        <v>0</v>
      </c>
      <c r="C202" t="s">
        <v>85</v>
      </c>
      <c r="D202" t="s">
        <v>92</v>
      </c>
      <c r="E202" t="s">
        <v>92</v>
      </c>
      <c r="F202" t="s">
        <v>92</v>
      </c>
      <c r="G202" t="s">
        <v>92</v>
      </c>
      <c r="H202" t="s">
        <v>92</v>
      </c>
      <c r="I202" s="12" t="s">
        <v>268</v>
      </c>
      <c r="J202" t="s">
        <v>278</v>
      </c>
      <c r="L202" t="s">
        <v>92</v>
      </c>
      <c r="N202" s="14">
        <v>1</v>
      </c>
      <c r="P202" s="12" t="s">
        <v>268</v>
      </c>
      <c r="W202" s="9" t="str">
        <f t="shared" ca="1" si="16"/>
        <v>18.5%</v>
      </c>
      <c r="X202" t="s">
        <v>321</v>
      </c>
      <c r="Y202" s="9" t="str">
        <f t="shared" ca="1" si="17"/>
        <v>Sin costo</v>
      </c>
      <c r="Z202" t="s">
        <v>327</v>
      </c>
      <c r="AA202" t="s">
        <v>329</v>
      </c>
      <c r="AB202" t="s">
        <v>334</v>
      </c>
      <c r="AC202" s="12" t="s">
        <v>339</v>
      </c>
      <c r="AE202" t="s">
        <v>268</v>
      </c>
      <c r="AG202" s="12" t="s">
        <v>268</v>
      </c>
      <c r="AH202" t="s">
        <v>92</v>
      </c>
      <c r="AI202" s="12" t="s">
        <v>268</v>
      </c>
      <c r="AJ202" t="s">
        <v>92</v>
      </c>
      <c r="AK202" t="s">
        <v>92</v>
      </c>
      <c r="AL202" t="s">
        <v>92</v>
      </c>
      <c r="AM202" s="12" t="s">
        <v>268</v>
      </c>
      <c r="AN202" s="12" t="s">
        <v>268</v>
      </c>
      <c r="AO202" s="12" t="s">
        <v>268</v>
      </c>
      <c r="AP202" s="12" t="s">
        <v>268</v>
      </c>
      <c r="AQ202" s="12" t="s">
        <v>268</v>
      </c>
      <c r="AR202" s="28" t="str">
        <f t="shared" ca="1" si="18"/>
        <v/>
      </c>
      <c r="AS202" s="28" t="str">
        <f t="shared" ca="1" si="19"/>
        <v/>
      </c>
    </row>
    <row r="203" spans="2:45" ht="27.6" customHeight="1">
      <c r="B203">
        <f t="shared" ca="1" si="15"/>
        <v>0</v>
      </c>
      <c r="C203" t="s">
        <v>85</v>
      </c>
      <c r="D203" t="s">
        <v>92</v>
      </c>
      <c r="E203" t="s">
        <v>92</v>
      </c>
      <c r="F203" t="s">
        <v>92</v>
      </c>
      <c r="G203" t="s">
        <v>92</v>
      </c>
      <c r="H203" t="s">
        <v>92</v>
      </c>
      <c r="I203" s="12" t="s">
        <v>268</v>
      </c>
      <c r="J203" t="s">
        <v>278</v>
      </c>
      <c r="L203" t="s">
        <v>92</v>
      </c>
      <c r="N203" s="14">
        <v>1</v>
      </c>
      <c r="P203" s="12" t="s">
        <v>268</v>
      </c>
      <c r="W203" s="9" t="str">
        <f t="shared" ca="1" si="16"/>
        <v>18.5%</v>
      </c>
      <c r="X203" t="s">
        <v>321</v>
      </c>
      <c r="Y203" s="9" t="str">
        <f t="shared" ca="1" si="17"/>
        <v>Sin costo</v>
      </c>
      <c r="Z203" t="s">
        <v>327</v>
      </c>
      <c r="AA203" t="s">
        <v>329</v>
      </c>
      <c r="AB203" t="s">
        <v>334</v>
      </c>
      <c r="AC203" s="12" t="s">
        <v>339</v>
      </c>
      <c r="AE203" t="s">
        <v>268</v>
      </c>
      <c r="AG203" s="12" t="s">
        <v>268</v>
      </c>
      <c r="AH203" t="s">
        <v>92</v>
      </c>
      <c r="AI203" s="12" t="s">
        <v>268</v>
      </c>
      <c r="AJ203" t="s">
        <v>92</v>
      </c>
      <c r="AK203" t="s">
        <v>92</v>
      </c>
      <c r="AL203" t="s">
        <v>92</v>
      </c>
      <c r="AM203" s="12" t="s">
        <v>268</v>
      </c>
      <c r="AN203" s="12" t="s">
        <v>268</v>
      </c>
      <c r="AO203" s="12" t="s">
        <v>268</v>
      </c>
      <c r="AP203" s="12" t="s">
        <v>268</v>
      </c>
      <c r="AQ203" s="12" t="s">
        <v>268</v>
      </c>
      <c r="AR203" s="28" t="str">
        <f t="shared" ca="1" si="18"/>
        <v/>
      </c>
      <c r="AS203" s="28" t="str">
        <f t="shared" ca="1" si="19"/>
        <v/>
      </c>
    </row>
    <row r="204" spans="2:45" ht="27.6" customHeight="1">
      <c r="B204">
        <f t="shared" ca="1" si="15"/>
        <v>0</v>
      </c>
      <c r="C204" t="s">
        <v>85</v>
      </c>
      <c r="D204" t="s">
        <v>92</v>
      </c>
      <c r="E204" t="s">
        <v>92</v>
      </c>
      <c r="F204" t="s">
        <v>92</v>
      </c>
      <c r="G204" t="s">
        <v>92</v>
      </c>
      <c r="H204" t="s">
        <v>92</v>
      </c>
      <c r="I204" s="12" t="s">
        <v>268</v>
      </c>
      <c r="J204" t="s">
        <v>278</v>
      </c>
      <c r="L204" t="s">
        <v>92</v>
      </c>
      <c r="N204" s="14">
        <v>1</v>
      </c>
      <c r="P204" s="12" t="s">
        <v>268</v>
      </c>
      <c r="W204" s="9" t="str">
        <f t="shared" ca="1" si="16"/>
        <v>18.5%</v>
      </c>
      <c r="X204" t="s">
        <v>321</v>
      </c>
      <c r="Y204" s="9" t="str">
        <f t="shared" ca="1" si="17"/>
        <v>Sin costo</v>
      </c>
      <c r="Z204" t="s">
        <v>327</v>
      </c>
      <c r="AA204" t="s">
        <v>329</v>
      </c>
      <c r="AB204" t="s">
        <v>334</v>
      </c>
      <c r="AC204" s="12" t="s">
        <v>339</v>
      </c>
      <c r="AE204" t="s">
        <v>268</v>
      </c>
      <c r="AG204" s="12" t="s">
        <v>268</v>
      </c>
      <c r="AH204" t="s">
        <v>92</v>
      </c>
      <c r="AI204" s="12" t="s">
        <v>268</v>
      </c>
      <c r="AJ204" t="s">
        <v>92</v>
      </c>
      <c r="AK204" t="s">
        <v>92</v>
      </c>
      <c r="AL204" t="s">
        <v>92</v>
      </c>
      <c r="AM204" s="12" t="s">
        <v>268</v>
      </c>
      <c r="AN204" s="12" t="s">
        <v>268</v>
      </c>
      <c r="AO204" s="12" t="s">
        <v>268</v>
      </c>
      <c r="AP204" s="12" t="s">
        <v>268</v>
      </c>
      <c r="AQ204" s="12" t="s">
        <v>268</v>
      </c>
      <c r="AR204" s="28" t="str">
        <f t="shared" ca="1" si="18"/>
        <v/>
      </c>
      <c r="AS204" s="28" t="str">
        <f t="shared" ca="1" si="19"/>
        <v/>
      </c>
    </row>
    <row r="205" spans="2:45" ht="27.6" customHeight="1">
      <c r="B205">
        <f t="shared" ca="1" si="15"/>
        <v>0</v>
      </c>
      <c r="C205" t="s">
        <v>85</v>
      </c>
      <c r="D205" t="s">
        <v>92</v>
      </c>
      <c r="E205" t="s">
        <v>92</v>
      </c>
      <c r="F205" t="s">
        <v>92</v>
      </c>
      <c r="G205" t="s">
        <v>92</v>
      </c>
      <c r="H205" t="s">
        <v>92</v>
      </c>
      <c r="I205" s="12" t="s">
        <v>268</v>
      </c>
      <c r="J205" t="s">
        <v>278</v>
      </c>
      <c r="L205" t="s">
        <v>92</v>
      </c>
      <c r="N205" s="14">
        <v>1</v>
      </c>
      <c r="P205" s="12" t="s">
        <v>268</v>
      </c>
      <c r="W205" s="9" t="str">
        <f t="shared" ca="1" si="16"/>
        <v>18.5%</v>
      </c>
      <c r="X205" t="s">
        <v>321</v>
      </c>
      <c r="Y205" s="9" t="str">
        <f t="shared" ca="1" si="17"/>
        <v>Sin costo</v>
      </c>
      <c r="Z205" t="s">
        <v>327</v>
      </c>
      <c r="AA205" t="s">
        <v>329</v>
      </c>
      <c r="AB205" t="s">
        <v>334</v>
      </c>
      <c r="AC205" s="12" t="s">
        <v>339</v>
      </c>
      <c r="AE205" t="s">
        <v>268</v>
      </c>
      <c r="AG205" s="12" t="s">
        <v>268</v>
      </c>
      <c r="AH205" t="s">
        <v>92</v>
      </c>
      <c r="AI205" s="12" t="s">
        <v>268</v>
      </c>
      <c r="AJ205" t="s">
        <v>92</v>
      </c>
      <c r="AK205" t="s">
        <v>92</v>
      </c>
      <c r="AL205" t="s">
        <v>92</v>
      </c>
      <c r="AM205" s="12" t="s">
        <v>268</v>
      </c>
      <c r="AN205" s="12" t="s">
        <v>268</v>
      </c>
      <c r="AO205" s="12" t="s">
        <v>268</v>
      </c>
      <c r="AP205" s="12" t="s">
        <v>268</v>
      </c>
      <c r="AQ205" s="12" t="s">
        <v>268</v>
      </c>
      <c r="AR205" s="28" t="str">
        <f t="shared" ca="1" si="18"/>
        <v/>
      </c>
      <c r="AS205" s="28" t="str">
        <f t="shared" ca="1" si="19"/>
        <v/>
      </c>
    </row>
    <row r="206" spans="2:45" ht="27.6" customHeight="1">
      <c r="B206">
        <f t="shared" ca="1" si="15"/>
        <v>0</v>
      </c>
      <c r="C206" t="s">
        <v>85</v>
      </c>
      <c r="D206" t="s">
        <v>92</v>
      </c>
      <c r="E206" t="s">
        <v>92</v>
      </c>
      <c r="F206" t="s">
        <v>92</v>
      </c>
      <c r="G206" t="s">
        <v>92</v>
      </c>
      <c r="H206" t="s">
        <v>92</v>
      </c>
      <c r="I206" s="12" t="s">
        <v>268</v>
      </c>
      <c r="J206" t="s">
        <v>278</v>
      </c>
      <c r="L206" t="s">
        <v>92</v>
      </c>
      <c r="N206" s="14">
        <v>1</v>
      </c>
      <c r="P206" s="12" t="s">
        <v>268</v>
      </c>
      <c r="W206" s="9" t="str">
        <f t="shared" ca="1" si="16"/>
        <v>18.5%</v>
      </c>
      <c r="X206" t="s">
        <v>321</v>
      </c>
      <c r="Y206" s="9" t="str">
        <f t="shared" ca="1" si="17"/>
        <v>Sin costo</v>
      </c>
      <c r="Z206" t="s">
        <v>327</v>
      </c>
      <c r="AA206" t="s">
        <v>329</v>
      </c>
      <c r="AB206" t="s">
        <v>334</v>
      </c>
      <c r="AC206" s="12" t="s">
        <v>339</v>
      </c>
      <c r="AE206" t="s">
        <v>268</v>
      </c>
      <c r="AG206" s="12" t="s">
        <v>268</v>
      </c>
      <c r="AH206" t="s">
        <v>92</v>
      </c>
      <c r="AI206" s="12" t="s">
        <v>268</v>
      </c>
      <c r="AJ206" t="s">
        <v>92</v>
      </c>
      <c r="AK206" t="s">
        <v>92</v>
      </c>
      <c r="AL206" t="s">
        <v>92</v>
      </c>
      <c r="AM206" s="12" t="s">
        <v>268</v>
      </c>
      <c r="AN206" s="12" t="s">
        <v>268</v>
      </c>
      <c r="AO206" s="12" t="s">
        <v>268</v>
      </c>
      <c r="AP206" s="12" t="s">
        <v>268</v>
      </c>
      <c r="AQ206" s="12" t="s">
        <v>268</v>
      </c>
      <c r="AR206" s="28" t="str">
        <f t="shared" ca="1" si="18"/>
        <v/>
      </c>
      <c r="AS206" s="28" t="str">
        <f t="shared" ca="1" si="19"/>
        <v/>
      </c>
    </row>
    <row r="207" spans="2:45" ht="27.6" customHeight="1">
      <c r="B207">
        <f t="shared" ca="1" si="15"/>
        <v>0</v>
      </c>
      <c r="C207" t="s">
        <v>85</v>
      </c>
      <c r="D207" t="s">
        <v>92</v>
      </c>
      <c r="E207" t="s">
        <v>92</v>
      </c>
      <c r="F207" t="s">
        <v>92</v>
      </c>
      <c r="G207" t="s">
        <v>92</v>
      </c>
      <c r="H207" t="s">
        <v>92</v>
      </c>
      <c r="I207" s="12" t="s">
        <v>268</v>
      </c>
      <c r="J207" t="s">
        <v>278</v>
      </c>
      <c r="L207" t="s">
        <v>92</v>
      </c>
      <c r="N207" s="14">
        <v>1</v>
      </c>
      <c r="P207" s="12" t="s">
        <v>268</v>
      </c>
      <c r="W207" s="9" t="str">
        <f t="shared" ca="1" si="16"/>
        <v>18.5%</v>
      </c>
      <c r="X207" t="s">
        <v>321</v>
      </c>
      <c r="Y207" s="9" t="str">
        <f t="shared" ca="1" si="17"/>
        <v>Sin costo</v>
      </c>
      <c r="Z207" t="s">
        <v>327</v>
      </c>
      <c r="AA207" t="s">
        <v>329</v>
      </c>
      <c r="AB207" t="s">
        <v>334</v>
      </c>
      <c r="AC207" s="12" t="s">
        <v>339</v>
      </c>
      <c r="AE207" t="s">
        <v>268</v>
      </c>
      <c r="AG207" s="12" t="s">
        <v>268</v>
      </c>
      <c r="AH207" t="s">
        <v>92</v>
      </c>
      <c r="AI207" s="12" t="s">
        <v>268</v>
      </c>
      <c r="AJ207" t="s">
        <v>92</v>
      </c>
      <c r="AK207" t="s">
        <v>92</v>
      </c>
      <c r="AL207" t="s">
        <v>92</v>
      </c>
      <c r="AM207" s="12" t="s">
        <v>268</v>
      </c>
      <c r="AN207" s="12" t="s">
        <v>268</v>
      </c>
      <c r="AO207" s="12" t="s">
        <v>268</v>
      </c>
      <c r="AP207" s="12" t="s">
        <v>268</v>
      </c>
      <c r="AQ207" s="12" t="s">
        <v>268</v>
      </c>
      <c r="AR207" s="28" t="str">
        <f t="shared" ca="1" si="18"/>
        <v/>
      </c>
      <c r="AS207" s="28" t="str">
        <f t="shared" ca="1" si="19"/>
        <v/>
      </c>
    </row>
    <row r="208" spans="2:45" ht="27.6" customHeight="1">
      <c r="B208">
        <f t="shared" ca="1" si="15"/>
        <v>0</v>
      </c>
      <c r="C208" t="s">
        <v>85</v>
      </c>
      <c r="D208" t="s">
        <v>92</v>
      </c>
      <c r="E208" t="s">
        <v>92</v>
      </c>
      <c r="F208" t="s">
        <v>92</v>
      </c>
      <c r="G208" t="s">
        <v>92</v>
      </c>
      <c r="H208" t="s">
        <v>92</v>
      </c>
      <c r="I208" s="12" t="s">
        <v>268</v>
      </c>
      <c r="J208" t="s">
        <v>278</v>
      </c>
      <c r="L208" t="s">
        <v>92</v>
      </c>
      <c r="N208" s="14">
        <v>1</v>
      </c>
      <c r="P208" s="12" t="s">
        <v>268</v>
      </c>
      <c r="W208" s="9" t="str">
        <f t="shared" ca="1" si="16"/>
        <v>18.5%</v>
      </c>
      <c r="X208" t="s">
        <v>321</v>
      </c>
      <c r="Y208" s="9" t="str">
        <f t="shared" ca="1" si="17"/>
        <v>Sin costo</v>
      </c>
      <c r="Z208" t="s">
        <v>327</v>
      </c>
      <c r="AA208" t="s">
        <v>329</v>
      </c>
      <c r="AB208" t="s">
        <v>334</v>
      </c>
      <c r="AC208" s="12" t="s">
        <v>339</v>
      </c>
      <c r="AE208" t="s">
        <v>268</v>
      </c>
      <c r="AG208" s="12" t="s">
        <v>268</v>
      </c>
      <c r="AH208" t="s">
        <v>92</v>
      </c>
      <c r="AI208" s="12" t="s">
        <v>268</v>
      </c>
      <c r="AJ208" t="s">
        <v>92</v>
      </c>
      <c r="AK208" t="s">
        <v>92</v>
      </c>
      <c r="AL208" t="s">
        <v>92</v>
      </c>
      <c r="AM208" s="12" t="s">
        <v>268</v>
      </c>
      <c r="AN208" s="12" t="s">
        <v>268</v>
      </c>
      <c r="AO208" s="12" t="s">
        <v>268</v>
      </c>
      <c r="AP208" s="12" t="s">
        <v>268</v>
      </c>
      <c r="AQ208" s="12" t="s">
        <v>268</v>
      </c>
      <c r="AR208" s="28" t="str">
        <f t="shared" ca="1" si="18"/>
        <v/>
      </c>
      <c r="AS208" s="28" t="str">
        <f t="shared" ca="1" si="19"/>
        <v/>
      </c>
    </row>
    <row r="209" spans="2:45" ht="27.6" customHeight="1">
      <c r="B209">
        <f t="shared" ca="1" si="15"/>
        <v>0</v>
      </c>
      <c r="C209" t="s">
        <v>85</v>
      </c>
      <c r="D209" t="s">
        <v>92</v>
      </c>
      <c r="E209" t="s">
        <v>92</v>
      </c>
      <c r="F209" t="s">
        <v>92</v>
      </c>
      <c r="G209" t="s">
        <v>92</v>
      </c>
      <c r="H209" t="s">
        <v>92</v>
      </c>
      <c r="I209" s="12" t="s">
        <v>268</v>
      </c>
      <c r="J209" t="s">
        <v>278</v>
      </c>
      <c r="L209" t="s">
        <v>92</v>
      </c>
      <c r="N209" s="14">
        <v>1</v>
      </c>
      <c r="P209" s="12" t="s">
        <v>268</v>
      </c>
      <c r="W209" s="9" t="str">
        <f t="shared" ca="1" si="16"/>
        <v>18.5%</v>
      </c>
      <c r="X209" t="s">
        <v>321</v>
      </c>
      <c r="Y209" s="9" t="str">
        <f t="shared" ca="1" si="17"/>
        <v>Sin costo</v>
      </c>
      <c r="Z209" t="s">
        <v>327</v>
      </c>
      <c r="AA209" t="s">
        <v>329</v>
      </c>
      <c r="AB209" t="s">
        <v>334</v>
      </c>
      <c r="AC209" s="12" t="s">
        <v>339</v>
      </c>
      <c r="AE209" t="s">
        <v>268</v>
      </c>
      <c r="AG209" s="12" t="s">
        <v>268</v>
      </c>
      <c r="AH209" t="s">
        <v>92</v>
      </c>
      <c r="AI209" s="12" t="s">
        <v>268</v>
      </c>
      <c r="AJ209" t="s">
        <v>92</v>
      </c>
      <c r="AK209" t="s">
        <v>92</v>
      </c>
      <c r="AL209" t="s">
        <v>92</v>
      </c>
      <c r="AM209" s="12" t="s">
        <v>268</v>
      </c>
      <c r="AN209" s="12" t="s">
        <v>268</v>
      </c>
      <c r="AO209" s="12" t="s">
        <v>268</v>
      </c>
      <c r="AP209" s="12" t="s">
        <v>268</v>
      </c>
      <c r="AQ209" s="12" t="s">
        <v>268</v>
      </c>
      <c r="AR209" s="28" t="str">
        <f t="shared" ca="1" si="18"/>
        <v/>
      </c>
      <c r="AS209" s="28" t="str">
        <f t="shared" ca="1" si="19"/>
        <v/>
      </c>
    </row>
    <row r="210" spans="2:45" ht="27.6" customHeight="1">
      <c r="B210">
        <f t="shared" ca="1" si="15"/>
        <v>0</v>
      </c>
      <c r="C210" t="s">
        <v>85</v>
      </c>
      <c r="D210" t="s">
        <v>92</v>
      </c>
      <c r="E210" t="s">
        <v>92</v>
      </c>
      <c r="F210" t="s">
        <v>92</v>
      </c>
      <c r="G210" t="s">
        <v>92</v>
      </c>
      <c r="H210" t="s">
        <v>92</v>
      </c>
      <c r="I210" s="12" t="s">
        <v>268</v>
      </c>
      <c r="J210" t="s">
        <v>278</v>
      </c>
      <c r="L210" t="s">
        <v>92</v>
      </c>
      <c r="N210" s="14">
        <v>1</v>
      </c>
      <c r="P210" s="12" t="s">
        <v>268</v>
      </c>
      <c r="W210" s="9" t="str">
        <f t="shared" ca="1" si="16"/>
        <v>18.5%</v>
      </c>
      <c r="X210" t="s">
        <v>321</v>
      </c>
      <c r="Y210" s="9" t="str">
        <f t="shared" ca="1" si="17"/>
        <v>Sin costo</v>
      </c>
      <c r="Z210" t="s">
        <v>327</v>
      </c>
      <c r="AA210" t="s">
        <v>329</v>
      </c>
      <c r="AB210" t="s">
        <v>334</v>
      </c>
      <c r="AC210" s="12" t="s">
        <v>339</v>
      </c>
      <c r="AE210" t="s">
        <v>268</v>
      </c>
      <c r="AG210" s="12" t="s">
        <v>268</v>
      </c>
      <c r="AH210" t="s">
        <v>92</v>
      </c>
      <c r="AI210" s="12" t="s">
        <v>268</v>
      </c>
      <c r="AJ210" t="s">
        <v>92</v>
      </c>
      <c r="AK210" t="s">
        <v>92</v>
      </c>
      <c r="AL210" t="s">
        <v>92</v>
      </c>
      <c r="AM210" s="12" t="s">
        <v>268</v>
      </c>
      <c r="AN210" s="12" t="s">
        <v>268</v>
      </c>
      <c r="AO210" s="12" t="s">
        <v>268</v>
      </c>
      <c r="AP210" s="12" t="s">
        <v>268</v>
      </c>
      <c r="AQ210" s="12" t="s">
        <v>268</v>
      </c>
      <c r="AR210" s="28" t="str">
        <f t="shared" ca="1" si="18"/>
        <v/>
      </c>
      <c r="AS210" s="28" t="str">
        <f t="shared" ca="1" si="19"/>
        <v/>
      </c>
    </row>
    <row r="211" spans="2:45" ht="27.6" customHeight="1">
      <c r="B211">
        <f t="shared" ca="1" si="15"/>
        <v>0</v>
      </c>
      <c r="C211" t="s">
        <v>85</v>
      </c>
      <c r="D211" t="s">
        <v>92</v>
      </c>
      <c r="E211" t="s">
        <v>92</v>
      </c>
      <c r="F211" t="s">
        <v>92</v>
      </c>
      <c r="G211" t="s">
        <v>92</v>
      </c>
      <c r="H211" t="s">
        <v>92</v>
      </c>
      <c r="I211" s="12" t="s">
        <v>268</v>
      </c>
      <c r="J211" t="s">
        <v>278</v>
      </c>
      <c r="L211" t="s">
        <v>92</v>
      </c>
      <c r="N211" s="14">
        <v>1</v>
      </c>
      <c r="P211" s="12" t="s">
        <v>268</v>
      </c>
      <c r="W211" s="9" t="str">
        <f t="shared" ca="1" si="16"/>
        <v>18.5%</v>
      </c>
      <c r="X211" t="s">
        <v>321</v>
      </c>
      <c r="Y211" s="9" t="str">
        <f t="shared" ca="1" si="17"/>
        <v>Sin costo</v>
      </c>
      <c r="Z211" t="s">
        <v>327</v>
      </c>
      <c r="AA211" t="s">
        <v>329</v>
      </c>
      <c r="AB211" t="s">
        <v>334</v>
      </c>
      <c r="AC211" s="12" t="s">
        <v>339</v>
      </c>
      <c r="AE211" t="s">
        <v>268</v>
      </c>
      <c r="AG211" s="12" t="s">
        <v>268</v>
      </c>
      <c r="AH211" t="s">
        <v>92</v>
      </c>
      <c r="AI211" s="12" t="s">
        <v>268</v>
      </c>
      <c r="AJ211" t="s">
        <v>92</v>
      </c>
      <c r="AK211" t="s">
        <v>92</v>
      </c>
      <c r="AL211" t="s">
        <v>92</v>
      </c>
      <c r="AM211" s="12" t="s">
        <v>268</v>
      </c>
      <c r="AN211" s="12" t="s">
        <v>268</v>
      </c>
      <c r="AO211" s="12" t="s">
        <v>268</v>
      </c>
      <c r="AP211" s="12" t="s">
        <v>268</v>
      </c>
      <c r="AQ211" s="12" t="s">
        <v>268</v>
      </c>
      <c r="AR211" s="28" t="str">
        <f t="shared" ca="1" si="18"/>
        <v/>
      </c>
      <c r="AS211" s="28" t="str">
        <f t="shared" ca="1" si="19"/>
        <v/>
      </c>
    </row>
    <row r="212" spans="2:45" ht="27.6" customHeight="1">
      <c r="B212">
        <f t="shared" ca="1" si="15"/>
        <v>0</v>
      </c>
      <c r="C212" t="s">
        <v>85</v>
      </c>
      <c r="D212" t="s">
        <v>92</v>
      </c>
      <c r="E212" t="s">
        <v>92</v>
      </c>
      <c r="F212" t="s">
        <v>92</v>
      </c>
      <c r="G212" t="s">
        <v>92</v>
      </c>
      <c r="H212" t="s">
        <v>92</v>
      </c>
      <c r="I212" s="12" t="s">
        <v>268</v>
      </c>
      <c r="J212" t="s">
        <v>278</v>
      </c>
      <c r="L212" t="s">
        <v>92</v>
      </c>
      <c r="N212" s="14">
        <v>1</v>
      </c>
      <c r="P212" s="12" t="s">
        <v>268</v>
      </c>
      <c r="W212" s="9" t="str">
        <f t="shared" ca="1" si="16"/>
        <v>18.5%</v>
      </c>
      <c r="X212" t="s">
        <v>321</v>
      </c>
      <c r="Y212" s="9" t="str">
        <f t="shared" ca="1" si="17"/>
        <v>Sin costo</v>
      </c>
      <c r="Z212" t="s">
        <v>327</v>
      </c>
      <c r="AA212" t="s">
        <v>329</v>
      </c>
      <c r="AB212" t="s">
        <v>334</v>
      </c>
      <c r="AC212" s="12" t="s">
        <v>339</v>
      </c>
      <c r="AE212" t="s">
        <v>268</v>
      </c>
      <c r="AG212" s="12" t="s">
        <v>268</v>
      </c>
      <c r="AH212" t="s">
        <v>92</v>
      </c>
      <c r="AI212" s="12" t="s">
        <v>268</v>
      </c>
      <c r="AJ212" t="s">
        <v>92</v>
      </c>
      <c r="AK212" t="s">
        <v>92</v>
      </c>
      <c r="AL212" t="s">
        <v>92</v>
      </c>
      <c r="AM212" s="12" t="s">
        <v>268</v>
      </c>
      <c r="AN212" s="12" t="s">
        <v>268</v>
      </c>
      <c r="AO212" s="12" t="s">
        <v>268</v>
      </c>
      <c r="AP212" s="12" t="s">
        <v>268</v>
      </c>
      <c r="AQ212" s="12" t="s">
        <v>268</v>
      </c>
      <c r="AR212" s="28" t="str">
        <f t="shared" ca="1" si="18"/>
        <v/>
      </c>
      <c r="AS212" s="28" t="str">
        <f t="shared" ca="1" si="19"/>
        <v/>
      </c>
    </row>
    <row r="213" spans="2:45" ht="27.6" customHeight="1">
      <c r="B213">
        <f t="shared" ca="1" si="15"/>
        <v>0</v>
      </c>
      <c r="C213" t="s">
        <v>85</v>
      </c>
      <c r="D213" t="s">
        <v>92</v>
      </c>
      <c r="E213" t="s">
        <v>92</v>
      </c>
      <c r="F213" t="s">
        <v>92</v>
      </c>
      <c r="G213" t="s">
        <v>92</v>
      </c>
      <c r="H213" t="s">
        <v>92</v>
      </c>
      <c r="I213" s="12" t="s">
        <v>268</v>
      </c>
      <c r="J213" t="s">
        <v>278</v>
      </c>
      <c r="L213" t="s">
        <v>92</v>
      </c>
      <c r="N213" s="14">
        <v>1</v>
      </c>
      <c r="P213" s="12" t="s">
        <v>268</v>
      </c>
      <c r="W213" s="9" t="str">
        <f t="shared" ca="1" si="16"/>
        <v>18.5%</v>
      </c>
      <c r="X213" t="s">
        <v>321</v>
      </c>
      <c r="Y213" s="9" t="str">
        <f t="shared" ca="1" si="17"/>
        <v>Sin costo</v>
      </c>
      <c r="Z213" t="s">
        <v>327</v>
      </c>
      <c r="AA213" t="s">
        <v>329</v>
      </c>
      <c r="AB213" t="s">
        <v>334</v>
      </c>
      <c r="AC213" s="12" t="s">
        <v>339</v>
      </c>
      <c r="AE213" t="s">
        <v>268</v>
      </c>
      <c r="AG213" s="12" t="s">
        <v>268</v>
      </c>
      <c r="AH213" t="s">
        <v>92</v>
      </c>
      <c r="AI213" s="12" t="s">
        <v>268</v>
      </c>
      <c r="AJ213" t="s">
        <v>92</v>
      </c>
      <c r="AK213" t="s">
        <v>92</v>
      </c>
      <c r="AL213" t="s">
        <v>92</v>
      </c>
      <c r="AM213" s="12" t="s">
        <v>268</v>
      </c>
      <c r="AN213" s="12" t="s">
        <v>268</v>
      </c>
      <c r="AO213" s="12" t="s">
        <v>268</v>
      </c>
      <c r="AP213" s="12" t="s">
        <v>268</v>
      </c>
      <c r="AQ213" s="12" t="s">
        <v>268</v>
      </c>
      <c r="AR213" s="28" t="str">
        <f t="shared" ca="1" si="18"/>
        <v/>
      </c>
      <c r="AS213" s="28" t="str">
        <f t="shared" ca="1" si="19"/>
        <v/>
      </c>
    </row>
    <row r="214" spans="2:45" ht="27.6" customHeight="1">
      <c r="B214">
        <f t="shared" ca="1" si="15"/>
        <v>0</v>
      </c>
      <c r="C214" t="s">
        <v>85</v>
      </c>
      <c r="D214" t="s">
        <v>92</v>
      </c>
      <c r="E214" t="s">
        <v>92</v>
      </c>
      <c r="F214" t="s">
        <v>92</v>
      </c>
      <c r="G214" t="s">
        <v>92</v>
      </c>
      <c r="H214" t="s">
        <v>92</v>
      </c>
      <c r="I214" s="12" t="s">
        <v>268</v>
      </c>
      <c r="J214" t="s">
        <v>278</v>
      </c>
      <c r="L214" t="s">
        <v>92</v>
      </c>
      <c r="N214" s="14">
        <v>1</v>
      </c>
      <c r="P214" s="12" t="s">
        <v>268</v>
      </c>
      <c r="W214" s="9" t="str">
        <f t="shared" ca="1" si="16"/>
        <v>18.5%</v>
      </c>
      <c r="X214" t="s">
        <v>321</v>
      </c>
      <c r="Y214" s="9" t="str">
        <f t="shared" ca="1" si="17"/>
        <v>Sin costo</v>
      </c>
      <c r="Z214" t="s">
        <v>327</v>
      </c>
      <c r="AA214" t="s">
        <v>329</v>
      </c>
      <c r="AB214" t="s">
        <v>334</v>
      </c>
      <c r="AC214" s="12" t="s">
        <v>339</v>
      </c>
      <c r="AE214" t="s">
        <v>268</v>
      </c>
      <c r="AG214" s="12" t="s">
        <v>268</v>
      </c>
      <c r="AH214" t="s">
        <v>92</v>
      </c>
      <c r="AI214" s="12" t="s">
        <v>268</v>
      </c>
      <c r="AJ214" t="s">
        <v>92</v>
      </c>
      <c r="AK214" t="s">
        <v>92</v>
      </c>
      <c r="AL214" t="s">
        <v>92</v>
      </c>
      <c r="AM214" s="12" t="s">
        <v>268</v>
      </c>
      <c r="AN214" s="12" t="s">
        <v>268</v>
      </c>
      <c r="AO214" s="12" t="s">
        <v>268</v>
      </c>
      <c r="AP214" s="12" t="s">
        <v>268</v>
      </c>
      <c r="AQ214" s="12" t="s">
        <v>268</v>
      </c>
      <c r="AR214" s="28" t="str">
        <f t="shared" ca="1" si="18"/>
        <v/>
      </c>
      <c r="AS214" s="28" t="str">
        <f t="shared" ca="1" si="19"/>
        <v/>
      </c>
    </row>
    <row r="215" spans="2:45" ht="27.6" customHeight="1">
      <c r="B215">
        <f t="shared" ca="1" si="15"/>
        <v>0</v>
      </c>
      <c r="C215" t="s">
        <v>85</v>
      </c>
      <c r="D215" t="s">
        <v>92</v>
      </c>
      <c r="E215" t="s">
        <v>92</v>
      </c>
      <c r="F215" t="s">
        <v>92</v>
      </c>
      <c r="G215" t="s">
        <v>92</v>
      </c>
      <c r="H215" t="s">
        <v>92</v>
      </c>
      <c r="I215" s="12" t="s">
        <v>268</v>
      </c>
      <c r="J215" t="s">
        <v>278</v>
      </c>
      <c r="L215" t="s">
        <v>92</v>
      </c>
      <c r="N215" s="14">
        <v>1</v>
      </c>
      <c r="P215" s="12" t="s">
        <v>268</v>
      </c>
      <c r="W215" s="9" t="str">
        <f t="shared" ca="1" si="16"/>
        <v>18.5%</v>
      </c>
      <c r="X215" t="s">
        <v>321</v>
      </c>
      <c r="Y215" s="9" t="str">
        <f t="shared" ca="1" si="17"/>
        <v>Sin costo</v>
      </c>
      <c r="Z215" t="s">
        <v>327</v>
      </c>
      <c r="AA215" t="s">
        <v>329</v>
      </c>
      <c r="AB215" t="s">
        <v>334</v>
      </c>
      <c r="AC215" s="12" t="s">
        <v>339</v>
      </c>
      <c r="AE215" t="s">
        <v>268</v>
      </c>
      <c r="AG215" s="12" t="s">
        <v>268</v>
      </c>
      <c r="AH215" t="s">
        <v>92</v>
      </c>
      <c r="AI215" s="12" t="s">
        <v>268</v>
      </c>
      <c r="AJ215" t="s">
        <v>92</v>
      </c>
      <c r="AK215" t="s">
        <v>92</v>
      </c>
      <c r="AL215" t="s">
        <v>92</v>
      </c>
      <c r="AM215" s="12" t="s">
        <v>268</v>
      </c>
      <c r="AN215" s="12" t="s">
        <v>268</v>
      </c>
      <c r="AO215" s="12" t="s">
        <v>268</v>
      </c>
      <c r="AP215" s="12" t="s">
        <v>268</v>
      </c>
      <c r="AQ215" s="12" t="s">
        <v>268</v>
      </c>
      <c r="AR215" s="28" t="str">
        <f t="shared" ca="1" si="18"/>
        <v/>
      </c>
      <c r="AS215" s="28" t="str">
        <f t="shared" ca="1" si="19"/>
        <v/>
      </c>
    </row>
    <row r="216" spans="2:45" ht="27.6" customHeight="1">
      <c r="B216">
        <f t="shared" ca="1" si="15"/>
        <v>0</v>
      </c>
      <c r="C216" t="s">
        <v>85</v>
      </c>
      <c r="D216" t="s">
        <v>92</v>
      </c>
      <c r="E216" t="s">
        <v>92</v>
      </c>
      <c r="F216" t="s">
        <v>92</v>
      </c>
      <c r="G216" t="s">
        <v>92</v>
      </c>
      <c r="H216" t="s">
        <v>92</v>
      </c>
      <c r="I216" s="12" t="s">
        <v>268</v>
      </c>
      <c r="J216" t="s">
        <v>278</v>
      </c>
      <c r="L216" t="s">
        <v>92</v>
      </c>
      <c r="N216" s="14">
        <v>1</v>
      </c>
      <c r="P216" s="12" t="s">
        <v>268</v>
      </c>
      <c r="W216" s="9" t="str">
        <f t="shared" ca="1" si="16"/>
        <v>18.5%</v>
      </c>
      <c r="X216" t="s">
        <v>321</v>
      </c>
      <c r="Y216" s="9" t="str">
        <f t="shared" ca="1" si="17"/>
        <v>Sin costo</v>
      </c>
      <c r="Z216" t="s">
        <v>327</v>
      </c>
      <c r="AA216" t="s">
        <v>329</v>
      </c>
      <c r="AB216" t="s">
        <v>334</v>
      </c>
      <c r="AC216" s="12" t="s">
        <v>339</v>
      </c>
      <c r="AE216" t="s">
        <v>268</v>
      </c>
      <c r="AG216" s="12" t="s">
        <v>268</v>
      </c>
      <c r="AH216" t="s">
        <v>92</v>
      </c>
      <c r="AI216" s="12" t="s">
        <v>268</v>
      </c>
      <c r="AJ216" t="s">
        <v>92</v>
      </c>
      <c r="AK216" t="s">
        <v>92</v>
      </c>
      <c r="AL216" t="s">
        <v>92</v>
      </c>
      <c r="AM216" s="12" t="s">
        <v>268</v>
      </c>
      <c r="AN216" s="12" t="s">
        <v>268</v>
      </c>
      <c r="AO216" s="12" t="s">
        <v>268</v>
      </c>
      <c r="AP216" s="12" t="s">
        <v>268</v>
      </c>
      <c r="AQ216" s="12" t="s">
        <v>268</v>
      </c>
      <c r="AR216" s="28" t="str">
        <f t="shared" ca="1" si="18"/>
        <v/>
      </c>
      <c r="AS216" s="28" t="str">
        <f t="shared" ca="1" si="19"/>
        <v/>
      </c>
    </row>
    <row r="217" spans="2:45" ht="27.6" customHeight="1">
      <c r="B217">
        <f t="shared" ca="1" si="15"/>
        <v>0</v>
      </c>
      <c r="C217" t="s">
        <v>85</v>
      </c>
      <c r="D217" t="s">
        <v>92</v>
      </c>
      <c r="E217" t="s">
        <v>92</v>
      </c>
      <c r="F217" t="s">
        <v>92</v>
      </c>
      <c r="G217" t="s">
        <v>92</v>
      </c>
      <c r="H217" t="s">
        <v>92</v>
      </c>
      <c r="I217" s="12" t="s">
        <v>268</v>
      </c>
      <c r="J217" t="s">
        <v>278</v>
      </c>
      <c r="L217" t="s">
        <v>92</v>
      </c>
      <c r="N217" s="14">
        <v>1</v>
      </c>
      <c r="P217" s="12" t="s">
        <v>268</v>
      </c>
      <c r="W217" s="9" t="str">
        <f t="shared" ca="1" si="16"/>
        <v>18.5%</v>
      </c>
      <c r="X217" t="s">
        <v>321</v>
      </c>
      <c r="Y217" s="9" t="str">
        <f t="shared" ca="1" si="17"/>
        <v>Sin costo</v>
      </c>
      <c r="Z217" t="s">
        <v>327</v>
      </c>
      <c r="AA217" t="s">
        <v>329</v>
      </c>
      <c r="AB217" t="s">
        <v>334</v>
      </c>
      <c r="AC217" s="12" t="s">
        <v>339</v>
      </c>
      <c r="AE217" t="s">
        <v>268</v>
      </c>
      <c r="AG217" s="12" t="s">
        <v>268</v>
      </c>
      <c r="AH217" t="s">
        <v>92</v>
      </c>
      <c r="AI217" s="12" t="s">
        <v>268</v>
      </c>
      <c r="AJ217" t="s">
        <v>92</v>
      </c>
      <c r="AK217" t="s">
        <v>92</v>
      </c>
      <c r="AL217" t="s">
        <v>92</v>
      </c>
      <c r="AM217" s="12" t="s">
        <v>268</v>
      </c>
      <c r="AN217" s="12" t="s">
        <v>268</v>
      </c>
      <c r="AO217" s="12" t="s">
        <v>268</v>
      </c>
      <c r="AP217" s="12" t="s">
        <v>268</v>
      </c>
      <c r="AQ217" s="12" t="s">
        <v>268</v>
      </c>
      <c r="AR217" s="28" t="str">
        <f t="shared" ca="1" si="18"/>
        <v/>
      </c>
      <c r="AS217" s="28" t="str">
        <f t="shared" ca="1" si="19"/>
        <v/>
      </c>
    </row>
    <row r="218" spans="2:45" ht="27.6" customHeight="1">
      <c r="B218">
        <f t="shared" ca="1" si="15"/>
        <v>0</v>
      </c>
      <c r="C218" t="s">
        <v>85</v>
      </c>
      <c r="D218" t="s">
        <v>92</v>
      </c>
      <c r="E218" t="s">
        <v>92</v>
      </c>
      <c r="F218" t="s">
        <v>92</v>
      </c>
      <c r="G218" t="s">
        <v>92</v>
      </c>
      <c r="H218" t="s">
        <v>92</v>
      </c>
      <c r="I218" s="12" t="s">
        <v>268</v>
      </c>
      <c r="J218" t="s">
        <v>278</v>
      </c>
      <c r="L218" t="s">
        <v>92</v>
      </c>
      <c r="N218" s="14">
        <v>1</v>
      </c>
      <c r="P218" s="12" t="s">
        <v>268</v>
      </c>
      <c r="W218" s="9" t="str">
        <f t="shared" ca="1" si="16"/>
        <v>18.5%</v>
      </c>
      <c r="X218" t="s">
        <v>321</v>
      </c>
      <c r="Y218" s="9" t="str">
        <f t="shared" ca="1" si="17"/>
        <v>Sin costo</v>
      </c>
      <c r="Z218" t="s">
        <v>327</v>
      </c>
      <c r="AA218" t="s">
        <v>329</v>
      </c>
      <c r="AB218" t="s">
        <v>334</v>
      </c>
      <c r="AC218" s="12" t="s">
        <v>339</v>
      </c>
      <c r="AE218" t="s">
        <v>268</v>
      </c>
      <c r="AG218" s="12" t="s">
        <v>268</v>
      </c>
      <c r="AH218" t="s">
        <v>92</v>
      </c>
      <c r="AI218" s="12" t="s">
        <v>268</v>
      </c>
      <c r="AJ218" t="s">
        <v>92</v>
      </c>
      <c r="AK218" t="s">
        <v>92</v>
      </c>
      <c r="AL218" t="s">
        <v>92</v>
      </c>
      <c r="AM218" s="12" t="s">
        <v>268</v>
      </c>
      <c r="AN218" s="12" t="s">
        <v>268</v>
      </c>
      <c r="AO218" s="12" t="s">
        <v>268</v>
      </c>
      <c r="AP218" s="12" t="s">
        <v>268</v>
      </c>
      <c r="AQ218" s="12" t="s">
        <v>268</v>
      </c>
      <c r="AR218" s="28" t="str">
        <f t="shared" ca="1" si="18"/>
        <v/>
      </c>
      <c r="AS218" s="28" t="str">
        <f t="shared" ca="1" si="19"/>
        <v/>
      </c>
    </row>
    <row r="219" spans="2:45" ht="27.6" customHeight="1">
      <c r="B219">
        <f t="shared" ca="1" si="15"/>
        <v>0</v>
      </c>
      <c r="C219" t="s">
        <v>85</v>
      </c>
      <c r="D219" t="s">
        <v>92</v>
      </c>
      <c r="E219" t="s">
        <v>92</v>
      </c>
      <c r="F219" t="s">
        <v>92</v>
      </c>
      <c r="G219" t="s">
        <v>92</v>
      </c>
      <c r="H219" t="s">
        <v>92</v>
      </c>
      <c r="I219" s="12" t="s">
        <v>268</v>
      </c>
      <c r="J219" t="s">
        <v>278</v>
      </c>
      <c r="L219" t="s">
        <v>92</v>
      </c>
      <c r="N219" s="14">
        <v>1</v>
      </c>
      <c r="P219" s="12" t="s">
        <v>268</v>
      </c>
      <c r="W219" s="9" t="str">
        <f t="shared" ca="1" si="16"/>
        <v>18.5%</v>
      </c>
      <c r="X219" t="s">
        <v>321</v>
      </c>
      <c r="Y219" s="9" t="str">
        <f t="shared" ca="1" si="17"/>
        <v>Sin costo</v>
      </c>
      <c r="Z219" t="s">
        <v>327</v>
      </c>
      <c r="AA219" t="s">
        <v>329</v>
      </c>
      <c r="AB219" t="s">
        <v>334</v>
      </c>
      <c r="AC219" s="12" t="s">
        <v>339</v>
      </c>
      <c r="AE219" t="s">
        <v>268</v>
      </c>
      <c r="AG219" s="12" t="s">
        <v>268</v>
      </c>
      <c r="AH219" t="s">
        <v>92</v>
      </c>
      <c r="AI219" s="12" t="s">
        <v>268</v>
      </c>
      <c r="AJ219" t="s">
        <v>92</v>
      </c>
      <c r="AK219" t="s">
        <v>92</v>
      </c>
      <c r="AL219" t="s">
        <v>92</v>
      </c>
      <c r="AM219" s="12" t="s">
        <v>268</v>
      </c>
      <c r="AN219" s="12" t="s">
        <v>268</v>
      </c>
      <c r="AO219" s="12" t="s">
        <v>268</v>
      </c>
      <c r="AP219" s="12" t="s">
        <v>268</v>
      </c>
      <c r="AQ219" s="12" t="s">
        <v>268</v>
      </c>
      <c r="AR219" s="28" t="str">
        <f t="shared" ca="1" si="18"/>
        <v/>
      </c>
      <c r="AS219" s="28" t="str">
        <f t="shared" ca="1" si="19"/>
        <v/>
      </c>
    </row>
    <row r="220" spans="2:45" ht="27.6" customHeight="1">
      <c r="B220">
        <f t="shared" ca="1" si="15"/>
        <v>0</v>
      </c>
      <c r="C220" t="s">
        <v>85</v>
      </c>
      <c r="D220" t="s">
        <v>92</v>
      </c>
      <c r="E220" t="s">
        <v>92</v>
      </c>
      <c r="F220" t="s">
        <v>92</v>
      </c>
      <c r="G220" t="s">
        <v>92</v>
      </c>
      <c r="H220" t="s">
        <v>92</v>
      </c>
      <c r="I220" s="12" t="s">
        <v>268</v>
      </c>
      <c r="J220" t="s">
        <v>278</v>
      </c>
      <c r="L220" t="s">
        <v>92</v>
      </c>
      <c r="N220" s="14">
        <v>1</v>
      </c>
      <c r="P220" s="12" t="s">
        <v>268</v>
      </c>
      <c r="W220" s="9" t="str">
        <f t="shared" ca="1" si="16"/>
        <v>18.5%</v>
      </c>
      <c r="X220" t="s">
        <v>321</v>
      </c>
      <c r="Y220" s="9" t="str">
        <f t="shared" ca="1" si="17"/>
        <v>Sin costo</v>
      </c>
      <c r="Z220" t="s">
        <v>327</v>
      </c>
      <c r="AA220" t="s">
        <v>329</v>
      </c>
      <c r="AB220" t="s">
        <v>334</v>
      </c>
      <c r="AC220" s="12" t="s">
        <v>339</v>
      </c>
      <c r="AE220" t="s">
        <v>268</v>
      </c>
      <c r="AG220" s="12" t="s">
        <v>268</v>
      </c>
      <c r="AH220" t="s">
        <v>92</v>
      </c>
      <c r="AI220" s="12" t="s">
        <v>268</v>
      </c>
      <c r="AJ220" t="s">
        <v>92</v>
      </c>
      <c r="AK220" t="s">
        <v>92</v>
      </c>
      <c r="AL220" t="s">
        <v>92</v>
      </c>
      <c r="AM220" s="12" t="s">
        <v>268</v>
      </c>
      <c r="AN220" s="12" t="s">
        <v>268</v>
      </c>
      <c r="AO220" s="12" t="s">
        <v>268</v>
      </c>
      <c r="AP220" s="12" t="s">
        <v>268</v>
      </c>
      <c r="AQ220" s="12" t="s">
        <v>268</v>
      </c>
      <c r="AR220" s="28" t="str">
        <f t="shared" ca="1" si="18"/>
        <v/>
      </c>
      <c r="AS220" s="28" t="str">
        <f t="shared" ca="1" si="19"/>
        <v/>
      </c>
    </row>
    <row r="221" spans="2:45" ht="27.6" customHeight="1">
      <c r="B221">
        <f t="shared" ca="1" si="15"/>
        <v>0</v>
      </c>
      <c r="C221" t="s">
        <v>85</v>
      </c>
      <c r="D221" t="s">
        <v>92</v>
      </c>
      <c r="E221" t="s">
        <v>92</v>
      </c>
      <c r="F221" t="s">
        <v>92</v>
      </c>
      <c r="G221" t="s">
        <v>92</v>
      </c>
      <c r="H221" t="s">
        <v>92</v>
      </c>
      <c r="I221" s="12" t="s">
        <v>268</v>
      </c>
      <c r="J221" t="s">
        <v>278</v>
      </c>
      <c r="L221" t="s">
        <v>92</v>
      </c>
      <c r="N221" s="14">
        <v>1</v>
      </c>
      <c r="P221" s="12" t="s">
        <v>268</v>
      </c>
      <c r="W221" s="9" t="str">
        <f t="shared" ca="1" si="16"/>
        <v>18.5%</v>
      </c>
      <c r="X221" t="s">
        <v>321</v>
      </c>
      <c r="Y221" s="9" t="str">
        <f t="shared" ca="1" si="17"/>
        <v>Sin costo</v>
      </c>
      <c r="Z221" t="s">
        <v>327</v>
      </c>
      <c r="AA221" t="s">
        <v>329</v>
      </c>
      <c r="AB221" t="s">
        <v>334</v>
      </c>
      <c r="AC221" s="12" t="s">
        <v>339</v>
      </c>
      <c r="AE221" t="s">
        <v>268</v>
      </c>
      <c r="AG221" s="12" t="s">
        <v>268</v>
      </c>
      <c r="AH221" t="s">
        <v>92</v>
      </c>
      <c r="AI221" s="12" t="s">
        <v>268</v>
      </c>
      <c r="AJ221" t="s">
        <v>92</v>
      </c>
      <c r="AK221" t="s">
        <v>92</v>
      </c>
      <c r="AL221" t="s">
        <v>92</v>
      </c>
      <c r="AM221" s="12" t="s">
        <v>268</v>
      </c>
      <c r="AN221" s="12" t="s">
        <v>268</v>
      </c>
      <c r="AO221" s="12" t="s">
        <v>268</v>
      </c>
      <c r="AP221" s="12" t="s">
        <v>268</v>
      </c>
      <c r="AQ221" s="12" t="s">
        <v>268</v>
      </c>
      <c r="AR221" s="28" t="str">
        <f t="shared" ca="1" si="18"/>
        <v/>
      </c>
      <c r="AS221" s="28" t="str">
        <f t="shared" ca="1" si="19"/>
        <v/>
      </c>
    </row>
    <row r="222" spans="2:45" ht="27.6" customHeight="1">
      <c r="B222">
        <f t="shared" ca="1" si="15"/>
        <v>0</v>
      </c>
      <c r="C222" t="s">
        <v>85</v>
      </c>
      <c r="D222" t="s">
        <v>92</v>
      </c>
      <c r="E222" t="s">
        <v>92</v>
      </c>
      <c r="F222" t="s">
        <v>92</v>
      </c>
      <c r="G222" t="s">
        <v>92</v>
      </c>
      <c r="H222" t="s">
        <v>92</v>
      </c>
      <c r="I222" s="12" t="s">
        <v>268</v>
      </c>
      <c r="J222" t="s">
        <v>278</v>
      </c>
      <c r="L222" t="s">
        <v>92</v>
      </c>
      <c r="N222" s="14">
        <v>1</v>
      </c>
      <c r="P222" s="12" t="s">
        <v>268</v>
      </c>
      <c r="W222" s="9" t="str">
        <f t="shared" ca="1" si="16"/>
        <v>18.5%</v>
      </c>
      <c r="X222" t="s">
        <v>321</v>
      </c>
      <c r="Y222" s="9" t="str">
        <f t="shared" ca="1" si="17"/>
        <v>Sin costo</v>
      </c>
      <c r="Z222" t="s">
        <v>327</v>
      </c>
      <c r="AA222" t="s">
        <v>329</v>
      </c>
      <c r="AB222" t="s">
        <v>334</v>
      </c>
      <c r="AC222" s="12" t="s">
        <v>339</v>
      </c>
      <c r="AE222" t="s">
        <v>268</v>
      </c>
      <c r="AG222" s="12" t="s">
        <v>268</v>
      </c>
      <c r="AH222" t="s">
        <v>92</v>
      </c>
      <c r="AI222" s="12" t="s">
        <v>268</v>
      </c>
      <c r="AJ222" t="s">
        <v>92</v>
      </c>
      <c r="AK222" t="s">
        <v>92</v>
      </c>
      <c r="AL222" t="s">
        <v>92</v>
      </c>
      <c r="AM222" s="12" t="s">
        <v>268</v>
      </c>
      <c r="AN222" s="12" t="s">
        <v>268</v>
      </c>
      <c r="AO222" s="12" t="s">
        <v>268</v>
      </c>
      <c r="AP222" s="12" t="s">
        <v>268</v>
      </c>
      <c r="AQ222" s="12" t="s">
        <v>268</v>
      </c>
      <c r="AR222" s="28" t="str">
        <f t="shared" ca="1" si="18"/>
        <v/>
      </c>
      <c r="AS222" s="28" t="str">
        <f t="shared" ca="1" si="19"/>
        <v/>
      </c>
    </row>
    <row r="223" spans="2:45" ht="27.6" customHeight="1">
      <c r="B223">
        <f t="shared" ca="1" si="15"/>
        <v>0</v>
      </c>
      <c r="C223" t="s">
        <v>85</v>
      </c>
      <c r="D223" t="s">
        <v>92</v>
      </c>
      <c r="E223" t="s">
        <v>92</v>
      </c>
      <c r="F223" t="s">
        <v>92</v>
      </c>
      <c r="G223" t="s">
        <v>92</v>
      </c>
      <c r="H223" t="s">
        <v>92</v>
      </c>
      <c r="I223" s="12" t="s">
        <v>268</v>
      </c>
      <c r="J223" t="s">
        <v>278</v>
      </c>
      <c r="L223" t="s">
        <v>92</v>
      </c>
      <c r="N223" s="14">
        <v>1</v>
      </c>
      <c r="P223" s="12" t="s">
        <v>268</v>
      </c>
      <c r="W223" s="9" t="str">
        <f t="shared" ca="1" si="16"/>
        <v>18.5%</v>
      </c>
      <c r="X223" t="s">
        <v>321</v>
      </c>
      <c r="Y223" s="9" t="str">
        <f t="shared" ca="1" si="17"/>
        <v>Sin costo</v>
      </c>
      <c r="Z223" t="s">
        <v>327</v>
      </c>
      <c r="AA223" t="s">
        <v>329</v>
      </c>
      <c r="AB223" t="s">
        <v>334</v>
      </c>
      <c r="AC223" s="12" t="s">
        <v>339</v>
      </c>
      <c r="AE223" t="s">
        <v>268</v>
      </c>
      <c r="AG223" s="12" t="s">
        <v>268</v>
      </c>
      <c r="AH223" t="s">
        <v>92</v>
      </c>
      <c r="AI223" s="12" t="s">
        <v>268</v>
      </c>
      <c r="AJ223" t="s">
        <v>92</v>
      </c>
      <c r="AK223" t="s">
        <v>92</v>
      </c>
      <c r="AL223" t="s">
        <v>92</v>
      </c>
      <c r="AM223" s="12" t="s">
        <v>268</v>
      </c>
      <c r="AN223" s="12" t="s">
        <v>268</v>
      </c>
      <c r="AO223" s="12" t="s">
        <v>268</v>
      </c>
      <c r="AP223" s="12" t="s">
        <v>268</v>
      </c>
      <c r="AQ223" s="12" t="s">
        <v>268</v>
      </c>
      <c r="AR223" s="28" t="str">
        <f t="shared" ca="1" si="18"/>
        <v/>
      </c>
      <c r="AS223" s="28" t="str">
        <f t="shared" ca="1" si="19"/>
        <v/>
      </c>
    </row>
    <row r="224" spans="2:45" ht="27.6" customHeight="1">
      <c r="B224">
        <f t="shared" ca="1" si="15"/>
        <v>0</v>
      </c>
      <c r="C224" t="s">
        <v>85</v>
      </c>
      <c r="D224" t="s">
        <v>92</v>
      </c>
      <c r="E224" t="s">
        <v>92</v>
      </c>
      <c r="F224" t="s">
        <v>92</v>
      </c>
      <c r="G224" t="s">
        <v>92</v>
      </c>
      <c r="H224" t="s">
        <v>92</v>
      </c>
      <c r="I224" s="12" t="s">
        <v>268</v>
      </c>
      <c r="J224" t="s">
        <v>278</v>
      </c>
      <c r="L224" t="s">
        <v>92</v>
      </c>
      <c r="N224" s="14">
        <v>1</v>
      </c>
      <c r="P224" s="12" t="s">
        <v>268</v>
      </c>
      <c r="W224" s="9" t="str">
        <f t="shared" ca="1" si="16"/>
        <v>18.5%</v>
      </c>
      <c r="X224" t="s">
        <v>321</v>
      </c>
      <c r="Y224" s="9" t="str">
        <f t="shared" ca="1" si="17"/>
        <v>Sin costo</v>
      </c>
      <c r="Z224" t="s">
        <v>327</v>
      </c>
      <c r="AA224" t="s">
        <v>329</v>
      </c>
      <c r="AB224" t="s">
        <v>334</v>
      </c>
      <c r="AC224" s="12" t="s">
        <v>339</v>
      </c>
      <c r="AE224" t="s">
        <v>268</v>
      </c>
      <c r="AG224" s="12" t="s">
        <v>268</v>
      </c>
      <c r="AH224" t="s">
        <v>92</v>
      </c>
      <c r="AI224" s="12" t="s">
        <v>268</v>
      </c>
      <c r="AJ224" t="s">
        <v>92</v>
      </c>
      <c r="AK224" t="s">
        <v>92</v>
      </c>
      <c r="AL224" t="s">
        <v>92</v>
      </c>
      <c r="AM224" s="12" t="s">
        <v>268</v>
      </c>
      <c r="AN224" s="12" t="s">
        <v>268</v>
      </c>
      <c r="AO224" s="12" t="s">
        <v>268</v>
      </c>
      <c r="AP224" s="12" t="s">
        <v>268</v>
      </c>
      <c r="AQ224" s="12" t="s">
        <v>268</v>
      </c>
      <c r="AR224" s="28" t="str">
        <f t="shared" ca="1" si="18"/>
        <v/>
      </c>
      <c r="AS224" s="28" t="str">
        <f t="shared" ca="1" si="19"/>
        <v/>
      </c>
    </row>
    <row r="225" spans="2:45" ht="27.6" customHeight="1">
      <c r="B225">
        <f t="shared" ca="1" si="15"/>
        <v>0</v>
      </c>
      <c r="C225" t="s">
        <v>85</v>
      </c>
      <c r="D225" t="s">
        <v>92</v>
      </c>
      <c r="E225" t="s">
        <v>92</v>
      </c>
      <c r="F225" t="s">
        <v>92</v>
      </c>
      <c r="G225" t="s">
        <v>92</v>
      </c>
      <c r="H225" t="s">
        <v>92</v>
      </c>
      <c r="I225" s="12" t="s">
        <v>268</v>
      </c>
      <c r="J225" t="s">
        <v>278</v>
      </c>
      <c r="L225" t="s">
        <v>92</v>
      </c>
      <c r="N225" s="14">
        <v>1</v>
      </c>
      <c r="P225" s="12" t="s">
        <v>268</v>
      </c>
      <c r="W225" s="9" t="str">
        <f t="shared" ca="1" si="16"/>
        <v>18.5%</v>
      </c>
      <c r="X225" t="s">
        <v>321</v>
      </c>
      <c r="Y225" s="9" t="str">
        <f t="shared" ca="1" si="17"/>
        <v>Sin costo</v>
      </c>
      <c r="Z225" t="s">
        <v>327</v>
      </c>
      <c r="AA225" t="s">
        <v>329</v>
      </c>
      <c r="AB225" t="s">
        <v>334</v>
      </c>
      <c r="AC225" s="12" t="s">
        <v>339</v>
      </c>
      <c r="AE225" t="s">
        <v>268</v>
      </c>
      <c r="AG225" s="12" t="s">
        <v>268</v>
      </c>
      <c r="AH225" t="s">
        <v>92</v>
      </c>
      <c r="AI225" s="12" t="s">
        <v>268</v>
      </c>
      <c r="AJ225" t="s">
        <v>92</v>
      </c>
      <c r="AK225" t="s">
        <v>92</v>
      </c>
      <c r="AL225" t="s">
        <v>92</v>
      </c>
      <c r="AM225" s="12" t="s">
        <v>268</v>
      </c>
      <c r="AN225" s="12" t="s">
        <v>268</v>
      </c>
      <c r="AO225" s="12" t="s">
        <v>268</v>
      </c>
      <c r="AP225" s="12" t="s">
        <v>268</v>
      </c>
      <c r="AQ225" s="12" t="s">
        <v>268</v>
      </c>
      <c r="AR225" s="28" t="str">
        <f t="shared" ca="1" si="18"/>
        <v/>
      </c>
      <c r="AS225" s="28" t="str">
        <f t="shared" ca="1" si="19"/>
        <v/>
      </c>
    </row>
    <row r="226" spans="2:45" ht="27.6" customHeight="1">
      <c r="B226">
        <f t="shared" ca="1" si="15"/>
        <v>0</v>
      </c>
      <c r="C226" t="s">
        <v>85</v>
      </c>
      <c r="D226" t="s">
        <v>92</v>
      </c>
      <c r="E226" t="s">
        <v>92</v>
      </c>
      <c r="F226" t="s">
        <v>92</v>
      </c>
      <c r="G226" t="s">
        <v>92</v>
      </c>
      <c r="H226" t="s">
        <v>92</v>
      </c>
      <c r="I226" s="12" t="s">
        <v>268</v>
      </c>
      <c r="J226" t="s">
        <v>278</v>
      </c>
      <c r="L226" t="s">
        <v>92</v>
      </c>
      <c r="N226" s="14">
        <v>1</v>
      </c>
      <c r="P226" s="12" t="s">
        <v>268</v>
      </c>
      <c r="W226" s="9" t="str">
        <f t="shared" ca="1" si="16"/>
        <v>18.5%</v>
      </c>
      <c r="X226" t="s">
        <v>321</v>
      </c>
      <c r="Y226" s="9" t="str">
        <f t="shared" ca="1" si="17"/>
        <v>Sin costo</v>
      </c>
      <c r="Z226" t="s">
        <v>327</v>
      </c>
      <c r="AA226" t="s">
        <v>329</v>
      </c>
      <c r="AB226" t="s">
        <v>334</v>
      </c>
      <c r="AC226" s="12" t="s">
        <v>339</v>
      </c>
      <c r="AE226" t="s">
        <v>268</v>
      </c>
      <c r="AG226" s="12" t="s">
        <v>268</v>
      </c>
      <c r="AH226" t="s">
        <v>92</v>
      </c>
      <c r="AI226" s="12" t="s">
        <v>268</v>
      </c>
      <c r="AJ226" t="s">
        <v>92</v>
      </c>
      <c r="AK226" t="s">
        <v>92</v>
      </c>
      <c r="AL226" t="s">
        <v>92</v>
      </c>
      <c r="AM226" s="12" t="s">
        <v>268</v>
      </c>
      <c r="AN226" s="12" t="s">
        <v>268</v>
      </c>
      <c r="AO226" s="12" t="s">
        <v>268</v>
      </c>
      <c r="AP226" s="12" t="s">
        <v>268</v>
      </c>
      <c r="AQ226" s="12" t="s">
        <v>268</v>
      </c>
      <c r="AR226" s="28" t="str">
        <f t="shared" ca="1" si="18"/>
        <v/>
      </c>
      <c r="AS226" s="28" t="str">
        <f t="shared" ca="1" si="19"/>
        <v/>
      </c>
    </row>
    <row r="227" spans="2:45" ht="27.6" customHeight="1">
      <c r="B227">
        <f t="shared" ca="1" si="15"/>
        <v>0</v>
      </c>
      <c r="C227" t="s">
        <v>85</v>
      </c>
      <c r="D227" t="s">
        <v>92</v>
      </c>
      <c r="E227" t="s">
        <v>92</v>
      </c>
      <c r="F227" t="s">
        <v>92</v>
      </c>
      <c r="G227" t="s">
        <v>92</v>
      </c>
      <c r="H227" t="s">
        <v>92</v>
      </c>
      <c r="I227" s="12" t="s">
        <v>268</v>
      </c>
      <c r="J227" t="s">
        <v>278</v>
      </c>
      <c r="L227" t="s">
        <v>92</v>
      </c>
      <c r="N227" s="14">
        <v>1</v>
      </c>
      <c r="P227" s="12" t="s">
        <v>268</v>
      </c>
      <c r="W227" s="9" t="str">
        <f t="shared" ca="1" si="16"/>
        <v>18.5%</v>
      </c>
      <c r="X227" t="s">
        <v>321</v>
      </c>
      <c r="Y227" s="9" t="str">
        <f t="shared" ca="1" si="17"/>
        <v>Sin costo</v>
      </c>
      <c r="Z227" t="s">
        <v>327</v>
      </c>
      <c r="AA227" t="s">
        <v>329</v>
      </c>
      <c r="AB227" t="s">
        <v>334</v>
      </c>
      <c r="AC227" s="12" t="s">
        <v>339</v>
      </c>
      <c r="AE227" t="s">
        <v>268</v>
      </c>
      <c r="AG227" s="12" t="s">
        <v>268</v>
      </c>
      <c r="AH227" t="s">
        <v>92</v>
      </c>
      <c r="AI227" s="12" t="s">
        <v>268</v>
      </c>
      <c r="AJ227" t="s">
        <v>92</v>
      </c>
      <c r="AK227" t="s">
        <v>92</v>
      </c>
      <c r="AL227" t="s">
        <v>92</v>
      </c>
      <c r="AM227" s="12" t="s">
        <v>268</v>
      </c>
      <c r="AN227" s="12" t="s">
        <v>268</v>
      </c>
      <c r="AO227" s="12" t="s">
        <v>268</v>
      </c>
      <c r="AP227" s="12" t="s">
        <v>268</v>
      </c>
      <c r="AQ227" s="12" t="s">
        <v>268</v>
      </c>
      <c r="AR227" s="28" t="str">
        <f t="shared" ca="1" si="18"/>
        <v/>
      </c>
      <c r="AS227" s="28" t="str">
        <f t="shared" ca="1" si="19"/>
        <v/>
      </c>
    </row>
    <row r="228" spans="2:45" ht="27.6" customHeight="1">
      <c r="B228">
        <f t="shared" ca="1" si="15"/>
        <v>0</v>
      </c>
      <c r="C228" t="s">
        <v>85</v>
      </c>
      <c r="D228" t="s">
        <v>92</v>
      </c>
      <c r="E228" t="s">
        <v>92</v>
      </c>
      <c r="F228" t="s">
        <v>92</v>
      </c>
      <c r="G228" t="s">
        <v>92</v>
      </c>
      <c r="H228" t="s">
        <v>92</v>
      </c>
      <c r="I228" s="12" t="s">
        <v>268</v>
      </c>
      <c r="J228" t="s">
        <v>278</v>
      </c>
      <c r="L228" t="s">
        <v>92</v>
      </c>
      <c r="N228" s="14">
        <v>1</v>
      </c>
      <c r="P228" s="12" t="s">
        <v>268</v>
      </c>
      <c r="W228" s="9" t="str">
        <f t="shared" ca="1" si="16"/>
        <v>18.5%</v>
      </c>
      <c r="X228" t="s">
        <v>321</v>
      </c>
      <c r="Y228" s="9" t="str">
        <f t="shared" ca="1" si="17"/>
        <v>Sin costo</v>
      </c>
      <c r="Z228" t="s">
        <v>327</v>
      </c>
      <c r="AA228" t="s">
        <v>329</v>
      </c>
      <c r="AB228" t="s">
        <v>334</v>
      </c>
      <c r="AC228" s="12" t="s">
        <v>339</v>
      </c>
      <c r="AE228" t="s">
        <v>268</v>
      </c>
      <c r="AG228" s="12" t="s">
        <v>268</v>
      </c>
      <c r="AH228" t="s">
        <v>92</v>
      </c>
      <c r="AI228" s="12" t="s">
        <v>268</v>
      </c>
      <c r="AJ228" t="s">
        <v>92</v>
      </c>
      <c r="AK228" t="s">
        <v>92</v>
      </c>
      <c r="AL228" t="s">
        <v>92</v>
      </c>
      <c r="AM228" s="12" t="s">
        <v>268</v>
      </c>
      <c r="AN228" s="12" t="s">
        <v>268</v>
      </c>
      <c r="AO228" s="12" t="s">
        <v>268</v>
      </c>
      <c r="AP228" s="12" t="s">
        <v>268</v>
      </c>
      <c r="AQ228" s="12" t="s">
        <v>268</v>
      </c>
      <c r="AR228" s="28" t="str">
        <f t="shared" ca="1" si="18"/>
        <v/>
      </c>
      <c r="AS228" s="28" t="str">
        <f t="shared" ca="1" si="19"/>
        <v/>
      </c>
    </row>
    <row r="229" spans="2:45" ht="27.6" customHeight="1">
      <c r="B229">
        <f t="shared" ca="1" si="15"/>
        <v>0</v>
      </c>
      <c r="C229" t="s">
        <v>85</v>
      </c>
      <c r="D229" t="s">
        <v>92</v>
      </c>
      <c r="E229" t="s">
        <v>92</v>
      </c>
      <c r="F229" t="s">
        <v>92</v>
      </c>
      <c r="G229" t="s">
        <v>92</v>
      </c>
      <c r="H229" t="s">
        <v>92</v>
      </c>
      <c r="I229" s="12" t="s">
        <v>268</v>
      </c>
      <c r="J229" t="s">
        <v>278</v>
      </c>
      <c r="L229" t="s">
        <v>92</v>
      </c>
      <c r="N229" s="14">
        <v>1</v>
      </c>
      <c r="P229" s="12" t="s">
        <v>268</v>
      </c>
      <c r="W229" s="9" t="str">
        <f t="shared" ca="1" si="16"/>
        <v>18.5%</v>
      </c>
      <c r="X229" t="s">
        <v>321</v>
      </c>
      <c r="Y229" s="9" t="str">
        <f t="shared" ca="1" si="17"/>
        <v>Sin costo</v>
      </c>
      <c r="Z229" t="s">
        <v>327</v>
      </c>
      <c r="AA229" t="s">
        <v>329</v>
      </c>
      <c r="AB229" t="s">
        <v>334</v>
      </c>
      <c r="AC229" s="12" t="s">
        <v>339</v>
      </c>
      <c r="AE229" t="s">
        <v>268</v>
      </c>
      <c r="AG229" s="12" t="s">
        <v>268</v>
      </c>
      <c r="AH229" t="s">
        <v>92</v>
      </c>
      <c r="AI229" s="12" t="s">
        <v>268</v>
      </c>
      <c r="AJ229" t="s">
        <v>92</v>
      </c>
      <c r="AK229" t="s">
        <v>92</v>
      </c>
      <c r="AL229" t="s">
        <v>92</v>
      </c>
      <c r="AM229" s="12" t="s">
        <v>268</v>
      </c>
      <c r="AN229" s="12" t="s">
        <v>268</v>
      </c>
      <c r="AO229" s="12" t="s">
        <v>268</v>
      </c>
      <c r="AP229" s="12" t="s">
        <v>268</v>
      </c>
      <c r="AQ229" s="12" t="s">
        <v>268</v>
      </c>
      <c r="AR229" s="28" t="str">
        <f t="shared" ca="1" si="18"/>
        <v/>
      </c>
      <c r="AS229" s="28" t="str">
        <f t="shared" ca="1" si="19"/>
        <v/>
      </c>
    </row>
    <row r="230" spans="2:45" ht="27.6" customHeight="1">
      <c r="B230">
        <f t="shared" ca="1" si="15"/>
        <v>0</v>
      </c>
      <c r="C230" t="s">
        <v>85</v>
      </c>
      <c r="D230" t="s">
        <v>92</v>
      </c>
      <c r="E230" t="s">
        <v>92</v>
      </c>
      <c r="F230" t="s">
        <v>92</v>
      </c>
      <c r="G230" t="s">
        <v>92</v>
      </c>
      <c r="H230" t="s">
        <v>92</v>
      </c>
      <c r="I230" s="12" t="s">
        <v>268</v>
      </c>
      <c r="J230" t="s">
        <v>278</v>
      </c>
      <c r="L230" t="s">
        <v>92</v>
      </c>
      <c r="N230" s="14">
        <v>1</v>
      </c>
      <c r="P230" s="12" t="s">
        <v>268</v>
      </c>
      <c r="W230" s="9" t="str">
        <f t="shared" ca="1" si="16"/>
        <v>18.5%</v>
      </c>
      <c r="X230" t="s">
        <v>321</v>
      </c>
      <c r="Y230" s="9" t="str">
        <f t="shared" ca="1" si="17"/>
        <v>Sin costo</v>
      </c>
      <c r="Z230" t="s">
        <v>327</v>
      </c>
      <c r="AA230" t="s">
        <v>329</v>
      </c>
      <c r="AB230" t="s">
        <v>334</v>
      </c>
      <c r="AC230" s="12" t="s">
        <v>339</v>
      </c>
      <c r="AE230" t="s">
        <v>268</v>
      </c>
      <c r="AG230" s="12" t="s">
        <v>268</v>
      </c>
      <c r="AH230" t="s">
        <v>92</v>
      </c>
      <c r="AI230" s="12" t="s">
        <v>268</v>
      </c>
      <c r="AJ230" t="s">
        <v>92</v>
      </c>
      <c r="AK230" t="s">
        <v>92</v>
      </c>
      <c r="AL230" t="s">
        <v>92</v>
      </c>
      <c r="AM230" s="12" t="s">
        <v>268</v>
      </c>
      <c r="AN230" s="12" t="s">
        <v>268</v>
      </c>
      <c r="AO230" s="12" t="s">
        <v>268</v>
      </c>
      <c r="AP230" s="12" t="s">
        <v>268</v>
      </c>
      <c r="AQ230" s="12" t="s">
        <v>268</v>
      </c>
      <c r="AR230" s="28" t="str">
        <f t="shared" ca="1" si="18"/>
        <v/>
      </c>
      <c r="AS230" s="28" t="str">
        <f t="shared" ca="1" si="19"/>
        <v/>
      </c>
    </row>
    <row r="231" spans="2:45" ht="27.6" customHeight="1">
      <c r="B231">
        <f t="shared" ca="1" si="15"/>
        <v>0</v>
      </c>
      <c r="C231" t="s">
        <v>85</v>
      </c>
      <c r="D231" t="s">
        <v>92</v>
      </c>
      <c r="E231" t="s">
        <v>92</v>
      </c>
      <c r="F231" t="s">
        <v>92</v>
      </c>
      <c r="G231" t="s">
        <v>92</v>
      </c>
      <c r="H231" t="s">
        <v>92</v>
      </c>
      <c r="I231" s="12" t="s">
        <v>268</v>
      </c>
      <c r="J231" t="s">
        <v>278</v>
      </c>
      <c r="L231" t="s">
        <v>92</v>
      </c>
      <c r="N231" s="14">
        <v>1</v>
      </c>
      <c r="P231" s="12" t="s">
        <v>268</v>
      </c>
      <c r="W231" s="9" t="str">
        <f t="shared" ca="1" si="16"/>
        <v>18.5%</v>
      </c>
      <c r="X231" t="s">
        <v>321</v>
      </c>
      <c r="Y231" s="9" t="str">
        <f t="shared" ca="1" si="17"/>
        <v>Sin costo</v>
      </c>
      <c r="Z231" t="s">
        <v>327</v>
      </c>
      <c r="AA231" t="s">
        <v>329</v>
      </c>
      <c r="AB231" t="s">
        <v>334</v>
      </c>
      <c r="AC231" s="12" t="s">
        <v>339</v>
      </c>
      <c r="AE231" t="s">
        <v>268</v>
      </c>
      <c r="AG231" s="12" t="s">
        <v>268</v>
      </c>
      <c r="AH231" t="s">
        <v>92</v>
      </c>
      <c r="AI231" s="12" t="s">
        <v>268</v>
      </c>
      <c r="AJ231" t="s">
        <v>92</v>
      </c>
      <c r="AK231" t="s">
        <v>92</v>
      </c>
      <c r="AL231" t="s">
        <v>92</v>
      </c>
      <c r="AM231" s="12" t="s">
        <v>268</v>
      </c>
      <c r="AN231" s="12" t="s">
        <v>268</v>
      </c>
      <c r="AO231" s="12" t="s">
        <v>268</v>
      </c>
      <c r="AP231" s="12" t="s">
        <v>268</v>
      </c>
      <c r="AQ231" s="12" t="s">
        <v>268</v>
      </c>
      <c r="AR231" s="28" t="str">
        <f t="shared" ca="1" si="18"/>
        <v/>
      </c>
      <c r="AS231" s="28" t="str">
        <f t="shared" ca="1" si="19"/>
        <v/>
      </c>
    </row>
    <row r="232" spans="2:45" ht="27.6" customHeight="1">
      <c r="B232">
        <f t="shared" ca="1" si="15"/>
        <v>0</v>
      </c>
      <c r="C232" t="s">
        <v>85</v>
      </c>
      <c r="D232" t="s">
        <v>92</v>
      </c>
      <c r="E232" t="s">
        <v>92</v>
      </c>
      <c r="F232" t="s">
        <v>92</v>
      </c>
      <c r="G232" t="s">
        <v>92</v>
      </c>
      <c r="H232" t="s">
        <v>92</v>
      </c>
      <c r="I232" s="12" t="s">
        <v>268</v>
      </c>
      <c r="J232" t="s">
        <v>278</v>
      </c>
      <c r="L232" t="s">
        <v>92</v>
      </c>
      <c r="N232" s="14">
        <v>1</v>
      </c>
      <c r="P232" s="12" t="s">
        <v>268</v>
      </c>
      <c r="W232" s="9" t="str">
        <f t="shared" ca="1" si="16"/>
        <v>18.5%</v>
      </c>
      <c r="X232" t="s">
        <v>321</v>
      </c>
      <c r="Y232" s="9" t="str">
        <f t="shared" ca="1" si="17"/>
        <v>Sin costo</v>
      </c>
      <c r="Z232" t="s">
        <v>327</v>
      </c>
      <c r="AA232" t="s">
        <v>329</v>
      </c>
      <c r="AB232" t="s">
        <v>334</v>
      </c>
      <c r="AC232" s="12" t="s">
        <v>339</v>
      </c>
      <c r="AE232" t="s">
        <v>268</v>
      </c>
      <c r="AG232" s="12" t="s">
        <v>268</v>
      </c>
      <c r="AH232" t="s">
        <v>92</v>
      </c>
      <c r="AI232" s="12" t="s">
        <v>268</v>
      </c>
      <c r="AJ232" t="s">
        <v>92</v>
      </c>
      <c r="AK232" t="s">
        <v>92</v>
      </c>
      <c r="AL232" t="s">
        <v>92</v>
      </c>
      <c r="AM232" s="12" t="s">
        <v>268</v>
      </c>
      <c r="AN232" s="12" t="s">
        <v>268</v>
      </c>
      <c r="AO232" s="12" t="s">
        <v>268</v>
      </c>
      <c r="AP232" s="12" t="s">
        <v>268</v>
      </c>
      <c r="AQ232" s="12" t="s">
        <v>268</v>
      </c>
      <c r="AR232" s="28" t="str">
        <f t="shared" ca="1" si="18"/>
        <v/>
      </c>
      <c r="AS232" s="28" t="str">
        <f t="shared" ca="1" si="19"/>
        <v/>
      </c>
    </row>
    <row r="233" spans="2:45" ht="27.6" customHeight="1">
      <c r="B233">
        <f t="shared" ca="1" si="15"/>
        <v>0</v>
      </c>
      <c r="C233" t="s">
        <v>85</v>
      </c>
      <c r="D233" t="s">
        <v>92</v>
      </c>
      <c r="E233" t="s">
        <v>92</v>
      </c>
      <c r="F233" t="s">
        <v>92</v>
      </c>
      <c r="G233" t="s">
        <v>92</v>
      </c>
      <c r="H233" t="s">
        <v>92</v>
      </c>
      <c r="I233" s="12" t="s">
        <v>268</v>
      </c>
      <c r="J233" t="s">
        <v>278</v>
      </c>
      <c r="L233" t="s">
        <v>92</v>
      </c>
      <c r="N233" s="14">
        <v>1</v>
      </c>
      <c r="P233" s="12" t="s">
        <v>268</v>
      </c>
      <c r="W233" s="9" t="str">
        <f t="shared" ca="1" si="16"/>
        <v>18.5%</v>
      </c>
      <c r="X233" t="s">
        <v>321</v>
      </c>
      <c r="Y233" s="9" t="str">
        <f t="shared" ca="1" si="17"/>
        <v>Sin costo</v>
      </c>
      <c r="Z233" t="s">
        <v>327</v>
      </c>
      <c r="AA233" t="s">
        <v>329</v>
      </c>
      <c r="AB233" t="s">
        <v>334</v>
      </c>
      <c r="AC233" s="12" t="s">
        <v>339</v>
      </c>
      <c r="AE233" t="s">
        <v>268</v>
      </c>
      <c r="AG233" s="12" t="s">
        <v>268</v>
      </c>
      <c r="AH233" t="s">
        <v>92</v>
      </c>
      <c r="AI233" s="12" t="s">
        <v>268</v>
      </c>
      <c r="AJ233" t="s">
        <v>92</v>
      </c>
      <c r="AK233" t="s">
        <v>92</v>
      </c>
      <c r="AL233" t="s">
        <v>92</v>
      </c>
      <c r="AM233" s="12" t="s">
        <v>268</v>
      </c>
      <c r="AN233" s="12" t="s">
        <v>268</v>
      </c>
      <c r="AO233" s="12" t="s">
        <v>268</v>
      </c>
      <c r="AP233" s="12" t="s">
        <v>268</v>
      </c>
      <c r="AQ233" s="12" t="s">
        <v>268</v>
      </c>
      <c r="AR233" s="28" t="str">
        <f t="shared" ca="1" si="18"/>
        <v/>
      </c>
      <c r="AS233" s="28" t="str">
        <f t="shared" ca="1" si="19"/>
        <v/>
      </c>
    </row>
    <row r="234" spans="2:45" ht="27.6" customHeight="1">
      <c r="B234">
        <f t="shared" ca="1" si="15"/>
        <v>0</v>
      </c>
      <c r="C234" t="s">
        <v>85</v>
      </c>
      <c r="D234" t="s">
        <v>92</v>
      </c>
      <c r="E234" t="s">
        <v>92</v>
      </c>
      <c r="F234" t="s">
        <v>92</v>
      </c>
      <c r="G234" t="s">
        <v>92</v>
      </c>
      <c r="H234" t="s">
        <v>92</v>
      </c>
      <c r="I234" s="12" t="s">
        <v>268</v>
      </c>
      <c r="J234" t="s">
        <v>278</v>
      </c>
      <c r="L234" t="s">
        <v>92</v>
      </c>
      <c r="N234" s="14">
        <v>1</v>
      </c>
      <c r="P234" s="12" t="s">
        <v>268</v>
      </c>
      <c r="W234" s="9" t="str">
        <f t="shared" ca="1" si="16"/>
        <v>18.5%</v>
      </c>
      <c r="X234" t="s">
        <v>321</v>
      </c>
      <c r="Y234" s="9" t="str">
        <f t="shared" ca="1" si="17"/>
        <v>Sin costo</v>
      </c>
      <c r="Z234" t="s">
        <v>327</v>
      </c>
      <c r="AA234" t="s">
        <v>329</v>
      </c>
      <c r="AB234" t="s">
        <v>334</v>
      </c>
      <c r="AC234" s="12" t="s">
        <v>339</v>
      </c>
      <c r="AE234" t="s">
        <v>268</v>
      </c>
      <c r="AG234" s="12" t="s">
        <v>268</v>
      </c>
      <c r="AH234" t="s">
        <v>92</v>
      </c>
      <c r="AI234" s="12" t="s">
        <v>268</v>
      </c>
      <c r="AJ234" t="s">
        <v>92</v>
      </c>
      <c r="AK234" t="s">
        <v>92</v>
      </c>
      <c r="AL234" t="s">
        <v>92</v>
      </c>
      <c r="AM234" s="12" t="s">
        <v>268</v>
      </c>
      <c r="AN234" s="12" t="s">
        <v>268</v>
      </c>
      <c r="AO234" s="12" t="s">
        <v>268</v>
      </c>
      <c r="AP234" s="12" t="s">
        <v>268</v>
      </c>
      <c r="AQ234" s="12" t="s">
        <v>268</v>
      </c>
      <c r="AR234" s="28" t="str">
        <f t="shared" ca="1" si="18"/>
        <v/>
      </c>
      <c r="AS234" s="28" t="str">
        <f t="shared" ca="1" si="19"/>
        <v/>
      </c>
    </row>
    <row r="235" spans="2:45" ht="27.6" customHeight="1">
      <c r="B235">
        <f t="shared" ca="1" si="15"/>
        <v>0</v>
      </c>
      <c r="C235" t="s">
        <v>85</v>
      </c>
      <c r="D235" t="s">
        <v>92</v>
      </c>
      <c r="E235" t="s">
        <v>92</v>
      </c>
      <c r="F235" t="s">
        <v>92</v>
      </c>
      <c r="G235" t="s">
        <v>92</v>
      </c>
      <c r="H235" t="s">
        <v>92</v>
      </c>
      <c r="I235" s="12" t="s">
        <v>268</v>
      </c>
      <c r="J235" t="s">
        <v>278</v>
      </c>
      <c r="L235" t="s">
        <v>92</v>
      </c>
      <c r="N235" s="14">
        <v>1</v>
      </c>
      <c r="P235" s="12" t="s">
        <v>268</v>
      </c>
      <c r="W235" s="9" t="str">
        <f t="shared" ca="1" si="16"/>
        <v>18.5%</v>
      </c>
      <c r="X235" t="s">
        <v>321</v>
      </c>
      <c r="Y235" s="9" t="str">
        <f t="shared" ca="1" si="17"/>
        <v>Sin costo</v>
      </c>
      <c r="Z235" t="s">
        <v>327</v>
      </c>
      <c r="AA235" t="s">
        <v>329</v>
      </c>
      <c r="AB235" t="s">
        <v>334</v>
      </c>
      <c r="AC235" s="12" t="s">
        <v>339</v>
      </c>
      <c r="AE235" t="s">
        <v>268</v>
      </c>
      <c r="AG235" s="12" t="s">
        <v>268</v>
      </c>
      <c r="AH235" t="s">
        <v>92</v>
      </c>
      <c r="AI235" s="12" t="s">
        <v>268</v>
      </c>
      <c r="AJ235" t="s">
        <v>92</v>
      </c>
      <c r="AK235" t="s">
        <v>92</v>
      </c>
      <c r="AL235" t="s">
        <v>92</v>
      </c>
      <c r="AM235" s="12" t="s">
        <v>268</v>
      </c>
      <c r="AN235" s="12" t="s">
        <v>268</v>
      </c>
      <c r="AO235" s="12" t="s">
        <v>268</v>
      </c>
      <c r="AP235" s="12" t="s">
        <v>268</v>
      </c>
      <c r="AQ235" s="12" t="s">
        <v>268</v>
      </c>
      <c r="AR235" s="28" t="str">
        <f t="shared" ca="1" si="18"/>
        <v/>
      </c>
      <c r="AS235" s="28" t="str">
        <f t="shared" ca="1" si="19"/>
        <v/>
      </c>
    </row>
    <row r="236" spans="2:45" ht="27.6" customHeight="1">
      <c r="B236">
        <f t="shared" ca="1" si="15"/>
        <v>0</v>
      </c>
      <c r="C236" t="s">
        <v>85</v>
      </c>
      <c r="D236" t="s">
        <v>92</v>
      </c>
      <c r="E236" t="s">
        <v>92</v>
      </c>
      <c r="F236" t="s">
        <v>92</v>
      </c>
      <c r="G236" t="s">
        <v>92</v>
      </c>
      <c r="H236" t="s">
        <v>92</v>
      </c>
      <c r="I236" s="12" t="s">
        <v>268</v>
      </c>
      <c r="J236" t="s">
        <v>278</v>
      </c>
      <c r="L236" t="s">
        <v>92</v>
      </c>
      <c r="N236" s="14">
        <v>1</v>
      </c>
      <c r="P236" s="12" t="s">
        <v>268</v>
      </c>
      <c r="W236" s="9" t="str">
        <f t="shared" ca="1" si="16"/>
        <v>18.5%</v>
      </c>
      <c r="X236" t="s">
        <v>321</v>
      </c>
      <c r="Y236" s="9" t="str">
        <f t="shared" ca="1" si="17"/>
        <v>Sin costo</v>
      </c>
      <c r="Z236" t="s">
        <v>327</v>
      </c>
      <c r="AA236" t="s">
        <v>329</v>
      </c>
      <c r="AB236" t="s">
        <v>334</v>
      </c>
      <c r="AC236" s="12" t="s">
        <v>339</v>
      </c>
      <c r="AE236" t="s">
        <v>268</v>
      </c>
      <c r="AG236" s="12" t="s">
        <v>268</v>
      </c>
      <c r="AH236" t="s">
        <v>92</v>
      </c>
      <c r="AI236" s="12" t="s">
        <v>268</v>
      </c>
      <c r="AJ236" t="s">
        <v>92</v>
      </c>
      <c r="AK236" t="s">
        <v>92</v>
      </c>
      <c r="AL236" t="s">
        <v>92</v>
      </c>
      <c r="AM236" s="12" t="s">
        <v>268</v>
      </c>
      <c r="AN236" s="12" t="s">
        <v>268</v>
      </c>
      <c r="AO236" s="12" t="s">
        <v>268</v>
      </c>
      <c r="AP236" s="12" t="s">
        <v>268</v>
      </c>
      <c r="AQ236" s="12" t="s">
        <v>268</v>
      </c>
      <c r="AR236" s="28" t="str">
        <f t="shared" ca="1" si="18"/>
        <v/>
      </c>
      <c r="AS236" s="28" t="str">
        <f t="shared" ca="1" si="19"/>
        <v/>
      </c>
    </row>
    <row r="237" spans="2:45" ht="27.6" customHeight="1">
      <c r="B237">
        <f t="shared" ca="1" si="15"/>
        <v>0</v>
      </c>
      <c r="C237" t="s">
        <v>85</v>
      </c>
      <c r="D237" t="s">
        <v>92</v>
      </c>
      <c r="E237" t="s">
        <v>92</v>
      </c>
      <c r="F237" t="s">
        <v>92</v>
      </c>
      <c r="G237" t="s">
        <v>92</v>
      </c>
      <c r="H237" t="s">
        <v>92</v>
      </c>
      <c r="I237" s="12" t="s">
        <v>268</v>
      </c>
      <c r="J237" t="s">
        <v>278</v>
      </c>
      <c r="L237" t="s">
        <v>92</v>
      </c>
      <c r="N237" s="14">
        <v>1</v>
      </c>
      <c r="P237" s="12" t="s">
        <v>268</v>
      </c>
      <c r="W237" s="9" t="str">
        <f t="shared" ca="1" si="16"/>
        <v>18.5%</v>
      </c>
      <c r="X237" t="s">
        <v>321</v>
      </c>
      <c r="Y237" s="9" t="str">
        <f t="shared" ca="1" si="17"/>
        <v>Sin costo</v>
      </c>
      <c r="Z237" t="s">
        <v>327</v>
      </c>
      <c r="AA237" t="s">
        <v>329</v>
      </c>
      <c r="AB237" t="s">
        <v>334</v>
      </c>
      <c r="AC237" s="12" t="s">
        <v>339</v>
      </c>
      <c r="AE237" t="s">
        <v>268</v>
      </c>
      <c r="AG237" s="12" t="s">
        <v>268</v>
      </c>
      <c r="AH237" t="s">
        <v>92</v>
      </c>
      <c r="AI237" s="12" t="s">
        <v>268</v>
      </c>
      <c r="AJ237" t="s">
        <v>92</v>
      </c>
      <c r="AK237" t="s">
        <v>92</v>
      </c>
      <c r="AL237" t="s">
        <v>92</v>
      </c>
      <c r="AM237" s="12" t="s">
        <v>268</v>
      </c>
      <c r="AN237" s="12" t="s">
        <v>268</v>
      </c>
      <c r="AO237" s="12" t="s">
        <v>268</v>
      </c>
      <c r="AP237" s="12" t="s">
        <v>268</v>
      </c>
      <c r="AQ237" s="12" t="s">
        <v>268</v>
      </c>
      <c r="AR237" s="28" t="str">
        <f t="shared" ca="1" si="18"/>
        <v/>
      </c>
      <c r="AS237" s="28" t="str">
        <f t="shared" ca="1" si="19"/>
        <v/>
      </c>
    </row>
    <row r="238" spans="2:45" ht="27.6" customHeight="1">
      <c r="B238">
        <f t="shared" ca="1" si="15"/>
        <v>0</v>
      </c>
      <c r="C238" t="s">
        <v>85</v>
      </c>
      <c r="D238" t="s">
        <v>92</v>
      </c>
      <c r="E238" t="s">
        <v>92</v>
      </c>
      <c r="F238" t="s">
        <v>92</v>
      </c>
      <c r="G238" t="s">
        <v>92</v>
      </c>
      <c r="H238" t="s">
        <v>92</v>
      </c>
      <c r="I238" s="12" t="s">
        <v>268</v>
      </c>
      <c r="J238" t="s">
        <v>278</v>
      </c>
      <c r="L238" t="s">
        <v>92</v>
      </c>
      <c r="N238" s="14">
        <v>1</v>
      </c>
      <c r="P238" s="12" t="s">
        <v>268</v>
      </c>
      <c r="W238" s="9" t="str">
        <f t="shared" ca="1" si="16"/>
        <v>18.5%</v>
      </c>
      <c r="X238" t="s">
        <v>321</v>
      </c>
      <c r="Y238" s="9" t="str">
        <f t="shared" ca="1" si="17"/>
        <v>Sin costo</v>
      </c>
      <c r="Z238" t="s">
        <v>327</v>
      </c>
      <c r="AA238" t="s">
        <v>329</v>
      </c>
      <c r="AB238" t="s">
        <v>334</v>
      </c>
      <c r="AC238" s="12" t="s">
        <v>339</v>
      </c>
      <c r="AE238" t="s">
        <v>268</v>
      </c>
      <c r="AG238" s="12" t="s">
        <v>268</v>
      </c>
      <c r="AH238" t="s">
        <v>92</v>
      </c>
      <c r="AI238" s="12" t="s">
        <v>268</v>
      </c>
      <c r="AJ238" t="s">
        <v>92</v>
      </c>
      <c r="AK238" t="s">
        <v>92</v>
      </c>
      <c r="AL238" t="s">
        <v>92</v>
      </c>
      <c r="AM238" s="12" t="s">
        <v>268</v>
      </c>
      <c r="AN238" s="12" t="s">
        <v>268</v>
      </c>
      <c r="AO238" s="12" t="s">
        <v>268</v>
      </c>
      <c r="AP238" s="12" t="s">
        <v>268</v>
      </c>
      <c r="AQ238" s="12" t="s">
        <v>268</v>
      </c>
      <c r="AR238" s="28" t="str">
        <f t="shared" ca="1" si="18"/>
        <v/>
      </c>
      <c r="AS238" s="28" t="str">
        <f t="shared" ca="1" si="19"/>
        <v/>
      </c>
    </row>
    <row r="239" spans="2:45" ht="27.6" customHeight="1">
      <c r="B239">
        <f t="shared" ca="1" si="15"/>
        <v>0</v>
      </c>
      <c r="C239" t="s">
        <v>85</v>
      </c>
      <c r="D239" t="s">
        <v>92</v>
      </c>
      <c r="E239" t="s">
        <v>92</v>
      </c>
      <c r="F239" t="s">
        <v>92</v>
      </c>
      <c r="G239" t="s">
        <v>92</v>
      </c>
      <c r="H239" t="s">
        <v>92</v>
      </c>
      <c r="I239" s="12" t="s">
        <v>268</v>
      </c>
      <c r="J239" t="s">
        <v>278</v>
      </c>
      <c r="L239" t="s">
        <v>92</v>
      </c>
      <c r="N239" s="14">
        <v>1</v>
      </c>
      <c r="P239" s="12" t="s">
        <v>268</v>
      </c>
      <c r="W239" s="9" t="str">
        <f t="shared" ca="1" si="16"/>
        <v>18.5%</v>
      </c>
      <c r="X239" t="s">
        <v>321</v>
      </c>
      <c r="Y239" s="9" t="str">
        <f t="shared" ca="1" si="17"/>
        <v>Sin costo</v>
      </c>
      <c r="Z239" t="s">
        <v>327</v>
      </c>
      <c r="AA239" t="s">
        <v>329</v>
      </c>
      <c r="AB239" t="s">
        <v>334</v>
      </c>
      <c r="AC239" s="12" t="s">
        <v>339</v>
      </c>
      <c r="AE239" t="s">
        <v>268</v>
      </c>
      <c r="AG239" s="12" t="s">
        <v>268</v>
      </c>
      <c r="AH239" t="s">
        <v>92</v>
      </c>
      <c r="AI239" s="12" t="s">
        <v>268</v>
      </c>
      <c r="AJ239" t="s">
        <v>92</v>
      </c>
      <c r="AK239" t="s">
        <v>92</v>
      </c>
      <c r="AL239" t="s">
        <v>92</v>
      </c>
      <c r="AM239" s="12" t="s">
        <v>268</v>
      </c>
      <c r="AN239" s="12" t="s">
        <v>268</v>
      </c>
      <c r="AO239" s="12" t="s">
        <v>268</v>
      </c>
      <c r="AP239" s="12" t="s">
        <v>268</v>
      </c>
      <c r="AQ239" s="12" t="s">
        <v>268</v>
      </c>
      <c r="AR239" s="28" t="str">
        <f t="shared" ca="1" si="18"/>
        <v/>
      </c>
      <c r="AS239" s="28" t="str">
        <f t="shared" ca="1" si="19"/>
        <v/>
      </c>
    </row>
    <row r="240" spans="2:45" ht="27.6" customHeight="1">
      <c r="B240">
        <f t="shared" ca="1" si="15"/>
        <v>0</v>
      </c>
      <c r="C240" t="s">
        <v>85</v>
      </c>
      <c r="D240" t="s">
        <v>92</v>
      </c>
      <c r="E240" t="s">
        <v>92</v>
      </c>
      <c r="F240" t="s">
        <v>92</v>
      </c>
      <c r="G240" t="s">
        <v>92</v>
      </c>
      <c r="H240" t="s">
        <v>92</v>
      </c>
      <c r="I240" s="12" t="s">
        <v>268</v>
      </c>
      <c r="J240" t="s">
        <v>278</v>
      </c>
      <c r="L240" t="s">
        <v>92</v>
      </c>
      <c r="N240" s="14">
        <v>1</v>
      </c>
      <c r="P240" s="12" t="s">
        <v>268</v>
      </c>
      <c r="W240" s="9" t="str">
        <f t="shared" ca="1" si="16"/>
        <v>18.5%</v>
      </c>
      <c r="X240" t="s">
        <v>321</v>
      </c>
      <c r="Y240" s="9" t="str">
        <f t="shared" ca="1" si="17"/>
        <v>Sin costo</v>
      </c>
      <c r="Z240" t="s">
        <v>327</v>
      </c>
      <c r="AA240" t="s">
        <v>329</v>
      </c>
      <c r="AB240" t="s">
        <v>334</v>
      </c>
      <c r="AC240" s="12" t="s">
        <v>339</v>
      </c>
      <c r="AE240" t="s">
        <v>268</v>
      </c>
      <c r="AG240" s="12" t="s">
        <v>268</v>
      </c>
      <c r="AH240" t="s">
        <v>92</v>
      </c>
      <c r="AI240" s="12" t="s">
        <v>268</v>
      </c>
      <c r="AJ240" t="s">
        <v>92</v>
      </c>
      <c r="AK240" t="s">
        <v>92</v>
      </c>
      <c r="AL240" t="s">
        <v>92</v>
      </c>
      <c r="AM240" s="12" t="s">
        <v>268</v>
      </c>
      <c r="AN240" s="12" t="s">
        <v>268</v>
      </c>
      <c r="AO240" s="12" t="s">
        <v>268</v>
      </c>
      <c r="AP240" s="12" t="s">
        <v>268</v>
      </c>
      <c r="AQ240" s="12" t="s">
        <v>268</v>
      </c>
      <c r="AR240" s="28" t="str">
        <f t="shared" ca="1" si="18"/>
        <v/>
      </c>
      <c r="AS240" s="28" t="str">
        <f t="shared" ca="1" si="19"/>
        <v/>
      </c>
    </row>
    <row r="241" spans="2:45" ht="27.6" customHeight="1">
      <c r="B241">
        <f t="shared" ca="1" si="15"/>
        <v>0</v>
      </c>
      <c r="C241" t="s">
        <v>85</v>
      </c>
      <c r="D241" t="s">
        <v>92</v>
      </c>
      <c r="E241" t="s">
        <v>92</v>
      </c>
      <c r="F241" t="s">
        <v>92</v>
      </c>
      <c r="G241" t="s">
        <v>92</v>
      </c>
      <c r="H241" t="s">
        <v>92</v>
      </c>
      <c r="I241" s="12" t="s">
        <v>268</v>
      </c>
      <c r="J241" t="s">
        <v>278</v>
      </c>
      <c r="L241" t="s">
        <v>92</v>
      </c>
      <c r="N241" s="14">
        <v>1</v>
      </c>
      <c r="P241" s="12" t="s">
        <v>268</v>
      </c>
      <c r="W241" s="9" t="str">
        <f t="shared" ca="1" si="16"/>
        <v>18.5%</v>
      </c>
      <c r="X241" t="s">
        <v>321</v>
      </c>
      <c r="Y241" s="9" t="str">
        <f t="shared" ca="1" si="17"/>
        <v>Sin costo</v>
      </c>
      <c r="Z241" t="s">
        <v>327</v>
      </c>
      <c r="AA241" t="s">
        <v>329</v>
      </c>
      <c r="AB241" t="s">
        <v>334</v>
      </c>
      <c r="AC241" s="12" t="s">
        <v>339</v>
      </c>
      <c r="AE241" t="s">
        <v>268</v>
      </c>
      <c r="AG241" s="12" t="s">
        <v>268</v>
      </c>
      <c r="AH241" t="s">
        <v>92</v>
      </c>
      <c r="AI241" s="12" t="s">
        <v>268</v>
      </c>
      <c r="AJ241" t="s">
        <v>92</v>
      </c>
      <c r="AK241" t="s">
        <v>92</v>
      </c>
      <c r="AL241" t="s">
        <v>92</v>
      </c>
      <c r="AM241" s="12" t="s">
        <v>268</v>
      </c>
      <c r="AN241" s="12" t="s">
        <v>268</v>
      </c>
      <c r="AO241" s="12" t="s">
        <v>268</v>
      </c>
      <c r="AP241" s="12" t="s">
        <v>268</v>
      </c>
      <c r="AQ241" s="12" t="s">
        <v>268</v>
      </c>
      <c r="AR241" s="28" t="str">
        <f t="shared" ca="1" si="18"/>
        <v/>
      </c>
      <c r="AS241" s="28" t="str">
        <f t="shared" ca="1" si="19"/>
        <v/>
      </c>
    </row>
    <row r="242" spans="2:45" ht="27.6" customHeight="1">
      <c r="B242">
        <f t="shared" ca="1" si="15"/>
        <v>0</v>
      </c>
      <c r="C242" t="s">
        <v>85</v>
      </c>
      <c r="D242" t="s">
        <v>92</v>
      </c>
      <c r="E242" t="s">
        <v>92</v>
      </c>
      <c r="F242" t="s">
        <v>92</v>
      </c>
      <c r="G242" t="s">
        <v>92</v>
      </c>
      <c r="H242" t="s">
        <v>92</v>
      </c>
      <c r="I242" s="12" t="s">
        <v>268</v>
      </c>
      <c r="J242" t="s">
        <v>278</v>
      </c>
      <c r="L242" t="s">
        <v>92</v>
      </c>
      <c r="N242" s="14">
        <v>1</v>
      </c>
      <c r="P242" s="12" t="s">
        <v>268</v>
      </c>
      <c r="W242" s="9" t="str">
        <f t="shared" ca="1" si="16"/>
        <v>18.5%</v>
      </c>
      <c r="X242" t="s">
        <v>321</v>
      </c>
      <c r="Y242" s="9" t="str">
        <f t="shared" ca="1" si="17"/>
        <v>Sin costo</v>
      </c>
      <c r="Z242" t="s">
        <v>327</v>
      </c>
      <c r="AA242" t="s">
        <v>329</v>
      </c>
      <c r="AB242" t="s">
        <v>334</v>
      </c>
      <c r="AC242" s="12" t="s">
        <v>339</v>
      </c>
      <c r="AE242" t="s">
        <v>268</v>
      </c>
      <c r="AG242" s="12" t="s">
        <v>268</v>
      </c>
      <c r="AH242" t="s">
        <v>92</v>
      </c>
      <c r="AI242" s="12" t="s">
        <v>268</v>
      </c>
      <c r="AJ242" t="s">
        <v>92</v>
      </c>
      <c r="AK242" t="s">
        <v>92</v>
      </c>
      <c r="AL242" t="s">
        <v>92</v>
      </c>
      <c r="AM242" s="12" t="s">
        <v>268</v>
      </c>
      <c r="AN242" s="12" t="s">
        <v>268</v>
      </c>
      <c r="AO242" s="12" t="s">
        <v>268</v>
      </c>
      <c r="AP242" s="12" t="s">
        <v>268</v>
      </c>
      <c r="AQ242" s="12" t="s">
        <v>268</v>
      </c>
      <c r="AR242" s="28" t="str">
        <f t="shared" ca="1" si="18"/>
        <v/>
      </c>
      <c r="AS242" s="28" t="str">
        <f t="shared" ca="1" si="19"/>
        <v/>
      </c>
    </row>
    <row r="243" spans="2:45" ht="27.6" customHeight="1">
      <c r="B243">
        <f t="shared" ca="1" si="15"/>
        <v>0</v>
      </c>
      <c r="C243" t="s">
        <v>85</v>
      </c>
      <c r="D243" t="s">
        <v>92</v>
      </c>
      <c r="E243" t="s">
        <v>92</v>
      </c>
      <c r="F243" t="s">
        <v>92</v>
      </c>
      <c r="G243" t="s">
        <v>92</v>
      </c>
      <c r="H243" t="s">
        <v>92</v>
      </c>
      <c r="I243" s="12" t="s">
        <v>268</v>
      </c>
      <c r="J243" t="s">
        <v>278</v>
      </c>
      <c r="L243" t="s">
        <v>92</v>
      </c>
      <c r="N243" s="14">
        <v>1</v>
      </c>
      <c r="P243" s="12" t="s">
        <v>268</v>
      </c>
      <c r="W243" s="9" t="str">
        <f t="shared" ca="1" si="16"/>
        <v>18.5%</v>
      </c>
      <c r="X243" t="s">
        <v>321</v>
      </c>
      <c r="Y243" s="9" t="str">
        <f t="shared" ca="1" si="17"/>
        <v>Sin costo</v>
      </c>
      <c r="Z243" t="s">
        <v>327</v>
      </c>
      <c r="AA243" t="s">
        <v>329</v>
      </c>
      <c r="AB243" t="s">
        <v>334</v>
      </c>
      <c r="AC243" s="12" t="s">
        <v>339</v>
      </c>
      <c r="AE243" t="s">
        <v>268</v>
      </c>
      <c r="AG243" s="12" t="s">
        <v>268</v>
      </c>
      <c r="AH243" t="s">
        <v>92</v>
      </c>
      <c r="AI243" s="12" t="s">
        <v>268</v>
      </c>
      <c r="AJ243" t="s">
        <v>92</v>
      </c>
      <c r="AK243" t="s">
        <v>92</v>
      </c>
      <c r="AL243" t="s">
        <v>92</v>
      </c>
      <c r="AM243" s="12" t="s">
        <v>268</v>
      </c>
      <c r="AN243" s="12" t="s">
        <v>268</v>
      </c>
      <c r="AO243" s="12" t="s">
        <v>268</v>
      </c>
      <c r="AP243" s="12" t="s">
        <v>268</v>
      </c>
      <c r="AQ243" s="12" t="s">
        <v>268</v>
      </c>
      <c r="AR243" s="28" t="str">
        <f t="shared" ca="1" si="18"/>
        <v/>
      </c>
      <c r="AS243" s="28" t="str">
        <f t="shared" ca="1" si="19"/>
        <v/>
      </c>
    </row>
    <row r="244" spans="2:45" ht="27.6" customHeight="1">
      <c r="B244">
        <f t="shared" ca="1" si="15"/>
        <v>0</v>
      </c>
      <c r="C244" t="s">
        <v>85</v>
      </c>
      <c r="D244" t="s">
        <v>92</v>
      </c>
      <c r="E244" t="s">
        <v>92</v>
      </c>
      <c r="F244" t="s">
        <v>92</v>
      </c>
      <c r="G244" t="s">
        <v>92</v>
      </c>
      <c r="H244" t="s">
        <v>92</v>
      </c>
      <c r="I244" s="12" t="s">
        <v>268</v>
      </c>
      <c r="J244" t="s">
        <v>278</v>
      </c>
      <c r="L244" t="s">
        <v>92</v>
      </c>
      <c r="N244" s="14">
        <v>1</v>
      </c>
      <c r="P244" s="12" t="s">
        <v>268</v>
      </c>
      <c r="W244" s="9" t="str">
        <f t="shared" ca="1" si="16"/>
        <v>18.5%</v>
      </c>
      <c r="X244" t="s">
        <v>321</v>
      </c>
      <c r="Y244" s="9" t="str">
        <f t="shared" ca="1" si="17"/>
        <v>Sin costo</v>
      </c>
      <c r="Z244" t="s">
        <v>327</v>
      </c>
      <c r="AA244" t="s">
        <v>329</v>
      </c>
      <c r="AB244" t="s">
        <v>334</v>
      </c>
      <c r="AC244" s="12" t="s">
        <v>339</v>
      </c>
      <c r="AE244" t="s">
        <v>268</v>
      </c>
      <c r="AG244" s="12" t="s">
        <v>268</v>
      </c>
      <c r="AH244" t="s">
        <v>92</v>
      </c>
      <c r="AI244" s="12" t="s">
        <v>268</v>
      </c>
      <c r="AJ244" t="s">
        <v>92</v>
      </c>
      <c r="AK244" t="s">
        <v>92</v>
      </c>
      <c r="AL244" t="s">
        <v>92</v>
      </c>
      <c r="AM244" s="12" t="s">
        <v>268</v>
      </c>
      <c r="AN244" s="12" t="s">
        <v>268</v>
      </c>
      <c r="AO244" s="12" t="s">
        <v>268</v>
      </c>
      <c r="AP244" s="12" t="s">
        <v>268</v>
      </c>
      <c r="AQ244" s="12" t="s">
        <v>268</v>
      </c>
      <c r="AR244" s="28" t="str">
        <f t="shared" ca="1" si="18"/>
        <v/>
      </c>
      <c r="AS244" s="28" t="str">
        <f t="shared" ca="1" si="19"/>
        <v/>
      </c>
    </row>
    <row r="245" spans="2:45" ht="27.6" customHeight="1">
      <c r="B245">
        <f t="shared" ca="1" si="15"/>
        <v>0</v>
      </c>
      <c r="C245" t="s">
        <v>85</v>
      </c>
      <c r="D245" t="s">
        <v>92</v>
      </c>
      <c r="E245" t="s">
        <v>92</v>
      </c>
      <c r="F245" t="s">
        <v>92</v>
      </c>
      <c r="G245" t="s">
        <v>92</v>
      </c>
      <c r="H245" t="s">
        <v>92</v>
      </c>
      <c r="I245" s="12" t="s">
        <v>268</v>
      </c>
      <c r="J245" t="s">
        <v>278</v>
      </c>
      <c r="L245" t="s">
        <v>92</v>
      </c>
      <c r="N245" s="14">
        <v>1</v>
      </c>
      <c r="P245" s="12" t="s">
        <v>268</v>
      </c>
      <c r="W245" s="9" t="str">
        <f t="shared" ca="1" si="16"/>
        <v>18.5%</v>
      </c>
      <c r="X245" t="s">
        <v>321</v>
      </c>
      <c r="Y245" s="9" t="str">
        <f t="shared" ca="1" si="17"/>
        <v>Sin costo</v>
      </c>
      <c r="Z245" t="s">
        <v>327</v>
      </c>
      <c r="AA245" t="s">
        <v>329</v>
      </c>
      <c r="AB245" t="s">
        <v>334</v>
      </c>
      <c r="AC245" s="12" t="s">
        <v>339</v>
      </c>
      <c r="AE245" t="s">
        <v>268</v>
      </c>
      <c r="AG245" s="12" t="s">
        <v>268</v>
      </c>
      <c r="AH245" t="s">
        <v>92</v>
      </c>
      <c r="AI245" s="12" t="s">
        <v>268</v>
      </c>
      <c r="AJ245" t="s">
        <v>92</v>
      </c>
      <c r="AK245" t="s">
        <v>92</v>
      </c>
      <c r="AL245" t="s">
        <v>92</v>
      </c>
      <c r="AM245" s="12" t="s">
        <v>268</v>
      </c>
      <c r="AN245" s="12" t="s">
        <v>268</v>
      </c>
      <c r="AO245" s="12" t="s">
        <v>268</v>
      </c>
      <c r="AP245" s="12" t="s">
        <v>268</v>
      </c>
      <c r="AQ245" s="12" t="s">
        <v>268</v>
      </c>
      <c r="AR245" s="28" t="str">
        <f t="shared" ca="1" si="18"/>
        <v/>
      </c>
      <c r="AS245" s="28" t="str">
        <f t="shared" ca="1" si="19"/>
        <v/>
      </c>
    </row>
    <row r="246" spans="2:45" ht="27.6" customHeight="1">
      <c r="B246">
        <f t="shared" ca="1" si="15"/>
        <v>0</v>
      </c>
      <c r="C246" t="s">
        <v>85</v>
      </c>
      <c r="D246" t="s">
        <v>92</v>
      </c>
      <c r="E246" t="s">
        <v>92</v>
      </c>
      <c r="F246" t="s">
        <v>92</v>
      </c>
      <c r="G246" t="s">
        <v>92</v>
      </c>
      <c r="H246" t="s">
        <v>92</v>
      </c>
      <c r="I246" s="12" t="s">
        <v>268</v>
      </c>
      <c r="J246" t="s">
        <v>278</v>
      </c>
      <c r="L246" t="s">
        <v>92</v>
      </c>
      <c r="N246" s="14">
        <v>1</v>
      </c>
      <c r="P246" s="12" t="s">
        <v>268</v>
      </c>
      <c r="W246" s="9" t="str">
        <f t="shared" ca="1" si="16"/>
        <v>18.5%</v>
      </c>
      <c r="X246" t="s">
        <v>321</v>
      </c>
      <c r="Y246" s="9" t="str">
        <f t="shared" ca="1" si="17"/>
        <v>Sin costo</v>
      </c>
      <c r="Z246" t="s">
        <v>327</v>
      </c>
      <c r="AA246" t="s">
        <v>329</v>
      </c>
      <c r="AB246" t="s">
        <v>334</v>
      </c>
      <c r="AC246" s="12" t="s">
        <v>339</v>
      </c>
      <c r="AE246" t="s">
        <v>268</v>
      </c>
      <c r="AG246" s="12" t="s">
        <v>268</v>
      </c>
      <c r="AH246" t="s">
        <v>92</v>
      </c>
      <c r="AI246" s="12" t="s">
        <v>268</v>
      </c>
      <c r="AJ246" t="s">
        <v>92</v>
      </c>
      <c r="AK246" t="s">
        <v>92</v>
      </c>
      <c r="AL246" t="s">
        <v>92</v>
      </c>
      <c r="AM246" s="12" t="s">
        <v>268</v>
      </c>
      <c r="AN246" s="12" t="s">
        <v>268</v>
      </c>
      <c r="AO246" s="12" t="s">
        <v>268</v>
      </c>
      <c r="AP246" s="12" t="s">
        <v>268</v>
      </c>
      <c r="AQ246" s="12" t="s">
        <v>268</v>
      </c>
      <c r="AR246" s="28" t="str">
        <f t="shared" ca="1" si="18"/>
        <v/>
      </c>
      <c r="AS246" s="28" t="str">
        <f t="shared" ca="1" si="19"/>
        <v/>
      </c>
    </row>
    <row r="247" spans="2:45" ht="27.6" customHeight="1">
      <c r="B247">
        <f t="shared" ca="1" si="15"/>
        <v>0</v>
      </c>
      <c r="C247" t="s">
        <v>85</v>
      </c>
      <c r="D247" t="s">
        <v>92</v>
      </c>
      <c r="E247" t="s">
        <v>92</v>
      </c>
      <c r="F247" t="s">
        <v>92</v>
      </c>
      <c r="G247" t="s">
        <v>92</v>
      </c>
      <c r="H247" t="s">
        <v>92</v>
      </c>
      <c r="I247" s="12" t="s">
        <v>268</v>
      </c>
      <c r="J247" t="s">
        <v>278</v>
      </c>
      <c r="L247" t="s">
        <v>92</v>
      </c>
      <c r="N247" s="14">
        <v>1</v>
      </c>
      <c r="P247" s="12" t="s">
        <v>268</v>
      </c>
      <c r="W247" s="9" t="str">
        <f t="shared" ca="1" si="16"/>
        <v>18.5%</v>
      </c>
      <c r="X247" t="s">
        <v>321</v>
      </c>
      <c r="Y247" s="9" t="str">
        <f t="shared" ca="1" si="17"/>
        <v>Sin costo</v>
      </c>
      <c r="Z247" t="s">
        <v>327</v>
      </c>
      <c r="AA247" t="s">
        <v>329</v>
      </c>
      <c r="AB247" t="s">
        <v>334</v>
      </c>
      <c r="AC247" s="12" t="s">
        <v>339</v>
      </c>
      <c r="AE247" t="s">
        <v>268</v>
      </c>
      <c r="AG247" s="12" t="s">
        <v>268</v>
      </c>
      <c r="AH247" t="s">
        <v>92</v>
      </c>
      <c r="AI247" s="12" t="s">
        <v>268</v>
      </c>
      <c r="AJ247" t="s">
        <v>92</v>
      </c>
      <c r="AK247" t="s">
        <v>92</v>
      </c>
      <c r="AL247" t="s">
        <v>92</v>
      </c>
      <c r="AM247" s="12" t="s">
        <v>268</v>
      </c>
      <c r="AN247" s="12" t="s">
        <v>268</v>
      </c>
      <c r="AO247" s="12" t="s">
        <v>268</v>
      </c>
      <c r="AP247" s="12" t="s">
        <v>268</v>
      </c>
      <c r="AQ247" s="12" t="s">
        <v>268</v>
      </c>
      <c r="AR247" s="28" t="str">
        <f t="shared" ca="1" si="18"/>
        <v/>
      </c>
      <c r="AS247" s="28" t="str">
        <f t="shared" ca="1" si="19"/>
        <v/>
      </c>
    </row>
    <row r="248" spans="2:45" ht="27.6" customHeight="1">
      <c r="B248">
        <f t="shared" ca="1" si="15"/>
        <v>0</v>
      </c>
      <c r="C248" t="s">
        <v>85</v>
      </c>
      <c r="D248" t="s">
        <v>92</v>
      </c>
      <c r="E248" t="s">
        <v>92</v>
      </c>
      <c r="F248" t="s">
        <v>92</v>
      </c>
      <c r="G248" t="s">
        <v>92</v>
      </c>
      <c r="H248" t="s">
        <v>92</v>
      </c>
      <c r="I248" s="12" t="s">
        <v>268</v>
      </c>
      <c r="J248" t="s">
        <v>278</v>
      </c>
      <c r="L248" t="s">
        <v>92</v>
      </c>
      <c r="N248" s="14">
        <v>1</v>
      </c>
      <c r="P248" s="12" t="s">
        <v>268</v>
      </c>
      <c r="W248" s="9" t="str">
        <f t="shared" ca="1" si="16"/>
        <v>18.5%</v>
      </c>
      <c r="X248" t="s">
        <v>321</v>
      </c>
      <c r="Y248" s="9" t="str">
        <f t="shared" ca="1" si="17"/>
        <v>Sin costo</v>
      </c>
      <c r="Z248" t="s">
        <v>327</v>
      </c>
      <c r="AA248" t="s">
        <v>329</v>
      </c>
      <c r="AB248" t="s">
        <v>334</v>
      </c>
      <c r="AC248" s="12" t="s">
        <v>339</v>
      </c>
      <c r="AE248" t="s">
        <v>268</v>
      </c>
      <c r="AG248" s="12" t="s">
        <v>268</v>
      </c>
      <c r="AH248" t="s">
        <v>92</v>
      </c>
      <c r="AI248" s="12" t="s">
        <v>268</v>
      </c>
      <c r="AJ248" t="s">
        <v>92</v>
      </c>
      <c r="AK248" t="s">
        <v>92</v>
      </c>
      <c r="AL248" t="s">
        <v>92</v>
      </c>
      <c r="AM248" s="12" t="s">
        <v>268</v>
      </c>
      <c r="AN248" s="12" t="s">
        <v>268</v>
      </c>
      <c r="AO248" s="12" t="s">
        <v>268</v>
      </c>
      <c r="AP248" s="12" t="s">
        <v>268</v>
      </c>
      <c r="AQ248" s="12" t="s">
        <v>268</v>
      </c>
      <c r="AR248" s="28" t="str">
        <f t="shared" ca="1" si="18"/>
        <v/>
      </c>
      <c r="AS248" s="28" t="str">
        <f t="shared" ca="1" si="19"/>
        <v/>
      </c>
    </row>
    <row r="249" spans="2:45" ht="27.6" customHeight="1">
      <c r="B249">
        <f t="shared" ca="1" si="15"/>
        <v>0</v>
      </c>
      <c r="C249" t="s">
        <v>85</v>
      </c>
      <c r="D249" t="s">
        <v>92</v>
      </c>
      <c r="E249" t="s">
        <v>92</v>
      </c>
      <c r="F249" t="s">
        <v>92</v>
      </c>
      <c r="G249" t="s">
        <v>92</v>
      </c>
      <c r="H249" t="s">
        <v>92</v>
      </c>
      <c r="I249" s="12" t="s">
        <v>268</v>
      </c>
      <c r="J249" t="s">
        <v>278</v>
      </c>
      <c r="L249" t="s">
        <v>92</v>
      </c>
      <c r="N249" s="14">
        <v>1</v>
      </c>
      <c r="P249" s="12" t="s">
        <v>268</v>
      </c>
      <c r="W249" s="9" t="str">
        <f t="shared" ca="1" si="16"/>
        <v>18.5%</v>
      </c>
      <c r="X249" t="s">
        <v>321</v>
      </c>
      <c r="Y249" s="9" t="str">
        <f t="shared" ca="1" si="17"/>
        <v>Sin costo</v>
      </c>
      <c r="Z249" t="s">
        <v>327</v>
      </c>
      <c r="AA249" t="s">
        <v>329</v>
      </c>
      <c r="AB249" t="s">
        <v>334</v>
      </c>
      <c r="AC249" s="12" t="s">
        <v>339</v>
      </c>
      <c r="AE249" t="s">
        <v>268</v>
      </c>
      <c r="AG249" s="12" t="s">
        <v>268</v>
      </c>
      <c r="AH249" t="s">
        <v>92</v>
      </c>
      <c r="AI249" s="12" t="s">
        <v>268</v>
      </c>
      <c r="AJ249" t="s">
        <v>92</v>
      </c>
      <c r="AK249" t="s">
        <v>92</v>
      </c>
      <c r="AL249" t="s">
        <v>92</v>
      </c>
      <c r="AM249" s="12" t="s">
        <v>268</v>
      </c>
      <c r="AN249" s="12" t="s">
        <v>268</v>
      </c>
      <c r="AO249" s="12" t="s">
        <v>268</v>
      </c>
      <c r="AP249" s="12" t="s">
        <v>268</v>
      </c>
      <c r="AQ249" s="12" t="s">
        <v>268</v>
      </c>
      <c r="AR249" s="28" t="str">
        <f t="shared" ca="1" si="18"/>
        <v/>
      </c>
      <c r="AS249" s="28" t="str">
        <f t="shared" ca="1" si="19"/>
        <v/>
      </c>
    </row>
    <row r="250" spans="2:45" ht="27.6" customHeight="1">
      <c r="B250">
        <f t="shared" ca="1" si="15"/>
        <v>0</v>
      </c>
      <c r="C250" t="s">
        <v>85</v>
      </c>
      <c r="D250" t="s">
        <v>92</v>
      </c>
      <c r="E250" t="s">
        <v>92</v>
      </c>
      <c r="F250" t="s">
        <v>92</v>
      </c>
      <c r="G250" t="s">
        <v>92</v>
      </c>
      <c r="H250" t="s">
        <v>92</v>
      </c>
      <c r="I250" s="12" t="s">
        <v>268</v>
      </c>
      <c r="J250" t="s">
        <v>278</v>
      </c>
      <c r="L250" t="s">
        <v>92</v>
      </c>
      <c r="N250" s="14">
        <v>1</v>
      </c>
      <c r="P250" s="12" t="s">
        <v>268</v>
      </c>
      <c r="W250" s="9" t="str">
        <f t="shared" ca="1" si="16"/>
        <v>18.5%</v>
      </c>
      <c r="X250" t="s">
        <v>321</v>
      </c>
      <c r="Y250" s="9" t="str">
        <f t="shared" ca="1" si="17"/>
        <v>Sin costo</v>
      </c>
      <c r="Z250" t="s">
        <v>327</v>
      </c>
      <c r="AA250" t="s">
        <v>329</v>
      </c>
      <c r="AB250" t="s">
        <v>334</v>
      </c>
      <c r="AC250" s="12" t="s">
        <v>339</v>
      </c>
      <c r="AE250" t="s">
        <v>268</v>
      </c>
      <c r="AG250" s="12" t="s">
        <v>268</v>
      </c>
      <c r="AH250" t="s">
        <v>92</v>
      </c>
      <c r="AI250" s="12" t="s">
        <v>268</v>
      </c>
      <c r="AJ250" t="s">
        <v>92</v>
      </c>
      <c r="AK250" t="s">
        <v>92</v>
      </c>
      <c r="AL250" t="s">
        <v>92</v>
      </c>
      <c r="AM250" s="12" t="s">
        <v>268</v>
      </c>
      <c r="AN250" s="12" t="s">
        <v>268</v>
      </c>
      <c r="AO250" s="12" t="s">
        <v>268</v>
      </c>
      <c r="AP250" s="12" t="s">
        <v>268</v>
      </c>
      <c r="AQ250" s="12" t="s">
        <v>268</v>
      </c>
      <c r="AR250" s="28" t="str">
        <f t="shared" ca="1" si="18"/>
        <v/>
      </c>
      <c r="AS250" s="28" t="str">
        <f t="shared" ca="1" si="19"/>
        <v/>
      </c>
    </row>
    <row r="251" spans="2:45" ht="27.6" customHeight="1">
      <c r="B251">
        <f t="shared" ca="1" si="15"/>
        <v>0</v>
      </c>
      <c r="C251" t="s">
        <v>85</v>
      </c>
      <c r="D251" t="s">
        <v>92</v>
      </c>
      <c r="E251" t="s">
        <v>92</v>
      </c>
      <c r="F251" t="s">
        <v>92</v>
      </c>
      <c r="G251" t="s">
        <v>92</v>
      </c>
      <c r="H251" t="s">
        <v>92</v>
      </c>
      <c r="I251" s="12" t="s">
        <v>268</v>
      </c>
      <c r="J251" t="s">
        <v>278</v>
      </c>
      <c r="L251" t="s">
        <v>92</v>
      </c>
      <c r="N251" s="14">
        <v>1</v>
      </c>
      <c r="P251" s="12" t="s">
        <v>268</v>
      </c>
      <c r="W251" s="9" t="str">
        <f t="shared" ca="1" si="16"/>
        <v>18.5%</v>
      </c>
      <c r="X251" t="s">
        <v>321</v>
      </c>
      <c r="Y251" s="9" t="str">
        <f t="shared" ca="1" si="17"/>
        <v>Sin costo</v>
      </c>
      <c r="Z251" t="s">
        <v>327</v>
      </c>
      <c r="AA251" t="s">
        <v>329</v>
      </c>
      <c r="AB251" t="s">
        <v>334</v>
      </c>
      <c r="AC251" s="12" t="s">
        <v>339</v>
      </c>
      <c r="AE251" t="s">
        <v>268</v>
      </c>
      <c r="AG251" s="12" t="s">
        <v>268</v>
      </c>
      <c r="AH251" t="s">
        <v>92</v>
      </c>
      <c r="AI251" s="12" t="s">
        <v>268</v>
      </c>
      <c r="AJ251" t="s">
        <v>92</v>
      </c>
      <c r="AK251" t="s">
        <v>92</v>
      </c>
      <c r="AL251" t="s">
        <v>92</v>
      </c>
      <c r="AM251" s="12" t="s">
        <v>268</v>
      </c>
      <c r="AN251" s="12" t="s">
        <v>268</v>
      </c>
      <c r="AO251" s="12" t="s">
        <v>268</v>
      </c>
      <c r="AP251" s="12" t="s">
        <v>268</v>
      </c>
      <c r="AQ251" s="12" t="s">
        <v>268</v>
      </c>
      <c r="AR251" s="28" t="str">
        <f t="shared" ca="1" si="18"/>
        <v/>
      </c>
      <c r="AS251" s="28" t="str">
        <f t="shared" ca="1" si="19"/>
        <v/>
      </c>
    </row>
    <row r="252" spans="2:45" ht="27.6" customHeight="1">
      <c r="B252">
        <f t="shared" ca="1" si="15"/>
        <v>0</v>
      </c>
      <c r="C252" t="s">
        <v>85</v>
      </c>
      <c r="D252" t="s">
        <v>92</v>
      </c>
      <c r="E252" t="s">
        <v>92</v>
      </c>
      <c r="F252" t="s">
        <v>92</v>
      </c>
      <c r="G252" t="s">
        <v>92</v>
      </c>
      <c r="H252" t="s">
        <v>92</v>
      </c>
      <c r="I252" s="12" t="s">
        <v>268</v>
      </c>
      <c r="J252" t="s">
        <v>278</v>
      </c>
      <c r="L252" t="s">
        <v>92</v>
      </c>
      <c r="N252" s="14">
        <v>1</v>
      </c>
      <c r="P252" s="12" t="s">
        <v>268</v>
      </c>
      <c r="W252" s="9" t="str">
        <f t="shared" ca="1" si="16"/>
        <v>18.5%</v>
      </c>
      <c r="X252" t="s">
        <v>321</v>
      </c>
      <c r="Y252" s="9" t="str">
        <f t="shared" ca="1" si="17"/>
        <v>Sin costo</v>
      </c>
      <c r="Z252" t="s">
        <v>327</v>
      </c>
      <c r="AA252" t="s">
        <v>329</v>
      </c>
      <c r="AB252" t="s">
        <v>334</v>
      </c>
      <c r="AC252" s="12" t="s">
        <v>339</v>
      </c>
      <c r="AE252" t="s">
        <v>268</v>
      </c>
      <c r="AG252" s="12" t="s">
        <v>268</v>
      </c>
      <c r="AH252" t="s">
        <v>92</v>
      </c>
      <c r="AI252" s="12" t="s">
        <v>268</v>
      </c>
      <c r="AJ252" t="s">
        <v>92</v>
      </c>
      <c r="AK252" t="s">
        <v>92</v>
      </c>
      <c r="AL252" t="s">
        <v>92</v>
      </c>
      <c r="AM252" s="12" t="s">
        <v>268</v>
      </c>
      <c r="AN252" s="12" t="s">
        <v>268</v>
      </c>
      <c r="AO252" s="12" t="s">
        <v>268</v>
      </c>
      <c r="AP252" s="12" t="s">
        <v>268</v>
      </c>
      <c r="AQ252" s="12" t="s">
        <v>268</v>
      </c>
      <c r="AR252" s="28" t="str">
        <f t="shared" ca="1" si="18"/>
        <v/>
      </c>
      <c r="AS252" s="28" t="str">
        <f t="shared" ca="1" si="19"/>
        <v/>
      </c>
    </row>
    <row r="253" spans="2:45" ht="27.6" customHeight="1">
      <c r="B253">
        <f t="shared" ca="1" si="15"/>
        <v>0</v>
      </c>
      <c r="C253" t="s">
        <v>85</v>
      </c>
      <c r="D253" t="s">
        <v>92</v>
      </c>
      <c r="E253" t="s">
        <v>92</v>
      </c>
      <c r="F253" t="s">
        <v>92</v>
      </c>
      <c r="G253" t="s">
        <v>92</v>
      </c>
      <c r="H253" t="s">
        <v>92</v>
      </c>
      <c r="I253" s="12" t="s">
        <v>268</v>
      </c>
      <c r="J253" t="s">
        <v>278</v>
      </c>
      <c r="L253" t="s">
        <v>92</v>
      </c>
      <c r="N253" s="14">
        <v>1</v>
      </c>
      <c r="P253" s="12" t="s">
        <v>268</v>
      </c>
      <c r="W253" s="9" t="str">
        <f t="shared" ca="1" si="16"/>
        <v>18.5%</v>
      </c>
      <c r="X253" t="s">
        <v>321</v>
      </c>
      <c r="Y253" s="9" t="str">
        <f t="shared" ca="1" si="17"/>
        <v>Sin costo</v>
      </c>
      <c r="Z253" t="s">
        <v>327</v>
      </c>
      <c r="AA253" t="s">
        <v>329</v>
      </c>
      <c r="AB253" t="s">
        <v>334</v>
      </c>
      <c r="AC253" s="12" t="s">
        <v>339</v>
      </c>
      <c r="AE253" t="s">
        <v>268</v>
      </c>
      <c r="AG253" s="12" t="s">
        <v>268</v>
      </c>
      <c r="AH253" t="s">
        <v>92</v>
      </c>
      <c r="AI253" s="12" t="s">
        <v>268</v>
      </c>
      <c r="AJ253" t="s">
        <v>92</v>
      </c>
      <c r="AK253" t="s">
        <v>92</v>
      </c>
      <c r="AL253" t="s">
        <v>92</v>
      </c>
      <c r="AM253" s="12" t="s">
        <v>268</v>
      </c>
      <c r="AN253" s="12" t="s">
        <v>268</v>
      </c>
      <c r="AO253" s="12" t="s">
        <v>268</v>
      </c>
      <c r="AP253" s="12" t="s">
        <v>268</v>
      </c>
      <c r="AQ253" s="12" t="s">
        <v>268</v>
      </c>
      <c r="AR253" s="28" t="str">
        <f t="shared" ca="1" si="18"/>
        <v/>
      </c>
      <c r="AS253" s="28" t="str">
        <f t="shared" ca="1" si="19"/>
        <v/>
      </c>
    </row>
    <row r="254" spans="2:45" ht="27.6" customHeight="1">
      <c r="B254">
        <f t="shared" ca="1" si="15"/>
        <v>0</v>
      </c>
      <c r="C254" t="s">
        <v>85</v>
      </c>
      <c r="D254" t="s">
        <v>92</v>
      </c>
      <c r="E254" t="s">
        <v>92</v>
      </c>
      <c r="F254" t="s">
        <v>92</v>
      </c>
      <c r="G254" t="s">
        <v>92</v>
      </c>
      <c r="H254" t="s">
        <v>92</v>
      </c>
      <c r="I254" s="12" t="s">
        <v>268</v>
      </c>
      <c r="J254" t="s">
        <v>278</v>
      </c>
      <c r="L254" t="s">
        <v>92</v>
      </c>
      <c r="N254" s="14">
        <v>1</v>
      </c>
      <c r="P254" s="12" t="s">
        <v>268</v>
      </c>
      <c r="W254" s="9" t="str">
        <f t="shared" ca="1" si="16"/>
        <v>18.5%</v>
      </c>
      <c r="X254" t="s">
        <v>321</v>
      </c>
      <c r="Y254" s="9" t="str">
        <f t="shared" ca="1" si="17"/>
        <v>Sin costo</v>
      </c>
      <c r="Z254" t="s">
        <v>327</v>
      </c>
      <c r="AA254" t="s">
        <v>329</v>
      </c>
      <c r="AB254" t="s">
        <v>334</v>
      </c>
      <c r="AC254" s="12" t="s">
        <v>339</v>
      </c>
      <c r="AE254" t="s">
        <v>268</v>
      </c>
      <c r="AG254" s="12" t="s">
        <v>268</v>
      </c>
      <c r="AH254" t="s">
        <v>92</v>
      </c>
      <c r="AI254" s="12" t="s">
        <v>268</v>
      </c>
      <c r="AJ254" t="s">
        <v>92</v>
      </c>
      <c r="AK254" t="s">
        <v>92</v>
      </c>
      <c r="AL254" t="s">
        <v>92</v>
      </c>
      <c r="AM254" s="12" t="s">
        <v>268</v>
      </c>
      <c r="AN254" s="12" t="s">
        <v>268</v>
      </c>
      <c r="AO254" s="12" t="s">
        <v>268</v>
      </c>
      <c r="AP254" s="12" t="s">
        <v>268</v>
      </c>
      <c r="AQ254" s="12" t="s">
        <v>268</v>
      </c>
      <c r="AR254" s="28" t="str">
        <f t="shared" ca="1" si="18"/>
        <v/>
      </c>
      <c r="AS254" s="28" t="str">
        <f t="shared" ca="1" si="19"/>
        <v/>
      </c>
    </row>
    <row r="255" spans="2:45" ht="27.6" customHeight="1">
      <c r="B255">
        <f t="shared" ca="1" si="15"/>
        <v>0</v>
      </c>
      <c r="C255" t="s">
        <v>85</v>
      </c>
      <c r="D255" t="s">
        <v>92</v>
      </c>
      <c r="E255" t="s">
        <v>92</v>
      </c>
      <c r="F255" t="s">
        <v>92</v>
      </c>
      <c r="G255" t="s">
        <v>92</v>
      </c>
      <c r="H255" t="s">
        <v>92</v>
      </c>
      <c r="I255" s="12" t="s">
        <v>268</v>
      </c>
      <c r="J255" t="s">
        <v>278</v>
      </c>
      <c r="L255" t="s">
        <v>92</v>
      </c>
      <c r="N255" s="14">
        <v>1</v>
      </c>
      <c r="P255" s="12" t="s">
        <v>268</v>
      </c>
      <c r="W255" s="9" t="str">
        <f t="shared" ca="1" si="16"/>
        <v>18.5%</v>
      </c>
      <c r="X255" t="s">
        <v>321</v>
      </c>
      <c r="Y255" s="9" t="str">
        <f t="shared" ca="1" si="17"/>
        <v>Sin costo</v>
      </c>
      <c r="Z255" t="s">
        <v>327</v>
      </c>
      <c r="AA255" t="s">
        <v>329</v>
      </c>
      <c r="AB255" t="s">
        <v>334</v>
      </c>
      <c r="AC255" s="12" t="s">
        <v>339</v>
      </c>
      <c r="AE255" t="s">
        <v>268</v>
      </c>
      <c r="AG255" s="12" t="s">
        <v>268</v>
      </c>
      <c r="AH255" t="s">
        <v>92</v>
      </c>
      <c r="AI255" s="12" t="s">
        <v>268</v>
      </c>
      <c r="AJ255" t="s">
        <v>92</v>
      </c>
      <c r="AK255" t="s">
        <v>92</v>
      </c>
      <c r="AL255" t="s">
        <v>92</v>
      </c>
      <c r="AM255" s="12" t="s">
        <v>268</v>
      </c>
      <c r="AN255" s="12" t="s">
        <v>268</v>
      </c>
      <c r="AO255" s="12" t="s">
        <v>268</v>
      </c>
      <c r="AP255" s="12" t="s">
        <v>268</v>
      </c>
      <c r="AQ255" s="12" t="s">
        <v>268</v>
      </c>
      <c r="AR255" s="28" t="str">
        <f t="shared" ca="1" si="18"/>
        <v/>
      </c>
      <c r="AS255" s="28" t="str">
        <f t="shared" ca="1" si="19"/>
        <v/>
      </c>
    </row>
    <row r="256" spans="2:45" ht="27.6" customHeight="1">
      <c r="B256">
        <f t="shared" ca="1" si="15"/>
        <v>0</v>
      </c>
      <c r="C256" t="s">
        <v>85</v>
      </c>
      <c r="D256" t="s">
        <v>92</v>
      </c>
      <c r="E256" t="s">
        <v>92</v>
      </c>
      <c r="F256" t="s">
        <v>92</v>
      </c>
      <c r="G256" t="s">
        <v>92</v>
      </c>
      <c r="H256" t="s">
        <v>92</v>
      </c>
      <c r="I256" s="12" t="s">
        <v>268</v>
      </c>
      <c r="J256" t="s">
        <v>278</v>
      </c>
      <c r="L256" t="s">
        <v>92</v>
      </c>
      <c r="N256" s="14">
        <v>1</v>
      </c>
      <c r="P256" s="12" t="s">
        <v>268</v>
      </c>
      <c r="W256" s="9" t="str">
        <f t="shared" ca="1" si="16"/>
        <v>18.5%</v>
      </c>
      <c r="X256" t="s">
        <v>321</v>
      </c>
      <c r="Y256" s="9" t="str">
        <f t="shared" ca="1" si="17"/>
        <v>Sin costo</v>
      </c>
      <c r="Z256" t="s">
        <v>327</v>
      </c>
      <c r="AA256" t="s">
        <v>329</v>
      </c>
      <c r="AB256" t="s">
        <v>334</v>
      </c>
      <c r="AC256" s="12" t="s">
        <v>339</v>
      </c>
      <c r="AE256" t="s">
        <v>268</v>
      </c>
      <c r="AG256" s="12" t="s">
        <v>268</v>
      </c>
      <c r="AH256" t="s">
        <v>92</v>
      </c>
      <c r="AI256" s="12" t="s">
        <v>268</v>
      </c>
      <c r="AJ256" t="s">
        <v>92</v>
      </c>
      <c r="AK256" t="s">
        <v>92</v>
      </c>
      <c r="AL256" t="s">
        <v>92</v>
      </c>
      <c r="AM256" s="12" t="s">
        <v>268</v>
      </c>
      <c r="AN256" s="12" t="s">
        <v>268</v>
      </c>
      <c r="AO256" s="12" t="s">
        <v>268</v>
      </c>
      <c r="AP256" s="12" t="s">
        <v>268</v>
      </c>
      <c r="AQ256" s="12" t="s">
        <v>268</v>
      </c>
      <c r="AR256" s="28" t="str">
        <f t="shared" ca="1" si="18"/>
        <v/>
      </c>
      <c r="AS256" s="28" t="str">
        <f t="shared" ca="1" si="19"/>
        <v/>
      </c>
    </row>
    <row r="257" spans="2:45" ht="27.6" customHeight="1">
      <c r="B257">
        <f t="shared" ca="1" si="15"/>
        <v>0</v>
      </c>
      <c r="C257" t="s">
        <v>85</v>
      </c>
      <c r="D257" t="s">
        <v>92</v>
      </c>
      <c r="E257" t="s">
        <v>92</v>
      </c>
      <c r="F257" t="s">
        <v>92</v>
      </c>
      <c r="G257" t="s">
        <v>92</v>
      </c>
      <c r="H257" t="s">
        <v>92</v>
      </c>
      <c r="I257" s="12" t="s">
        <v>268</v>
      </c>
      <c r="J257" t="s">
        <v>278</v>
      </c>
      <c r="L257" t="s">
        <v>92</v>
      </c>
      <c r="N257" s="14">
        <v>1</v>
      </c>
      <c r="P257" s="12" t="s">
        <v>268</v>
      </c>
      <c r="W257" s="9" t="str">
        <f t="shared" ca="1" si="16"/>
        <v>18.5%</v>
      </c>
      <c r="X257" t="s">
        <v>321</v>
      </c>
      <c r="Y257" s="9" t="str">
        <f t="shared" ca="1" si="17"/>
        <v>Sin costo</v>
      </c>
      <c r="Z257" t="s">
        <v>327</v>
      </c>
      <c r="AA257" t="s">
        <v>329</v>
      </c>
      <c r="AB257" t="s">
        <v>334</v>
      </c>
      <c r="AC257" s="12" t="s">
        <v>339</v>
      </c>
      <c r="AE257" t="s">
        <v>268</v>
      </c>
      <c r="AG257" s="12" t="s">
        <v>268</v>
      </c>
      <c r="AH257" t="s">
        <v>92</v>
      </c>
      <c r="AI257" s="12" t="s">
        <v>268</v>
      </c>
      <c r="AJ257" t="s">
        <v>92</v>
      </c>
      <c r="AK257" t="s">
        <v>92</v>
      </c>
      <c r="AL257" t="s">
        <v>92</v>
      </c>
      <c r="AM257" s="12" t="s">
        <v>268</v>
      </c>
      <c r="AN257" s="12" t="s">
        <v>268</v>
      </c>
      <c r="AO257" s="12" t="s">
        <v>268</v>
      </c>
      <c r="AP257" s="12" t="s">
        <v>268</v>
      </c>
      <c r="AQ257" s="12" t="s">
        <v>268</v>
      </c>
      <c r="AR257" s="28" t="str">
        <f t="shared" ca="1" si="18"/>
        <v/>
      </c>
      <c r="AS257" s="28" t="str">
        <f t="shared" ca="1" si="19"/>
        <v/>
      </c>
    </row>
    <row r="258" spans="2:45" ht="27.6" customHeight="1">
      <c r="B258">
        <f t="shared" ca="1" si="15"/>
        <v>0</v>
      </c>
      <c r="C258" t="s">
        <v>85</v>
      </c>
      <c r="D258" t="s">
        <v>92</v>
      </c>
      <c r="E258" t="s">
        <v>92</v>
      </c>
      <c r="F258" t="s">
        <v>92</v>
      </c>
      <c r="G258" t="s">
        <v>92</v>
      </c>
      <c r="H258" t="s">
        <v>92</v>
      </c>
      <c r="I258" s="12" t="s">
        <v>268</v>
      </c>
      <c r="J258" t="s">
        <v>278</v>
      </c>
      <c r="L258" t="s">
        <v>92</v>
      </c>
      <c r="N258" s="14">
        <v>1</v>
      </c>
      <c r="P258" s="12" t="s">
        <v>268</v>
      </c>
      <c r="W258" s="9" t="str">
        <f t="shared" ca="1" si="16"/>
        <v>18.5%</v>
      </c>
      <c r="X258" t="s">
        <v>321</v>
      </c>
      <c r="Y258" s="9" t="str">
        <f t="shared" ca="1" si="17"/>
        <v>Sin costo</v>
      </c>
      <c r="Z258" t="s">
        <v>327</v>
      </c>
      <c r="AA258" t="s">
        <v>329</v>
      </c>
      <c r="AB258" t="s">
        <v>334</v>
      </c>
      <c r="AC258" s="12" t="s">
        <v>339</v>
      </c>
      <c r="AE258" t="s">
        <v>268</v>
      </c>
      <c r="AG258" s="12" t="s">
        <v>268</v>
      </c>
      <c r="AH258" t="s">
        <v>92</v>
      </c>
      <c r="AI258" s="12" t="s">
        <v>268</v>
      </c>
      <c r="AJ258" t="s">
        <v>92</v>
      </c>
      <c r="AK258" t="s">
        <v>92</v>
      </c>
      <c r="AL258" t="s">
        <v>92</v>
      </c>
      <c r="AM258" s="12" t="s">
        <v>268</v>
      </c>
      <c r="AN258" s="12" t="s">
        <v>268</v>
      </c>
      <c r="AO258" s="12" t="s">
        <v>268</v>
      </c>
      <c r="AP258" s="12" t="s">
        <v>268</v>
      </c>
      <c r="AQ258" s="12" t="s">
        <v>268</v>
      </c>
      <c r="AR258" s="28" t="str">
        <f t="shared" ca="1" si="18"/>
        <v/>
      </c>
      <c r="AS258" s="28" t="str">
        <f t="shared" ca="1" si="19"/>
        <v/>
      </c>
    </row>
    <row r="259" spans="2:45" ht="27.6" customHeight="1">
      <c r="B259">
        <f t="shared" ca="1" si="15"/>
        <v>0</v>
      </c>
      <c r="C259" t="s">
        <v>85</v>
      </c>
      <c r="D259" t="s">
        <v>92</v>
      </c>
      <c r="E259" t="s">
        <v>92</v>
      </c>
      <c r="F259" t="s">
        <v>92</v>
      </c>
      <c r="G259" t="s">
        <v>92</v>
      </c>
      <c r="H259" t="s">
        <v>92</v>
      </c>
      <c r="I259" s="12" t="s">
        <v>268</v>
      </c>
      <c r="J259" t="s">
        <v>278</v>
      </c>
      <c r="L259" t="s">
        <v>92</v>
      </c>
      <c r="N259" s="14">
        <v>1</v>
      </c>
      <c r="P259" s="12" t="s">
        <v>268</v>
      </c>
      <c r="W259" s="9" t="str">
        <f t="shared" ca="1" si="16"/>
        <v>18.5%</v>
      </c>
      <c r="X259" t="s">
        <v>321</v>
      </c>
      <c r="Y259" s="9" t="str">
        <f t="shared" ca="1" si="17"/>
        <v>Sin costo</v>
      </c>
      <c r="Z259" t="s">
        <v>327</v>
      </c>
      <c r="AA259" t="s">
        <v>329</v>
      </c>
      <c r="AB259" t="s">
        <v>334</v>
      </c>
      <c r="AC259" s="12" t="s">
        <v>339</v>
      </c>
      <c r="AE259" t="s">
        <v>268</v>
      </c>
      <c r="AG259" s="12" t="s">
        <v>268</v>
      </c>
      <c r="AH259" t="s">
        <v>92</v>
      </c>
      <c r="AI259" s="12" t="s">
        <v>268</v>
      </c>
      <c r="AJ259" t="s">
        <v>92</v>
      </c>
      <c r="AK259" t="s">
        <v>92</v>
      </c>
      <c r="AL259" t="s">
        <v>92</v>
      </c>
      <c r="AM259" s="12" t="s">
        <v>268</v>
      </c>
      <c r="AN259" s="12" t="s">
        <v>268</v>
      </c>
      <c r="AO259" s="12" t="s">
        <v>268</v>
      </c>
      <c r="AP259" s="12" t="s">
        <v>268</v>
      </c>
      <c r="AQ259" s="12" t="s">
        <v>268</v>
      </c>
      <c r="AR259" s="28" t="str">
        <f t="shared" ca="1" si="18"/>
        <v/>
      </c>
      <c r="AS259" s="28" t="str">
        <f t="shared" ca="1" si="19"/>
        <v/>
      </c>
    </row>
    <row r="260" spans="2:45" ht="27.6" customHeight="1">
      <c r="B260">
        <f t="shared" ca="1" si="15"/>
        <v>0</v>
      </c>
      <c r="C260" t="s">
        <v>85</v>
      </c>
      <c r="D260" t="s">
        <v>92</v>
      </c>
      <c r="E260" t="s">
        <v>92</v>
      </c>
      <c r="F260" t="s">
        <v>92</v>
      </c>
      <c r="G260" t="s">
        <v>92</v>
      </c>
      <c r="H260" t="s">
        <v>92</v>
      </c>
      <c r="I260" s="12" t="s">
        <v>268</v>
      </c>
      <c r="J260" t="s">
        <v>278</v>
      </c>
      <c r="L260" t="s">
        <v>92</v>
      </c>
      <c r="N260" s="14">
        <v>1</v>
      </c>
      <c r="P260" s="12" t="s">
        <v>268</v>
      </c>
      <c r="W260" s="9" t="str">
        <f t="shared" ca="1" si="16"/>
        <v>18.5%</v>
      </c>
      <c r="X260" t="s">
        <v>321</v>
      </c>
      <c r="Y260" s="9" t="str">
        <f t="shared" ca="1" si="17"/>
        <v>Sin costo</v>
      </c>
      <c r="Z260" t="s">
        <v>327</v>
      </c>
      <c r="AA260" t="s">
        <v>329</v>
      </c>
      <c r="AB260" t="s">
        <v>334</v>
      </c>
      <c r="AC260" s="12" t="s">
        <v>339</v>
      </c>
      <c r="AE260" t="s">
        <v>268</v>
      </c>
      <c r="AG260" s="12" t="s">
        <v>268</v>
      </c>
      <c r="AH260" t="s">
        <v>92</v>
      </c>
      <c r="AI260" s="12" t="s">
        <v>268</v>
      </c>
      <c r="AJ260" t="s">
        <v>92</v>
      </c>
      <c r="AK260" t="s">
        <v>92</v>
      </c>
      <c r="AL260" t="s">
        <v>92</v>
      </c>
      <c r="AM260" s="12" t="s">
        <v>268</v>
      </c>
      <c r="AN260" s="12" t="s">
        <v>268</v>
      </c>
      <c r="AO260" s="12" t="s">
        <v>268</v>
      </c>
      <c r="AP260" s="12" t="s">
        <v>268</v>
      </c>
      <c r="AQ260" s="12" t="s">
        <v>268</v>
      </c>
      <c r="AR260" s="28" t="str">
        <f t="shared" ca="1" si="18"/>
        <v/>
      </c>
      <c r="AS260" s="28" t="str">
        <f t="shared" ca="1" si="19"/>
        <v/>
      </c>
    </row>
    <row r="261" spans="2:45" ht="27.6" customHeight="1">
      <c r="B261">
        <f t="shared" ca="1" si="15"/>
        <v>0</v>
      </c>
      <c r="C261" t="s">
        <v>85</v>
      </c>
      <c r="D261" t="s">
        <v>92</v>
      </c>
      <c r="E261" t="s">
        <v>92</v>
      </c>
      <c r="F261" t="s">
        <v>92</v>
      </c>
      <c r="G261" t="s">
        <v>92</v>
      </c>
      <c r="H261" t="s">
        <v>92</v>
      </c>
      <c r="I261" s="12" t="s">
        <v>268</v>
      </c>
      <c r="J261" t="s">
        <v>278</v>
      </c>
      <c r="L261" t="s">
        <v>92</v>
      </c>
      <c r="N261" s="14">
        <v>1</v>
      </c>
      <c r="P261" s="12" t="s">
        <v>268</v>
      </c>
      <c r="W261" s="9" t="str">
        <f t="shared" ca="1" si="16"/>
        <v>18.5%</v>
      </c>
      <c r="X261" t="s">
        <v>321</v>
      </c>
      <c r="Y261" s="9" t="str">
        <f t="shared" ca="1" si="17"/>
        <v>Sin costo</v>
      </c>
      <c r="Z261" t="s">
        <v>327</v>
      </c>
      <c r="AA261" t="s">
        <v>329</v>
      </c>
      <c r="AB261" t="s">
        <v>334</v>
      </c>
      <c r="AC261" s="12" t="s">
        <v>339</v>
      </c>
      <c r="AE261" t="s">
        <v>268</v>
      </c>
      <c r="AG261" s="12" t="s">
        <v>268</v>
      </c>
      <c r="AH261" t="s">
        <v>92</v>
      </c>
      <c r="AI261" s="12" t="s">
        <v>268</v>
      </c>
      <c r="AJ261" t="s">
        <v>92</v>
      </c>
      <c r="AK261" t="s">
        <v>92</v>
      </c>
      <c r="AL261" t="s">
        <v>92</v>
      </c>
      <c r="AM261" s="12" t="s">
        <v>268</v>
      </c>
      <c r="AN261" s="12" t="s">
        <v>268</v>
      </c>
      <c r="AO261" s="12" t="s">
        <v>268</v>
      </c>
      <c r="AP261" s="12" t="s">
        <v>268</v>
      </c>
      <c r="AQ261" s="12" t="s">
        <v>268</v>
      </c>
      <c r="AR261" s="28" t="str">
        <f t="shared" ca="1" si="18"/>
        <v/>
      </c>
      <c r="AS261" s="28" t="str">
        <f t="shared" ca="1" si="19"/>
        <v/>
      </c>
    </row>
    <row r="262" spans="2:45" ht="27.6" customHeight="1">
      <c r="B262">
        <f t="shared" ca="1" si="15"/>
        <v>0</v>
      </c>
      <c r="C262" t="s">
        <v>85</v>
      </c>
      <c r="D262" t="s">
        <v>92</v>
      </c>
      <c r="E262" t="s">
        <v>92</v>
      </c>
      <c r="F262" t="s">
        <v>92</v>
      </c>
      <c r="G262" t="s">
        <v>92</v>
      </c>
      <c r="H262" t="s">
        <v>92</v>
      </c>
      <c r="I262" s="12" t="s">
        <v>268</v>
      </c>
      <c r="J262" t="s">
        <v>278</v>
      </c>
      <c r="L262" t="s">
        <v>92</v>
      </c>
      <c r="N262" s="14">
        <v>1</v>
      </c>
      <c r="P262" s="12" t="s">
        <v>268</v>
      </c>
      <c r="W262" s="9" t="str">
        <f t="shared" ca="1" si="16"/>
        <v>18.5%</v>
      </c>
      <c r="X262" t="s">
        <v>321</v>
      </c>
      <c r="Y262" s="9" t="str">
        <f t="shared" ca="1" si="17"/>
        <v>Sin costo</v>
      </c>
      <c r="Z262" t="s">
        <v>327</v>
      </c>
      <c r="AA262" t="s">
        <v>329</v>
      </c>
      <c r="AB262" t="s">
        <v>334</v>
      </c>
      <c r="AC262" s="12" t="s">
        <v>339</v>
      </c>
      <c r="AE262" t="s">
        <v>268</v>
      </c>
      <c r="AG262" s="12" t="s">
        <v>268</v>
      </c>
      <c r="AH262" t="s">
        <v>92</v>
      </c>
      <c r="AI262" s="12" t="s">
        <v>268</v>
      </c>
      <c r="AJ262" t="s">
        <v>92</v>
      </c>
      <c r="AK262" t="s">
        <v>92</v>
      </c>
      <c r="AL262" t="s">
        <v>92</v>
      </c>
      <c r="AM262" s="12" t="s">
        <v>268</v>
      </c>
      <c r="AN262" s="12" t="s">
        <v>268</v>
      </c>
      <c r="AO262" s="12" t="s">
        <v>268</v>
      </c>
      <c r="AP262" s="12" t="s">
        <v>268</v>
      </c>
      <c r="AQ262" s="12" t="s">
        <v>268</v>
      </c>
      <c r="AR262" s="28" t="str">
        <f t="shared" ca="1" si="18"/>
        <v/>
      </c>
      <c r="AS262" s="28" t="str">
        <f t="shared" ca="1" si="19"/>
        <v/>
      </c>
    </row>
    <row r="263" spans="2:45" ht="27.6" customHeight="1">
      <c r="B263">
        <f t="shared" ref="B263:B326" ca="1" si="20">LEN(INDIRECT(ADDRESS(ROW() + (0),COLUMN() + (-1))))</f>
        <v>0</v>
      </c>
      <c r="C263" t="s">
        <v>85</v>
      </c>
      <c r="D263" t="s">
        <v>92</v>
      </c>
      <c r="E263" t="s">
        <v>92</v>
      </c>
      <c r="F263" t="s">
        <v>92</v>
      </c>
      <c r="G263" t="s">
        <v>92</v>
      </c>
      <c r="H263" t="s">
        <v>92</v>
      </c>
      <c r="I263" s="12" t="s">
        <v>268</v>
      </c>
      <c r="J263" t="s">
        <v>278</v>
      </c>
      <c r="L263" t="s">
        <v>92</v>
      </c>
      <c r="N263" s="14">
        <v>1</v>
      </c>
      <c r="P263" s="12" t="s">
        <v>268</v>
      </c>
      <c r="W263" s="9" t="str">
        <f t="shared" ref="W263:W326" ca="1" si="21">IF(INDIRECT(ADDRESS(ROW() + (0),COLUMN() + (1)))="Cuotas extra", IF(("21.5%")="", "-", "21.5%"), IF(INDIRECT(ADDRESS(ROW() + (0),COLUMN() + (1)))="Cuotas", IF(("18.5%")="", "-", "18.5%"), "-"))</f>
        <v>18.5%</v>
      </c>
      <c r="X263" t="s">
        <v>321</v>
      </c>
      <c r="Y263" s="9" t="str">
        <f t="shared" ref="Y263:Y326" ca="1" si="22">IF(INDIRECT(ADDRESS(ROW() + (0),COLUMN() + (-1)))="Cuotas extra", IF(("")="", "Sin costo", ""), IF(INDIRECT(ADDRESS(ROW() + (0),COLUMN() + (-1)))="Cuotas", IF(("")="", "Sin costo", ""), "-"))</f>
        <v>Sin costo</v>
      </c>
      <c r="Z263" t="s">
        <v>327</v>
      </c>
      <c r="AA263" t="s">
        <v>329</v>
      </c>
      <c r="AB263" t="s">
        <v>334</v>
      </c>
      <c r="AC263" s="12" t="s">
        <v>339</v>
      </c>
      <c r="AE263" t="s">
        <v>268</v>
      </c>
      <c r="AG263" s="12" t="s">
        <v>268</v>
      </c>
      <c r="AH263" t="s">
        <v>92</v>
      </c>
      <c r="AI263" s="12" t="s">
        <v>268</v>
      </c>
      <c r="AJ263" t="s">
        <v>92</v>
      </c>
      <c r="AK263" t="s">
        <v>92</v>
      </c>
      <c r="AL263" t="s">
        <v>92</v>
      </c>
      <c r="AM263" s="12" t="s">
        <v>268</v>
      </c>
      <c r="AN263" s="12" t="s">
        <v>268</v>
      </c>
      <c r="AO263" s="12" t="s">
        <v>268</v>
      </c>
      <c r="AP263" s="12" t="s">
        <v>268</v>
      </c>
      <c r="AQ263" s="12" t="s">
        <v>268</v>
      </c>
      <c r="AR263" s="28" t="str">
        <f t="shared" ref="AR263:AR326" ca="1" si="2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263" s="28" t="str">
        <f t="shared" ref="AS263:AS326" ca="1" si="24">IF(TRIM(INDIRECT("A"&amp;ROW())) &lt;&gt; "",FALSE,"")</f>
        <v/>
      </c>
    </row>
    <row r="264" spans="2:45" ht="27.6" customHeight="1">
      <c r="B264">
        <f t="shared" ca="1" si="20"/>
        <v>0</v>
      </c>
      <c r="C264" t="s">
        <v>85</v>
      </c>
      <c r="D264" t="s">
        <v>92</v>
      </c>
      <c r="E264" t="s">
        <v>92</v>
      </c>
      <c r="F264" t="s">
        <v>92</v>
      </c>
      <c r="G264" t="s">
        <v>92</v>
      </c>
      <c r="H264" t="s">
        <v>92</v>
      </c>
      <c r="I264" s="12" t="s">
        <v>268</v>
      </c>
      <c r="J264" t="s">
        <v>278</v>
      </c>
      <c r="L264" t="s">
        <v>92</v>
      </c>
      <c r="N264" s="14">
        <v>1</v>
      </c>
      <c r="P264" s="12" t="s">
        <v>268</v>
      </c>
      <c r="W264" s="9" t="str">
        <f t="shared" ca="1" si="21"/>
        <v>18.5%</v>
      </c>
      <c r="X264" t="s">
        <v>321</v>
      </c>
      <c r="Y264" s="9" t="str">
        <f t="shared" ca="1" si="22"/>
        <v>Sin costo</v>
      </c>
      <c r="Z264" t="s">
        <v>327</v>
      </c>
      <c r="AA264" t="s">
        <v>329</v>
      </c>
      <c r="AB264" t="s">
        <v>334</v>
      </c>
      <c r="AC264" s="12" t="s">
        <v>339</v>
      </c>
      <c r="AE264" t="s">
        <v>268</v>
      </c>
      <c r="AG264" s="12" t="s">
        <v>268</v>
      </c>
      <c r="AH264" t="s">
        <v>92</v>
      </c>
      <c r="AI264" s="12" t="s">
        <v>268</v>
      </c>
      <c r="AJ264" t="s">
        <v>92</v>
      </c>
      <c r="AK264" t="s">
        <v>92</v>
      </c>
      <c r="AL264" t="s">
        <v>92</v>
      </c>
      <c r="AM264" s="12" t="s">
        <v>268</v>
      </c>
      <c r="AN264" s="12" t="s">
        <v>268</v>
      </c>
      <c r="AO264" s="12" t="s">
        <v>268</v>
      </c>
      <c r="AP264" s="12" t="s">
        <v>268</v>
      </c>
      <c r="AQ264" s="12" t="s">
        <v>268</v>
      </c>
      <c r="AR264" s="28" t="str">
        <f t="shared" ca="1" si="23"/>
        <v/>
      </c>
      <c r="AS264" s="28" t="str">
        <f t="shared" ca="1" si="24"/>
        <v/>
      </c>
    </row>
    <row r="265" spans="2:45" ht="27.6" customHeight="1">
      <c r="B265">
        <f t="shared" ca="1" si="20"/>
        <v>0</v>
      </c>
      <c r="C265" t="s">
        <v>85</v>
      </c>
      <c r="D265" t="s">
        <v>92</v>
      </c>
      <c r="E265" t="s">
        <v>92</v>
      </c>
      <c r="F265" t="s">
        <v>92</v>
      </c>
      <c r="G265" t="s">
        <v>92</v>
      </c>
      <c r="H265" t="s">
        <v>92</v>
      </c>
      <c r="I265" s="12" t="s">
        <v>268</v>
      </c>
      <c r="J265" t="s">
        <v>278</v>
      </c>
      <c r="L265" t="s">
        <v>92</v>
      </c>
      <c r="N265" s="14">
        <v>1</v>
      </c>
      <c r="P265" s="12" t="s">
        <v>268</v>
      </c>
      <c r="W265" s="9" t="str">
        <f t="shared" ca="1" si="21"/>
        <v>18.5%</v>
      </c>
      <c r="X265" t="s">
        <v>321</v>
      </c>
      <c r="Y265" s="9" t="str">
        <f t="shared" ca="1" si="22"/>
        <v>Sin costo</v>
      </c>
      <c r="Z265" t="s">
        <v>327</v>
      </c>
      <c r="AA265" t="s">
        <v>329</v>
      </c>
      <c r="AB265" t="s">
        <v>334</v>
      </c>
      <c r="AC265" s="12" t="s">
        <v>339</v>
      </c>
      <c r="AE265" t="s">
        <v>268</v>
      </c>
      <c r="AG265" s="12" t="s">
        <v>268</v>
      </c>
      <c r="AH265" t="s">
        <v>92</v>
      </c>
      <c r="AI265" s="12" t="s">
        <v>268</v>
      </c>
      <c r="AJ265" t="s">
        <v>92</v>
      </c>
      <c r="AK265" t="s">
        <v>92</v>
      </c>
      <c r="AL265" t="s">
        <v>92</v>
      </c>
      <c r="AM265" s="12" t="s">
        <v>268</v>
      </c>
      <c r="AN265" s="12" t="s">
        <v>268</v>
      </c>
      <c r="AO265" s="12" t="s">
        <v>268</v>
      </c>
      <c r="AP265" s="12" t="s">
        <v>268</v>
      </c>
      <c r="AQ265" s="12" t="s">
        <v>268</v>
      </c>
      <c r="AR265" s="28" t="str">
        <f t="shared" ca="1" si="23"/>
        <v/>
      </c>
      <c r="AS265" s="28" t="str">
        <f t="shared" ca="1" si="24"/>
        <v/>
      </c>
    </row>
    <row r="266" spans="2:45" ht="27.6" customHeight="1">
      <c r="B266">
        <f t="shared" ca="1" si="20"/>
        <v>0</v>
      </c>
      <c r="C266" t="s">
        <v>85</v>
      </c>
      <c r="D266" t="s">
        <v>92</v>
      </c>
      <c r="E266" t="s">
        <v>92</v>
      </c>
      <c r="F266" t="s">
        <v>92</v>
      </c>
      <c r="G266" t="s">
        <v>92</v>
      </c>
      <c r="H266" t="s">
        <v>92</v>
      </c>
      <c r="I266" s="12" t="s">
        <v>268</v>
      </c>
      <c r="J266" t="s">
        <v>278</v>
      </c>
      <c r="L266" t="s">
        <v>92</v>
      </c>
      <c r="N266" s="14">
        <v>1</v>
      </c>
      <c r="P266" s="12" t="s">
        <v>268</v>
      </c>
      <c r="W266" s="9" t="str">
        <f t="shared" ca="1" si="21"/>
        <v>18.5%</v>
      </c>
      <c r="X266" t="s">
        <v>321</v>
      </c>
      <c r="Y266" s="9" t="str">
        <f t="shared" ca="1" si="22"/>
        <v>Sin costo</v>
      </c>
      <c r="Z266" t="s">
        <v>327</v>
      </c>
      <c r="AA266" t="s">
        <v>329</v>
      </c>
      <c r="AB266" t="s">
        <v>334</v>
      </c>
      <c r="AC266" s="12" t="s">
        <v>339</v>
      </c>
      <c r="AE266" t="s">
        <v>268</v>
      </c>
      <c r="AG266" s="12" t="s">
        <v>268</v>
      </c>
      <c r="AH266" t="s">
        <v>92</v>
      </c>
      <c r="AI266" s="12" t="s">
        <v>268</v>
      </c>
      <c r="AJ266" t="s">
        <v>92</v>
      </c>
      <c r="AK266" t="s">
        <v>92</v>
      </c>
      <c r="AL266" t="s">
        <v>92</v>
      </c>
      <c r="AM266" s="12" t="s">
        <v>268</v>
      </c>
      <c r="AN266" s="12" t="s">
        <v>268</v>
      </c>
      <c r="AO266" s="12" t="s">
        <v>268</v>
      </c>
      <c r="AP266" s="12" t="s">
        <v>268</v>
      </c>
      <c r="AQ266" s="12" t="s">
        <v>268</v>
      </c>
      <c r="AR266" s="28" t="str">
        <f t="shared" ca="1" si="23"/>
        <v/>
      </c>
      <c r="AS266" s="28" t="str">
        <f t="shared" ca="1" si="24"/>
        <v/>
      </c>
    </row>
    <row r="267" spans="2:45" ht="27.6" customHeight="1">
      <c r="B267">
        <f t="shared" ca="1" si="20"/>
        <v>0</v>
      </c>
      <c r="C267" t="s">
        <v>85</v>
      </c>
      <c r="D267" t="s">
        <v>92</v>
      </c>
      <c r="E267" t="s">
        <v>92</v>
      </c>
      <c r="F267" t="s">
        <v>92</v>
      </c>
      <c r="G267" t="s">
        <v>92</v>
      </c>
      <c r="H267" t="s">
        <v>92</v>
      </c>
      <c r="I267" s="12" t="s">
        <v>268</v>
      </c>
      <c r="J267" t="s">
        <v>278</v>
      </c>
      <c r="L267" t="s">
        <v>92</v>
      </c>
      <c r="N267" s="14">
        <v>1</v>
      </c>
      <c r="P267" s="12" t="s">
        <v>268</v>
      </c>
      <c r="W267" s="9" t="str">
        <f t="shared" ca="1" si="21"/>
        <v>18.5%</v>
      </c>
      <c r="X267" t="s">
        <v>321</v>
      </c>
      <c r="Y267" s="9" t="str">
        <f t="shared" ca="1" si="22"/>
        <v>Sin costo</v>
      </c>
      <c r="Z267" t="s">
        <v>327</v>
      </c>
      <c r="AA267" t="s">
        <v>329</v>
      </c>
      <c r="AB267" t="s">
        <v>334</v>
      </c>
      <c r="AC267" s="12" t="s">
        <v>339</v>
      </c>
      <c r="AE267" t="s">
        <v>268</v>
      </c>
      <c r="AG267" s="12" t="s">
        <v>268</v>
      </c>
      <c r="AH267" t="s">
        <v>92</v>
      </c>
      <c r="AI267" s="12" t="s">
        <v>268</v>
      </c>
      <c r="AJ267" t="s">
        <v>92</v>
      </c>
      <c r="AK267" t="s">
        <v>92</v>
      </c>
      <c r="AL267" t="s">
        <v>92</v>
      </c>
      <c r="AM267" s="12" t="s">
        <v>268</v>
      </c>
      <c r="AN267" s="12" t="s">
        <v>268</v>
      </c>
      <c r="AO267" s="12" t="s">
        <v>268</v>
      </c>
      <c r="AP267" s="12" t="s">
        <v>268</v>
      </c>
      <c r="AQ267" s="12" t="s">
        <v>268</v>
      </c>
      <c r="AR267" s="28" t="str">
        <f t="shared" ca="1" si="23"/>
        <v/>
      </c>
      <c r="AS267" s="28" t="str">
        <f t="shared" ca="1" si="24"/>
        <v/>
      </c>
    </row>
    <row r="268" spans="2:45" ht="27.6" customHeight="1">
      <c r="B268">
        <f t="shared" ca="1" si="20"/>
        <v>0</v>
      </c>
      <c r="C268" t="s">
        <v>85</v>
      </c>
      <c r="D268" t="s">
        <v>92</v>
      </c>
      <c r="E268" t="s">
        <v>92</v>
      </c>
      <c r="F268" t="s">
        <v>92</v>
      </c>
      <c r="G268" t="s">
        <v>92</v>
      </c>
      <c r="H268" t="s">
        <v>92</v>
      </c>
      <c r="I268" s="12" t="s">
        <v>268</v>
      </c>
      <c r="J268" t="s">
        <v>278</v>
      </c>
      <c r="L268" t="s">
        <v>92</v>
      </c>
      <c r="N268" s="14">
        <v>1</v>
      </c>
      <c r="P268" s="12" t="s">
        <v>268</v>
      </c>
      <c r="W268" s="9" t="str">
        <f t="shared" ca="1" si="21"/>
        <v>18.5%</v>
      </c>
      <c r="X268" t="s">
        <v>321</v>
      </c>
      <c r="Y268" s="9" t="str">
        <f t="shared" ca="1" si="22"/>
        <v>Sin costo</v>
      </c>
      <c r="Z268" t="s">
        <v>327</v>
      </c>
      <c r="AA268" t="s">
        <v>329</v>
      </c>
      <c r="AB268" t="s">
        <v>334</v>
      </c>
      <c r="AC268" s="12" t="s">
        <v>339</v>
      </c>
      <c r="AE268" t="s">
        <v>268</v>
      </c>
      <c r="AG268" s="12" t="s">
        <v>268</v>
      </c>
      <c r="AH268" t="s">
        <v>92</v>
      </c>
      <c r="AI268" s="12" t="s">
        <v>268</v>
      </c>
      <c r="AJ268" t="s">
        <v>92</v>
      </c>
      <c r="AK268" t="s">
        <v>92</v>
      </c>
      <c r="AL268" t="s">
        <v>92</v>
      </c>
      <c r="AM268" s="12" t="s">
        <v>268</v>
      </c>
      <c r="AN268" s="12" t="s">
        <v>268</v>
      </c>
      <c r="AO268" s="12" t="s">
        <v>268</v>
      </c>
      <c r="AP268" s="12" t="s">
        <v>268</v>
      </c>
      <c r="AQ268" s="12" t="s">
        <v>268</v>
      </c>
      <c r="AR268" s="28" t="str">
        <f t="shared" ca="1" si="23"/>
        <v/>
      </c>
      <c r="AS268" s="28" t="str">
        <f t="shared" ca="1" si="24"/>
        <v/>
      </c>
    </row>
    <row r="269" spans="2:45" ht="27.6" customHeight="1">
      <c r="B269">
        <f t="shared" ca="1" si="20"/>
        <v>0</v>
      </c>
      <c r="C269" t="s">
        <v>85</v>
      </c>
      <c r="D269" t="s">
        <v>92</v>
      </c>
      <c r="E269" t="s">
        <v>92</v>
      </c>
      <c r="F269" t="s">
        <v>92</v>
      </c>
      <c r="G269" t="s">
        <v>92</v>
      </c>
      <c r="H269" t="s">
        <v>92</v>
      </c>
      <c r="I269" s="12" t="s">
        <v>268</v>
      </c>
      <c r="J269" t="s">
        <v>278</v>
      </c>
      <c r="L269" t="s">
        <v>92</v>
      </c>
      <c r="N269" s="14">
        <v>1</v>
      </c>
      <c r="P269" s="12" t="s">
        <v>268</v>
      </c>
      <c r="W269" s="9" t="str">
        <f t="shared" ca="1" si="21"/>
        <v>18.5%</v>
      </c>
      <c r="X269" t="s">
        <v>321</v>
      </c>
      <c r="Y269" s="9" t="str">
        <f t="shared" ca="1" si="22"/>
        <v>Sin costo</v>
      </c>
      <c r="Z269" t="s">
        <v>327</v>
      </c>
      <c r="AA269" t="s">
        <v>329</v>
      </c>
      <c r="AB269" t="s">
        <v>334</v>
      </c>
      <c r="AC269" s="12" t="s">
        <v>339</v>
      </c>
      <c r="AE269" t="s">
        <v>268</v>
      </c>
      <c r="AG269" s="12" t="s">
        <v>268</v>
      </c>
      <c r="AH269" t="s">
        <v>92</v>
      </c>
      <c r="AI269" s="12" t="s">
        <v>268</v>
      </c>
      <c r="AJ269" t="s">
        <v>92</v>
      </c>
      <c r="AK269" t="s">
        <v>92</v>
      </c>
      <c r="AL269" t="s">
        <v>92</v>
      </c>
      <c r="AM269" s="12" t="s">
        <v>268</v>
      </c>
      <c r="AN269" s="12" t="s">
        <v>268</v>
      </c>
      <c r="AO269" s="12" t="s">
        <v>268</v>
      </c>
      <c r="AP269" s="12" t="s">
        <v>268</v>
      </c>
      <c r="AQ269" s="12" t="s">
        <v>268</v>
      </c>
      <c r="AR269" s="28" t="str">
        <f t="shared" ca="1" si="23"/>
        <v/>
      </c>
      <c r="AS269" s="28" t="str">
        <f t="shared" ca="1" si="24"/>
        <v/>
      </c>
    </row>
    <row r="270" spans="2:45" ht="27.6" customHeight="1">
      <c r="B270">
        <f t="shared" ca="1" si="20"/>
        <v>0</v>
      </c>
      <c r="C270" t="s">
        <v>85</v>
      </c>
      <c r="D270" t="s">
        <v>92</v>
      </c>
      <c r="E270" t="s">
        <v>92</v>
      </c>
      <c r="F270" t="s">
        <v>92</v>
      </c>
      <c r="G270" t="s">
        <v>92</v>
      </c>
      <c r="H270" t="s">
        <v>92</v>
      </c>
      <c r="I270" s="12" t="s">
        <v>268</v>
      </c>
      <c r="J270" t="s">
        <v>278</v>
      </c>
      <c r="L270" t="s">
        <v>92</v>
      </c>
      <c r="N270" s="14">
        <v>1</v>
      </c>
      <c r="P270" s="12" t="s">
        <v>268</v>
      </c>
      <c r="W270" s="9" t="str">
        <f t="shared" ca="1" si="21"/>
        <v>18.5%</v>
      </c>
      <c r="X270" t="s">
        <v>321</v>
      </c>
      <c r="Y270" s="9" t="str">
        <f t="shared" ca="1" si="22"/>
        <v>Sin costo</v>
      </c>
      <c r="Z270" t="s">
        <v>327</v>
      </c>
      <c r="AA270" t="s">
        <v>329</v>
      </c>
      <c r="AB270" t="s">
        <v>334</v>
      </c>
      <c r="AC270" s="12" t="s">
        <v>339</v>
      </c>
      <c r="AE270" t="s">
        <v>268</v>
      </c>
      <c r="AG270" s="12" t="s">
        <v>268</v>
      </c>
      <c r="AH270" t="s">
        <v>92</v>
      </c>
      <c r="AI270" s="12" t="s">
        <v>268</v>
      </c>
      <c r="AJ270" t="s">
        <v>92</v>
      </c>
      <c r="AK270" t="s">
        <v>92</v>
      </c>
      <c r="AL270" t="s">
        <v>92</v>
      </c>
      <c r="AM270" s="12" t="s">
        <v>268</v>
      </c>
      <c r="AN270" s="12" t="s">
        <v>268</v>
      </c>
      <c r="AO270" s="12" t="s">
        <v>268</v>
      </c>
      <c r="AP270" s="12" t="s">
        <v>268</v>
      </c>
      <c r="AQ270" s="12" t="s">
        <v>268</v>
      </c>
      <c r="AR270" s="28" t="str">
        <f t="shared" ca="1" si="23"/>
        <v/>
      </c>
      <c r="AS270" s="28" t="str">
        <f t="shared" ca="1" si="24"/>
        <v/>
      </c>
    </row>
    <row r="271" spans="2:45" ht="27.6" customHeight="1">
      <c r="B271">
        <f t="shared" ca="1" si="20"/>
        <v>0</v>
      </c>
      <c r="C271" t="s">
        <v>85</v>
      </c>
      <c r="D271" t="s">
        <v>92</v>
      </c>
      <c r="E271" t="s">
        <v>92</v>
      </c>
      <c r="F271" t="s">
        <v>92</v>
      </c>
      <c r="G271" t="s">
        <v>92</v>
      </c>
      <c r="H271" t="s">
        <v>92</v>
      </c>
      <c r="I271" s="12" t="s">
        <v>268</v>
      </c>
      <c r="J271" t="s">
        <v>278</v>
      </c>
      <c r="L271" t="s">
        <v>92</v>
      </c>
      <c r="N271" s="14">
        <v>1</v>
      </c>
      <c r="P271" s="12" t="s">
        <v>268</v>
      </c>
      <c r="W271" s="9" t="str">
        <f t="shared" ca="1" si="21"/>
        <v>18.5%</v>
      </c>
      <c r="X271" t="s">
        <v>321</v>
      </c>
      <c r="Y271" s="9" t="str">
        <f t="shared" ca="1" si="22"/>
        <v>Sin costo</v>
      </c>
      <c r="Z271" t="s">
        <v>327</v>
      </c>
      <c r="AA271" t="s">
        <v>329</v>
      </c>
      <c r="AB271" t="s">
        <v>334</v>
      </c>
      <c r="AC271" s="12" t="s">
        <v>339</v>
      </c>
      <c r="AE271" t="s">
        <v>268</v>
      </c>
      <c r="AG271" s="12" t="s">
        <v>268</v>
      </c>
      <c r="AH271" t="s">
        <v>92</v>
      </c>
      <c r="AI271" s="12" t="s">
        <v>268</v>
      </c>
      <c r="AJ271" t="s">
        <v>92</v>
      </c>
      <c r="AK271" t="s">
        <v>92</v>
      </c>
      <c r="AL271" t="s">
        <v>92</v>
      </c>
      <c r="AM271" s="12" t="s">
        <v>268</v>
      </c>
      <c r="AN271" s="12" t="s">
        <v>268</v>
      </c>
      <c r="AO271" s="12" t="s">
        <v>268</v>
      </c>
      <c r="AP271" s="12" t="s">
        <v>268</v>
      </c>
      <c r="AQ271" s="12" t="s">
        <v>268</v>
      </c>
      <c r="AR271" s="28" t="str">
        <f t="shared" ca="1" si="23"/>
        <v/>
      </c>
      <c r="AS271" s="28" t="str">
        <f t="shared" ca="1" si="24"/>
        <v/>
      </c>
    </row>
    <row r="272" spans="2:45" ht="27.6" customHeight="1">
      <c r="B272">
        <f t="shared" ca="1" si="20"/>
        <v>0</v>
      </c>
      <c r="C272" t="s">
        <v>85</v>
      </c>
      <c r="D272" t="s">
        <v>92</v>
      </c>
      <c r="E272" t="s">
        <v>92</v>
      </c>
      <c r="F272" t="s">
        <v>92</v>
      </c>
      <c r="G272" t="s">
        <v>92</v>
      </c>
      <c r="H272" t="s">
        <v>92</v>
      </c>
      <c r="I272" s="12" t="s">
        <v>268</v>
      </c>
      <c r="J272" t="s">
        <v>278</v>
      </c>
      <c r="L272" t="s">
        <v>92</v>
      </c>
      <c r="N272" s="14">
        <v>1</v>
      </c>
      <c r="P272" s="12" t="s">
        <v>268</v>
      </c>
      <c r="W272" s="9" t="str">
        <f t="shared" ca="1" si="21"/>
        <v>18.5%</v>
      </c>
      <c r="X272" t="s">
        <v>321</v>
      </c>
      <c r="Y272" s="9" t="str">
        <f t="shared" ca="1" si="22"/>
        <v>Sin costo</v>
      </c>
      <c r="Z272" t="s">
        <v>327</v>
      </c>
      <c r="AA272" t="s">
        <v>329</v>
      </c>
      <c r="AB272" t="s">
        <v>334</v>
      </c>
      <c r="AC272" s="12" t="s">
        <v>339</v>
      </c>
      <c r="AE272" t="s">
        <v>268</v>
      </c>
      <c r="AG272" s="12" t="s">
        <v>268</v>
      </c>
      <c r="AH272" t="s">
        <v>92</v>
      </c>
      <c r="AI272" s="12" t="s">
        <v>268</v>
      </c>
      <c r="AJ272" t="s">
        <v>92</v>
      </c>
      <c r="AK272" t="s">
        <v>92</v>
      </c>
      <c r="AL272" t="s">
        <v>92</v>
      </c>
      <c r="AM272" s="12" t="s">
        <v>268</v>
      </c>
      <c r="AN272" s="12" t="s">
        <v>268</v>
      </c>
      <c r="AO272" s="12" t="s">
        <v>268</v>
      </c>
      <c r="AP272" s="12" t="s">
        <v>268</v>
      </c>
      <c r="AQ272" s="12" t="s">
        <v>268</v>
      </c>
      <c r="AR272" s="28" t="str">
        <f t="shared" ca="1" si="23"/>
        <v/>
      </c>
      <c r="AS272" s="28" t="str">
        <f t="shared" ca="1" si="24"/>
        <v/>
      </c>
    </row>
    <row r="273" spans="2:45" ht="27.6" customHeight="1">
      <c r="B273">
        <f t="shared" ca="1" si="20"/>
        <v>0</v>
      </c>
      <c r="C273" t="s">
        <v>85</v>
      </c>
      <c r="D273" t="s">
        <v>92</v>
      </c>
      <c r="E273" t="s">
        <v>92</v>
      </c>
      <c r="F273" t="s">
        <v>92</v>
      </c>
      <c r="G273" t="s">
        <v>92</v>
      </c>
      <c r="H273" t="s">
        <v>92</v>
      </c>
      <c r="I273" s="12" t="s">
        <v>268</v>
      </c>
      <c r="J273" t="s">
        <v>278</v>
      </c>
      <c r="L273" t="s">
        <v>92</v>
      </c>
      <c r="N273" s="14">
        <v>1</v>
      </c>
      <c r="P273" s="12" t="s">
        <v>268</v>
      </c>
      <c r="W273" s="9" t="str">
        <f t="shared" ca="1" si="21"/>
        <v>18.5%</v>
      </c>
      <c r="X273" t="s">
        <v>321</v>
      </c>
      <c r="Y273" s="9" t="str">
        <f t="shared" ca="1" si="22"/>
        <v>Sin costo</v>
      </c>
      <c r="Z273" t="s">
        <v>327</v>
      </c>
      <c r="AA273" t="s">
        <v>329</v>
      </c>
      <c r="AB273" t="s">
        <v>334</v>
      </c>
      <c r="AC273" s="12" t="s">
        <v>339</v>
      </c>
      <c r="AE273" t="s">
        <v>268</v>
      </c>
      <c r="AG273" s="12" t="s">
        <v>268</v>
      </c>
      <c r="AH273" t="s">
        <v>92</v>
      </c>
      <c r="AI273" s="12" t="s">
        <v>268</v>
      </c>
      <c r="AJ273" t="s">
        <v>92</v>
      </c>
      <c r="AK273" t="s">
        <v>92</v>
      </c>
      <c r="AL273" t="s">
        <v>92</v>
      </c>
      <c r="AM273" s="12" t="s">
        <v>268</v>
      </c>
      <c r="AN273" s="12" t="s">
        <v>268</v>
      </c>
      <c r="AO273" s="12" t="s">
        <v>268</v>
      </c>
      <c r="AP273" s="12" t="s">
        <v>268</v>
      </c>
      <c r="AQ273" s="12" t="s">
        <v>268</v>
      </c>
      <c r="AR273" s="28" t="str">
        <f t="shared" ca="1" si="23"/>
        <v/>
      </c>
      <c r="AS273" s="28" t="str">
        <f t="shared" ca="1" si="24"/>
        <v/>
      </c>
    </row>
    <row r="274" spans="2:45" ht="27.6" customHeight="1">
      <c r="B274">
        <f t="shared" ca="1" si="20"/>
        <v>0</v>
      </c>
      <c r="C274" t="s">
        <v>85</v>
      </c>
      <c r="D274" t="s">
        <v>92</v>
      </c>
      <c r="E274" t="s">
        <v>92</v>
      </c>
      <c r="F274" t="s">
        <v>92</v>
      </c>
      <c r="G274" t="s">
        <v>92</v>
      </c>
      <c r="H274" t="s">
        <v>92</v>
      </c>
      <c r="I274" s="12" t="s">
        <v>268</v>
      </c>
      <c r="J274" t="s">
        <v>278</v>
      </c>
      <c r="L274" t="s">
        <v>92</v>
      </c>
      <c r="N274" s="14">
        <v>1</v>
      </c>
      <c r="P274" s="12" t="s">
        <v>268</v>
      </c>
      <c r="W274" s="9" t="str">
        <f t="shared" ca="1" si="21"/>
        <v>18.5%</v>
      </c>
      <c r="X274" t="s">
        <v>321</v>
      </c>
      <c r="Y274" s="9" t="str">
        <f t="shared" ca="1" si="22"/>
        <v>Sin costo</v>
      </c>
      <c r="Z274" t="s">
        <v>327</v>
      </c>
      <c r="AA274" t="s">
        <v>329</v>
      </c>
      <c r="AB274" t="s">
        <v>334</v>
      </c>
      <c r="AC274" s="12" t="s">
        <v>339</v>
      </c>
      <c r="AE274" t="s">
        <v>268</v>
      </c>
      <c r="AG274" s="12" t="s">
        <v>268</v>
      </c>
      <c r="AH274" t="s">
        <v>92</v>
      </c>
      <c r="AI274" s="12" t="s">
        <v>268</v>
      </c>
      <c r="AJ274" t="s">
        <v>92</v>
      </c>
      <c r="AK274" t="s">
        <v>92</v>
      </c>
      <c r="AL274" t="s">
        <v>92</v>
      </c>
      <c r="AM274" s="12" t="s">
        <v>268</v>
      </c>
      <c r="AN274" s="12" t="s">
        <v>268</v>
      </c>
      <c r="AO274" s="12" t="s">
        <v>268</v>
      </c>
      <c r="AP274" s="12" t="s">
        <v>268</v>
      </c>
      <c r="AQ274" s="12" t="s">
        <v>268</v>
      </c>
      <c r="AR274" s="28" t="str">
        <f t="shared" ca="1" si="23"/>
        <v/>
      </c>
      <c r="AS274" s="28" t="str">
        <f t="shared" ca="1" si="24"/>
        <v/>
      </c>
    </row>
    <row r="275" spans="2:45" ht="27.6" customHeight="1">
      <c r="B275">
        <f t="shared" ca="1" si="20"/>
        <v>0</v>
      </c>
      <c r="C275" t="s">
        <v>85</v>
      </c>
      <c r="D275" t="s">
        <v>92</v>
      </c>
      <c r="E275" t="s">
        <v>92</v>
      </c>
      <c r="F275" t="s">
        <v>92</v>
      </c>
      <c r="G275" t="s">
        <v>92</v>
      </c>
      <c r="H275" t="s">
        <v>92</v>
      </c>
      <c r="I275" s="12" t="s">
        <v>268</v>
      </c>
      <c r="J275" t="s">
        <v>278</v>
      </c>
      <c r="L275" t="s">
        <v>92</v>
      </c>
      <c r="N275" s="14">
        <v>1</v>
      </c>
      <c r="P275" s="12" t="s">
        <v>268</v>
      </c>
      <c r="W275" s="9" t="str">
        <f t="shared" ca="1" si="21"/>
        <v>18.5%</v>
      </c>
      <c r="X275" t="s">
        <v>321</v>
      </c>
      <c r="Y275" s="9" t="str">
        <f t="shared" ca="1" si="22"/>
        <v>Sin costo</v>
      </c>
      <c r="Z275" t="s">
        <v>327</v>
      </c>
      <c r="AA275" t="s">
        <v>329</v>
      </c>
      <c r="AB275" t="s">
        <v>334</v>
      </c>
      <c r="AC275" s="12" t="s">
        <v>339</v>
      </c>
      <c r="AE275" t="s">
        <v>268</v>
      </c>
      <c r="AG275" s="12" t="s">
        <v>268</v>
      </c>
      <c r="AH275" t="s">
        <v>92</v>
      </c>
      <c r="AI275" s="12" t="s">
        <v>268</v>
      </c>
      <c r="AJ275" t="s">
        <v>92</v>
      </c>
      <c r="AK275" t="s">
        <v>92</v>
      </c>
      <c r="AL275" t="s">
        <v>92</v>
      </c>
      <c r="AM275" s="12" t="s">
        <v>268</v>
      </c>
      <c r="AN275" s="12" t="s">
        <v>268</v>
      </c>
      <c r="AO275" s="12" t="s">
        <v>268</v>
      </c>
      <c r="AP275" s="12" t="s">
        <v>268</v>
      </c>
      <c r="AQ275" s="12" t="s">
        <v>268</v>
      </c>
      <c r="AR275" s="28" t="str">
        <f t="shared" ca="1" si="23"/>
        <v/>
      </c>
      <c r="AS275" s="28" t="str">
        <f t="shared" ca="1" si="24"/>
        <v/>
      </c>
    </row>
    <row r="276" spans="2:45" ht="27.6" customHeight="1">
      <c r="B276">
        <f t="shared" ca="1" si="20"/>
        <v>0</v>
      </c>
      <c r="C276" t="s">
        <v>85</v>
      </c>
      <c r="D276" t="s">
        <v>92</v>
      </c>
      <c r="E276" t="s">
        <v>92</v>
      </c>
      <c r="F276" t="s">
        <v>92</v>
      </c>
      <c r="G276" t="s">
        <v>92</v>
      </c>
      <c r="H276" t="s">
        <v>92</v>
      </c>
      <c r="I276" s="12" t="s">
        <v>268</v>
      </c>
      <c r="J276" t="s">
        <v>278</v>
      </c>
      <c r="L276" t="s">
        <v>92</v>
      </c>
      <c r="N276" s="14">
        <v>1</v>
      </c>
      <c r="P276" s="12" t="s">
        <v>268</v>
      </c>
      <c r="W276" s="9" t="str">
        <f t="shared" ca="1" si="21"/>
        <v>18.5%</v>
      </c>
      <c r="X276" t="s">
        <v>321</v>
      </c>
      <c r="Y276" s="9" t="str">
        <f t="shared" ca="1" si="22"/>
        <v>Sin costo</v>
      </c>
      <c r="Z276" t="s">
        <v>327</v>
      </c>
      <c r="AA276" t="s">
        <v>329</v>
      </c>
      <c r="AB276" t="s">
        <v>334</v>
      </c>
      <c r="AC276" s="12" t="s">
        <v>339</v>
      </c>
      <c r="AE276" t="s">
        <v>268</v>
      </c>
      <c r="AG276" s="12" t="s">
        <v>268</v>
      </c>
      <c r="AH276" t="s">
        <v>92</v>
      </c>
      <c r="AI276" s="12" t="s">
        <v>268</v>
      </c>
      <c r="AJ276" t="s">
        <v>92</v>
      </c>
      <c r="AK276" t="s">
        <v>92</v>
      </c>
      <c r="AL276" t="s">
        <v>92</v>
      </c>
      <c r="AM276" s="12" t="s">
        <v>268</v>
      </c>
      <c r="AN276" s="12" t="s">
        <v>268</v>
      </c>
      <c r="AO276" s="12" t="s">
        <v>268</v>
      </c>
      <c r="AP276" s="12" t="s">
        <v>268</v>
      </c>
      <c r="AQ276" s="12" t="s">
        <v>268</v>
      </c>
      <c r="AR276" s="28" t="str">
        <f t="shared" ca="1" si="23"/>
        <v/>
      </c>
      <c r="AS276" s="28" t="str">
        <f t="shared" ca="1" si="24"/>
        <v/>
      </c>
    </row>
    <row r="277" spans="2:45" ht="27.6" customHeight="1">
      <c r="B277">
        <f t="shared" ca="1" si="20"/>
        <v>0</v>
      </c>
      <c r="C277" t="s">
        <v>85</v>
      </c>
      <c r="D277" t="s">
        <v>92</v>
      </c>
      <c r="E277" t="s">
        <v>92</v>
      </c>
      <c r="F277" t="s">
        <v>92</v>
      </c>
      <c r="G277" t="s">
        <v>92</v>
      </c>
      <c r="H277" t="s">
        <v>92</v>
      </c>
      <c r="I277" s="12" t="s">
        <v>268</v>
      </c>
      <c r="J277" t="s">
        <v>278</v>
      </c>
      <c r="L277" t="s">
        <v>92</v>
      </c>
      <c r="N277" s="14">
        <v>1</v>
      </c>
      <c r="P277" s="12" t="s">
        <v>268</v>
      </c>
      <c r="W277" s="9" t="str">
        <f t="shared" ca="1" si="21"/>
        <v>18.5%</v>
      </c>
      <c r="X277" t="s">
        <v>321</v>
      </c>
      <c r="Y277" s="9" t="str">
        <f t="shared" ca="1" si="22"/>
        <v>Sin costo</v>
      </c>
      <c r="Z277" t="s">
        <v>327</v>
      </c>
      <c r="AA277" t="s">
        <v>329</v>
      </c>
      <c r="AB277" t="s">
        <v>334</v>
      </c>
      <c r="AC277" s="12" t="s">
        <v>339</v>
      </c>
      <c r="AE277" t="s">
        <v>268</v>
      </c>
      <c r="AG277" s="12" t="s">
        <v>268</v>
      </c>
      <c r="AH277" t="s">
        <v>92</v>
      </c>
      <c r="AI277" s="12" t="s">
        <v>268</v>
      </c>
      <c r="AJ277" t="s">
        <v>92</v>
      </c>
      <c r="AK277" t="s">
        <v>92</v>
      </c>
      <c r="AL277" t="s">
        <v>92</v>
      </c>
      <c r="AM277" s="12" t="s">
        <v>268</v>
      </c>
      <c r="AN277" s="12" t="s">
        <v>268</v>
      </c>
      <c r="AO277" s="12" t="s">
        <v>268</v>
      </c>
      <c r="AP277" s="12" t="s">
        <v>268</v>
      </c>
      <c r="AQ277" s="12" t="s">
        <v>268</v>
      </c>
      <c r="AR277" s="28" t="str">
        <f t="shared" ca="1" si="23"/>
        <v/>
      </c>
      <c r="AS277" s="28" t="str">
        <f t="shared" ca="1" si="24"/>
        <v/>
      </c>
    </row>
    <row r="278" spans="2:45" ht="27.6" customHeight="1">
      <c r="B278">
        <f t="shared" ca="1" si="20"/>
        <v>0</v>
      </c>
      <c r="C278" t="s">
        <v>85</v>
      </c>
      <c r="D278" t="s">
        <v>92</v>
      </c>
      <c r="E278" t="s">
        <v>92</v>
      </c>
      <c r="F278" t="s">
        <v>92</v>
      </c>
      <c r="G278" t="s">
        <v>92</v>
      </c>
      <c r="H278" t="s">
        <v>92</v>
      </c>
      <c r="I278" s="12" t="s">
        <v>268</v>
      </c>
      <c r="J278" t="s">
        <v>278</v>
      </c>
      <c r="L278" t="s">
        <v>92</v>
      </c>
      <c r="N278" s="14">
        <v>1</v>
      </c>
      <c r="P278" s="12" t="s">
        <v>268</v>
      </c>
      <c r="W278" s="9" t="str">
        <f t="shared" ca="1" si="21"/>
        <v>18.5%</v>
      </c>
      <c r="X278" t="s">
        <v>321</v>
      </c>
      <c r="Y278" s="9" t="str">
        <f t="shared" ca="1" si="22"/>
        <v>Sin costo</v>
      </c>
      <c r="Z278" t="s">
        <v>327</v>
      </c>
      <c r="AA278" t="s">
        <v>329</v>
      </c>
      <c r="AB278" t="s">
        <v>334</v>
      </c>
      <c r="AC278" s="12" t="s">
        <v>339</v>
      </c>
      <c r="AE278" t="s">
        <v>268</v>
      </c>
      <c r="AG278" s="12" t="s">
        <v>268</v>
      </c>
      <c r="AH278" t="s">
        <v>92</v>
      </c>
      <c r="AI278" s="12" t="s">
        <v>268</v>
      </c>
      <c r="AJ278" t="s">
        <v>92</v>
      </c>
      <c r="AK278" t="s">
        <v>92</v>
      </c>
      <c r="AL278" t="s">
        <v>92</v>
      </c>
      <c r="AM278" s="12" t="s">
        <v>268</v>
      </c>
      <c r="AN278" s="12" t="s">
        <v>268</v>
      </c>
      <c r="AO278" s="12" t="s">
        <v>268</v>
      </c>
      <c r="AP278" s="12" t="s">
        <v>268</v>
      </c>
      <c r="AQ278" s="12" t="s">
        <v>268</v>
      </c>
      <c r="AR278" s="28" t="str">
        <f t="shared" ca="1" si="23"/>
        <v/>
      </c>
      <c r="AS278" s="28" t="str">
        <f t="shared" ca="1" si="24"/>
        <v/>
      </c>
    </row>
    <row r="279" spans="2:45" ht="27.6" customHeight="1">
      <c r="B279">
        <f t="shared" ca="1" si="20"/>
        <v>0</v>
      </c>
      <c r="C279" t="s">
        <v>85</v>
      </c>
      <c r="D279" t="s">
        <v>92</v>
      </c>
      <c r="E279" t="s">
        <v>92</v>
      </c>
      <c r="F279" t="s">
        <v>92</v>
      </c>
      <c r="G279" t="s">
        <v>92</v>
      </c>
      <c r="H279" t="s">
        <v>92</v>
      </c>
      <c r="I279" s="12" t="s">
        <v>268</v>
      </c>
      <c r="J279" t="s">
        <v>278</v>
      </c>
      <c r="L279" t="s">
        <v>92</v>
      </c>
      <c r="N279" s="14">
        <v>1</v>
      </c>
      <c r="P279" s="12" t="s">
        <v>268</v>
      </c>
      <c r="W279" s="9" t="str">
        <f t="shared" ca="1" si="21"/>
        <v>18.5%</v>
      </c>
      <c r="X279" t="s">
        <v>321</v>
      </c>
      <c r="Y279" s="9" t="str">
        <f t="shared" ca="1" si="22"/>
        <v>Sin costo</v>
      </c>
      <c r="Z279" t="s">
        <v>327</v>
      </c>
      <c r="AA279" t="s">
        <v>329</v>
      </c>
      <c r="AB279" t="s">
        <v>334</v>
      </c>
      <c r="AC279" s="12" t="s">
        <v>339</v>
      </c>
      <c r="AE279" t="s">
        <v>268</v>
      </c>
      <c r="AG279" s="12" t="s">
        <v>268</v>
      </c>
      <c r="AH279" t="s">
        <v>92</v>
      </c>
      <c r="AI279" s="12" t="s">
        <v>268</v>
      </c>
      <c r="AJ279" t="s">
        <v>92</v>
      </c>
      <c r="AK279" t="s">
        <v>92</v>
      </c>
      <c r="AL279" t="s">
        <v>92</v>
      </c>
      <c r="AM279" s="12" t="s">
        <v>268</v>
      </c>
      <c r="AN279" s="12" t="s">
        <v>268</v>
      </c>
      <c r="AO279" s="12" t="s">
        <v>268</v>
      </c>
      <c r="AP279" s="12" t="s">
        <v>268</v>
      </c>
      <c r="AQ279" s="12" t="s">
        <v>268</v>
      </c>
      <c r="AR279" s="28" t="str">
        <f t="shared" ca="1" si="23"/>
        <v/>
      </c>
      <c r="AS279" s="28" t="str">
        <f t="shared" ca="1" si="24"/>
        <v/>
      </c>
    </row>
    <row r="280" spans="2:45" ht="27.6" customHeight="1">
      <c r="B280">
        <f t="shared" ca="1" si="20"/>
        <v>0</v>
      </c>
      <c r="C280" t="s">
        <v>85</v>
      </c>
      <c r="D280" t="s">
        <v>92</v>
      </c>
      <c r="E280" t="s">
        <v>92</v>
      </c>
      <c r="F280" t="s">
        <v>92</v>
      </c>
      <c r="G280" t="s">
        <v>92</v>
      </c>
      <c r="H280" t="s">
        <v>92</v>
      </c>
      <c r="I280" s="12" t="s">
        <v>268</v>
      </c>
      <c r="J280" t="s">
        <v>278</v>
      </c>
      <c r="L280" t="s">
        <v>92</v>
      </c>
      <c r="N280" s="14">
        <v>1</v>
      </c>
      <c r="P280" s="12" t="s">
        <v>268</v>
      </c>
      <c r="W280" s="9" t="str">
        <f t="shared" ca="1" si="21"/>
        <v>18.5%</v>
      </c>
      <c r="X280" t="s">
        <v>321</v>
      </c>
      <c r="Y280" s="9" t="str">
        <f t="shared" ca="1" si="22"/>
        <v>Sin costo</v>
      </c>
      <c r="Z280" t="s">
        <v>327</v>
      </c>
      <c r="AA280" t="s">
        <v>329</v>
      </c>
      <c r="AB280" t="s">
        <v>334</v>
      </c>
      <c r="AC280" s="12" t="s">
        <v>339</v>
      </c>
      <c r="AE280" t="s">
        <v>268</v>
      </c>
      <c r="AG280" s="12" t="s">
        <v>268</v>
      </c>
      <c r="AH280" t="s">
        <v>92</v>
      </c>
      <c r="AI280" s="12" t="s">
        <v>268</v>
      </c>
      <c r="AJ280" t="s">
        <v>92</v>
      </c>
      <c r="AK280" t="s">
        <v>92</v>
      </c>
      <c r="AL280" t="s">
        <v>92</v>
      </c>
      <c r="AM280" s="12" t="s">
        <v>268</v>
      </c>
      <c r="AN280" s="12" t="s">
        <v>268</v>
      </c>
      <c r="AO280" s="12" t="s">
        <v>268</v>
      </c>
      <c r="AP280" s="12" t="s">
        <v>268</v>
      </c>
      <c r="AQ280" s="12" t="s">
        <v>268</v>
      </c>
      <c r="AR280" s="28" t="str">
        <f t="shared" ca="1" si="23"/>
        <v/>
      </c>
      <c r="AS280" s="28" t="str">
        <f t="shared" ca="1" si="24"/>
        <v/>
      </c>
    </row>
    <row r="281" spans="2:45" ht="27.6" customHeight="1">
      <c r="B281">
        <f t="shared" ca="1" si="20"/>
        <v>0</v>
      </c>
      <c r="C281" t="s">
        <v>85</v>
      </c>
      <c r="D281" t="s">
        <v>92</v>
      </c>
      <c r="E281" t="s">
        <v>92</v>
      </c>
      <c r="F281" t="s">
        <v>92</v>
      </c>
      <c r="G281" t="s">
        <v>92</v>
      </c>
      <c r="H281" t="s">
        <v>92</v>
      </c>
      <c r="I281" s="12" t="s">
        <v>268</v>
      </c>
      <c r="J281" t="s">
        <v>278</v>
      </c>
      <c r="L281" t="s">
        <v>92</v>
      </c>
      <c r="N281" s="14">
        <v>1</v>
      </c>
      <c r="P281" s="12" t="s">
        <v>268</v>
      </c>
      <c r="W281" s="9" t="str">
        <f t="shared" ca="1" si="21"/>
        <v>18.5%</v>
      </c>
      <c r="X281" t="s">
        <v>321</v>
      </c>
      <c r="Y281" s="9" t="str">
        <f t="shared" ca="1" si="22"/>
        <v>Sin costo</v>
      </c>
      <c r="Z281" t="s">
        <v>327</v>
      </c>
      <c r="AA281" t="s">
        <v>329</v>
      </c>
      <c r="AB281" t="s">
        <v>334</v>
      </c>
      <c r="AC281" s="12" t="s">
        <v>339</v>
      </c>
      <c r="AE281" t="s">
        <v>268</v>
      </c>
      <c r="AG281" s="12" t="s">
        <v>268</v>
      </c>
      <c r="AH281" t="s">
        <v>92</v>
      </c>
      <c r="AI281" s="12" t="s">
        <v>268</v>
      </c>
      <c r="AJ281" t="s">
        <v>92</v>
      </c>
      <c r="AK281" t="s">
        <v>92</v>
      </c>
      <c r="AL281" t="s">
        <v>92</v>
      </c>
      <c r="AM281" s="12" t="s">
        <v>268</v>
      </c>
      <c r="AN281" s="12" t="s">
        <v>268</v>
      </c>
      <c r="AO281" s="12" t="s">
        <v>268</v>
      </c>
      <c r="AP281" s="12" t="s">
        <v>268</v>
      </c>
      <c r="AQ281" s="12" t="s">
        <v>268</v>
      </c>
      <c r="AR281" s="28" t="str">
        <f t="shared" ca="1" si="23"/>
        <v/>
      </c>
      <c r="AS281" s="28" t="str">
        <f t="shared" ca="1" si="24"/>
        <v/>
      </c>
    </row>
    <row r="282" spans="2:45" ht="27.6" customHeight="1">
      <c r="B282">
        <f t="shared" ca="1" si="20"/>
        <v>0</v>
      </c>
      <c r="C282" t="s">
        <v>85</v>
      </c>
      <c r="D282" t="s">
        <v>92</v>
      </c>
      <c r="E282" t="s">
        <v>92</v>
      </c>
      <c r="F282" t="s">
        <v>92</v>
      </c>
      <c r="G282" t="s">
        <v>92</v>
      </c>
      <c r="H282" t="s">
        <v>92</v>
      </c>
      <c r="I282" s="12" t="s">
        <v>268</v>
      </c>
      <c r="J282" t="s">
        <v>278</v>
      </c>
      <c r="L282" t="s">
        <v>92</v>
      </c>
      <c r="N282" s="14">
        <v>1</v>
      </c>
      <c r="P282" s="12" t="s">
        <v>268</v>
      </c>
      <c r="W282" s="9" t="str">
        <f t="shared" ca="1" si="21"/>
        <v>18.5%</v>
      </c>
      <c r="X282" t="s">
        <v>321</v>
      </c>
      <c r="Y282" s="9" t="str">
        <f t="shared" ca="1" si="22"/>
        <v>Sin costo</v>
      </c>
      <c r="Z282" t="s">
        <v>327</v>
      </c>
      <c r="AA282" t="s">
        <v>329</v>
      </c>
      <c r="AB282" t="s">
        <v>334</v>
      </c>
      <c r="AC282" s="12" t="s">
        <v>339</v>
      </c>
      <c r="AE282" t="s">
        <v>268</v>
      </c>
      <c r="AG282" s="12" t="s">
        <v>268</v>
      </c>
      <c r="AH282" t="s">
        <v>92</v>
      </c>
      <c r="AI282" s="12" t="s">
        <v>268</v>
      </c>
      <c r="AJ282" t="s">
        <v>92</v>
      </c>
      <c r="AK282" t="s">
        <v>92</v>
      </c>
      <c r="AL282" t="s">
        <v>92</v>
      </c>
      <c r="AM282" s="12" t="s">
        <v>268</v>
      </c>
      <c r="AN282" s="12" t="s">
        <v>268</v>
      </c>
      <c r="AO282" s="12" t="s">
        <v>268</v>
      </c>
      <c r="AP282" s="12" t="s">
        <v>268</v>
      </c>
      <c r="AQ282" s="12" t="s">
        <v>268</v>
      </c>
      <c r="AR282" s="28" t="str">
        <f t="shared" ca="1" si="23"/>
        <v/>
      </c>
      <c r="AS282" s="28" t="str">
        <f t="shared" ca="1" si="24"/>
        <v/>
      </c>
    </row>
    <row r="283" spans="2:45" ht="27.6" customHeight="1">
      <c r="B283">
        <f t="shared" ca="1" si="20"/>
        <v>0</v>
      </c>
      <c r="C283" t="s">
        <v>85</v>
      </c>
      <c r="D283" t="s">
        <v>92</v>
      </c>
      <c r="E283" t="s">
        <v>92</v>
      </c>
      <c r="F283" t="s">
        <v>92</v>
      </c>
      <c r="G283" t="s">
        <v>92</v>
      </c>
      <c r="H283" t="s">
        <v>92</v>
      </c>
      <c r="I283" s="12" t="s">
        <v>268</v>
      </c>
      <c r="J283" t="s">
        <v>278</v>
      </c>
      <c r="L283" t="s">
        <v>92</v>
      </c>
      <c r="N283" s="14">
        <v>1</v>
      </c>
      <c r="P283" s="12" t="s">
        <v>268</v>
      </c>
      <c r="W283" s="9" t="str">
        <f t="shared" ca="1" si="21"/>
        <v>18.5%</v>
      </c>
      <c r="X283" t="s">
        <v>321</v>
      </c>
      <c r="Y283" s="9" t="str">
        <f t="shared" ca="1" si="22"/>
        <v>Sin costo</v>
      </c>
      <c r="Z283" t="s">
        <v>327</v>
      </c>
      <c r="AA283" t="s">
        <v>329</v>
      </c>
      <c r="AB283" t="s">
        <v>334</v>
      </c>
      <c r="AC283" s="12" t="s">
        <v>339</v>
      </c>
      <c r="AE283" t="s">
        <v>268</v>
      </c>
      <c r="AG283" s="12" t="s">
        <v>268</v>
      </c>
      <c r="AH283" t="s">
        <v>92</v>
      </c>
      <c r="AI283" s="12" t="s">
        <v>268</v>
      </c>
      <c r="AJ283" t="s">
        <v>92</v>
      </c>
      <c r="AK283" t="s">
        <v>92</v>
      </c>
      <c r="AL283" t="s">
        <v>92</v>
      </c>
      <c r="AM283" s="12" t="s">
        <v>268</v>
      </c>
      <c r="AN283" s="12" t="s">
        <v>268</v>
      </c>
      <c r="AO283" s="12" t="s">
        <v>268</v>
      </c>
      <c r="AP283" s="12" t="s">
        <v>268</v>
      </c>
      <c r="AQ283" s="12" t="s">
        <v>268</v>
      </c>
      <c r="AR283" s="28" t="str">
        <f t="shared" ca="1" si="23"/>
        <v/>
      </c>
      <c r="AS283" s="28" t="str">
        <f t="shared" ca="1" si="24"/>
        <v/>
      </c>
    </row>
    <row r="284" spans="2:45" ht="27.6" customHeight="1">
      <c r="B284">
        <f t="shared" ca="1" si="20"/>
        <v>0</v>
      </c>
      <c r="C284" t="s">
        <v>85</v>
      </c>
      <c r="D284" t="s">
        <v>92</v>
      </c>
      <c r="E284" t="s">
        <v>92</v>
      </c>
      <c r="F284" t="s">
        <v>92</v>
      </c>
      <c r="G284" t="s">
        <v>92</v>
      </c>
      <c r="H284" t="s">
        <v>92</v>
      </c>
      <c r="I284" s="12" t="s">
        <v>268</v>
      </c>
      <c r="J284" t="s">
        <v>278</v>
      </c>
      <c r="L284" t="s">
        <v>92</v>
      </c>
      <c r="N284" s="14">
        <v>1</v>
      </c>
      <c r="P284" s="12" t="s">
        <v>268</v>
      </c>
      <c r="W284" s="9" t="str">
        <f t="shared" ca="1" si="21"/>
        <v>18.5%</v>
      </c>
      <c r="X284" t="s">
        <v>321</v>
      </c>
      <c r="Y284" s="9" t="str">
        <f t="shared" ca="1" si="22"/>
        <v>Sin costo</v>
      </c>
      <c r="Z284" t="s">
        <v>327</v>
      </c>
      <c r="AA284" t="s">
        <v>329</v>
      </c>
      <c r="AB284" t="s">
        <v>334</v>
      </c>
      <c r="AC284" s="12" t="s">
        <v>339</v>
      </c>
      <c r="AE284" t="s">
        <v>268</v>
      </c>
      <c r="AG284" s="12" t="s">
        <v>268</v>
      </c>
      <c r="AH284" t="s">
        <v>92</v>
      </c>
      <c r="AI284" s="12" t="s">
        <v>268</v>
      </c>
      <c r="AJ284" t="s">
        <v>92</v>
      </c>
      <c r="AK284" t="s">
        <v>92</v>
      </c>
      <c r="AL284" t="s">
        <v>92</v>
      </c>
      <c r="AM284" s="12" t="s">
        <v>268</v>
      </c>
      <c r="AN284" s="12" t="s">
        <v>268</v>
      </c>
      <c r="AO284" s="12" t="s">
        <v>268</v>
      </c>
      <c r="AP284" s="12" t="s">
        <v>268</v>
      </c>
      <c r="AQ284" s="12" t="s">
        <v>268</v>
      </c>
      <c r="AR284" s="28" t="str">
        <f t="shared" ca="1" si="23"/>
        <v/>
      </c>
      <c r="AS284" s="28" t="str">
        <f t="shared" ca="1" si="24"/>
        <v/>
      </c>
    </row>
    <row r="285" spans="2:45" ht="27.6" customHeight="1">
      <c r="B285">
        <f t="shared" ca="1" si="20"/>
        <v>0</v>
      </c>
      <c r="C285" t="s">
        <v>85</v>
      </c>
      <c r="D285" t="s">
        <v>92</v>
      </c>
      <c r="E285" t="s">
        <v>92</v>
      </c>
      <c r="F285" t="s">
        <v>92</v>
      </c>
      <c r="G285" t="s">
        <v>92</v>
      </c>
      <c r="H285" t="s">
        <v>92</v>
      </c>
      <c r="I285" s="12" t="s">
        <v>268</v>
      </c>
      <c r="J285" t="s">
        <v>278</v>
      </c>
      <c r="L285" t="s">
        <v>92</v>
      </c>
      <c r="N285" s="14">
        <v>1</v>
      </c>
      <c r="P285" s="12" t="s">
        <v>268</v>
      </c>
      <c r="W285" s="9" t="str">
        <f t="shared" ca="1" si="21"/>
        <v>18.5%</v>
      </c>
      <c r="X285" t="s">
        <v>321</v>
      </c>
      <c r="Y285" s="9" t="str">
        <f t="shared" ca="1" si="22"/>
        <v>Sin costo</v>
      </c>
      <c r="Z285" t="s">
        <v>327</v>
      </c>
      <c r="AA285" t="s">
        <v>329</v>
      </c>
      <c r="AB285" t="s">
        <v>334</v>
      </c>
      <c r="AC285" s="12" t="s">
        <v>339</v>
      </c>
      <c r="AE285" t="s">
        <v>268</v>
      </c>
      <c r="AG285" s="12" t="s">
        <v>268</v>
      </c>
      <c r="AH285" t="s">
        <v>92</v>
      </c>
      <c r="AI285" s="12" t="s">
        <v>268</v>
      </c>
      <c r="AJ285" t="s">
        <v>92</v>
      </c>
      <c r="AK285" t="s">
        <v>92</v>
      </c>
      <c r="AL285" t="s">
        <v>92</v>
      </c>
      <c r="AM285" s="12" t="s">
        <v>268</v>
      </c>
      <c r="AN285" s="12" t="s">
        <v>268</v>
      </c>
      <c r="AO285" s="12" t="s">
        <v>268</v>
      </c>
      <c r="AP285" s="12" t="s">
        <v>268</v>
      </c>
      <c r="AQ285" s="12" t="s">
        <v>268</v>
      </c>
      <c r="AR285" s="28" t="str">
        <f t="shared" ca="1" si="23"/>
        <v/>
      </c>
      <c r="AS285" s="28" t="str">
        <f t="shared" ca="1" si="24"/>
        <v/>
      </c>
    </row>
    <row r="286" spans="2:45" ht="27.6" customHeight="1">
      <c r="B286">
        <f t="shared" ca="1" si="20"/>
        <v>0</v>
      </c>
      <c r="C286" t="s">
        <v>85</v>
      </c>
      <c r="D286" t="s">
        <v>92</v>
      </c>
      <c r="E286" t="s">
        <v>92</v>
      </c>
      <c r="F286" t="s">
        <v>92</v>
      </c>
      <c r="G286" t="s">
        <v>92</v>
      </c>
      <c r="H286" t="s">
        <v>92</v>
      </c>
      <c r="I286" s="12" t="s">
        <v>268</v>
      </c>
      <c r="J286" t="s">
        <v>278</v>
      </c>
      <c r="L286" t="s">
        <v>92</v>
      </c>
      <c r="N286" s="14">
        <v>1</v>
      </c>
      <c r="P286" s="12" t="s">
        <v>268</v>
      </c>
      <c r="W286" s="9" t="str">
        <f t="shared" ca="1" si="21"/>
        <v>18.5%</v>
      </c>
      <c r="X286" t="s">
        <v>321</v>
      </c>
      <c r="Y286" s="9" t="str">
        <f t="shared" ca="1" si="22"/>
        <v>Sin costo</v>
      </c>
      <c r="Z286" t="s">
        <v>327</v>
      </c>
      <c r="AA286" t="s">
        <v>329</v>
      </c>
      <c r="AB286" t="s">
        <v>334</v>
      </c>
      <c r="AC286" s="12" t="s">
        <v>339</v>
      </c>
      <c r="AE286" t="s">
        <v>268</v>
      </c>
      <c r="AG286" s="12" t="s">
        <v>268</v>
      </c>
      <c r="AH286" t="s">
        <v>92</v>
      </c>
      <c r="AI286" s="12" t="s">
        <v>268</v>
      </c>
      <c r="AJ286" t="s">
        <v>92</v>
      </c>
      <c r="AK286" t="s">
        <v>92</v>
      </c>
      <c r="AL286" t="s">
        <v>92</v>
      </c>
      <c r="AM286" s="12" t="s">
        <v>268</v>
      </c>
      <c r="AN286" s="12" t="s">
        <v>268</v>
      </c>
      <c r="AO286" s="12" t="s">
        <v>268</v>
      </c>
      <c r="AP286" s="12" t="s">
        <v>268</v>
      </c>
      <c r="AQ286" s="12" t="s">
        <v>268</v>
      </c>
      <c r="AR286" s="28" t="str">
        <f t="shared" ca="1" si="23"/>
        <v/>
      </c>
      <c r="AS286" s="28" t="str">
        <f t="shared" ca="1" si="24"/>
        <v/>
      </c>
    </row>
    <row r="287" spans="2:45" ht="27.6" customHeight="1">
      <c r="B287">
        <f t="shared" ca="1" si="20"/>
        <v>0</v>
      </c>
      <c r="C287" t="s">
        <v>85</v>
      </c>
      <c r="D287" t="s">
        <v>92</v>
      </c>
      <c r="E287" t="s">
        <v>92</v>
      </c>
      <c r="F287" t="s">
        <v>92</v>
      </c>
      <c r="G287" t="s">
        <v>92</v>
      </c>
      <c r="H287" t="s">
        <v>92</v>
      </c>
      <c r="I287" s="12" t="s">
        <v>268</v>
      </c>
      <c r="J287" t="s">
        <v>278</v>
      </c>
      <c r="L287" t="s">
        <v>92</v>
      </c>
      <c r="N287" s="14">
        <v>1</v>
      </c>
      <c r="P287" s="12" t="s">
        <v>268</v>
      </c>
      <c r="W287" s="9" t="str">
        <f t="shared" ca="1" si="21"/>
        <v>18.5%</v>
      </c>
      <c r="X287" t="s">
        <v>321</v>
      </c>
      <c r="Y287" s="9" t="str">
        <f t="shared" ca="1" si="22"/>
        <v>Sin costo</v>
      </c>
      <c r="Z287" t="s">
        <v>327</v>
      </c>
      <c r="AA287" t="s">
        <v>329</v>
      </c>
      <c r="AB287" t="s">
        <v>334</v>
      </c>
      <c r="AC287" s="12" t="s">
        <v>339</v>
      </c>
      <c r="AE287" t="s">
        <v>268</v>
      </c>
      <c r="AG287" s="12" t="s">
        <v>268</v>
      </c>
      <c r="AH287" t="s">
        <v>92</v>
      </c>
      <c r="AI287" s="12" t="s">
        <v>268</v>
      </c>
      <c r="AJ287" t="s">
        <v>92</v>
      </c>
      <c r="AK287" t="s">
        <v>92</v>
      </c>
      <c r="AL287" t="s">
        <v>92</v>
      </c>
      <c r="AM287" s="12" t="s">
        <v>268</v>
      </c>
      <c r="AN287" s="12" t="s">
        <v>268</v>
      </c>
      <c r="AO287" s="12" t="s">
        <v>268</v>
      </c>
      <c r="AP287" s="12" t="s">
        <v>268</v>
      </c>
      <c r="AQ287" s="12" t="s">
        <v>268</v>
      </c>
      <c r="AR287" s="28" t="str">
        <f t="shared" ca="1" si="23"/>
        <v/>
      </c>
      <c r="AS287" s="28" t="str">
        <f t="shared" ca="1" si="24"/>
        <v/>
      </c>
    </row>
    <row r="288" spans="2:45" ht="27.6" customHeight="1">
      <c r="B288">
        <f t="shared" ca="1" si="20"/>
        <v>0</v>
      </c>
      <c r="C288" t="s">
        <v>85</v>
      </c>
      <c r="D288" t="s">
        <v>92</v>
      </c>
      <c r="E288" t="s">
        <v>92</v>
      </c>
      <c r="F288" t="s">
        <v>92</v>
      </c>
      <c r="G288" t="s">
        <v>92</v>
      </c>
      <c r="H288" t="s">
        <v>92</v>
      </c>
      <c r="I288" s="12" t="s">
        <v>268</v>
      </c>
      <c r="J288" t="s">
        <v>278</v>
      </c>
      <c r="L288" t="s">
        <v>92</v>
      </c>
      <c r="N288" s="14">
        <v>1</v>
      </c>
      <c r="P288" s="12" t="s">
        <v>268</v>
      </c>
      <c r="W288" s="9" t="str">
        <f t="shared" ca="1" si="21"/>
        <v>18.5%</v>
      </c>
      <c r="X288" t="s">
        <v>321</v>
      </c>
      <c r="Y288" s="9" t="str">
        <f t="shared" ca="1" si="22"/>
        <v>Sin costo</v>
      </c>
      <c r="Z288" t="s">
        <v>327</v>
      </c>
      <c r="AA288" t="s">
        <v>329</v>
      </c>
      <c r="AB288" t="s">
        <v>334</v>
      </c>
      <c r="AC288" s="12" t="s">
        <v>339</v>
      </c>
      <c r="AE288" t="s">
        <v>268</v>
      </c>
      <c r="AG288" s="12" t="s">
        <v>268</v>
      </c>
      <c r="AH288" t="s">
        <v>92</v>
      </c>
      <c r="AI288" s="12" t="s">
        <v>268</v>
      </c>
      <c r="AJ288" t="s">
        <v>92</v>
      </c>
      <c r="AK288" t="s">
        <v>92</v>
      </c>
      <c r="AL288" t="s">
        <v>92</v>
      </c>
      <c r="AM288" s="12" t="s">
        <v>268</v>
      </c>
      <c r="AN288" s="12" t="s">
        <v>268</v>
      </c>
      <c r="AO288" s="12" t="s">
        <v>268</v>
      </c>
      <c r="AP288" s="12" t="s">
        <v>268</v>
      </c>
      <c r="AQ288" s="12" t="s">
        <v>268</v>
      </c>
      <c r="AR288" s="28" t="str">
        <f t="shared" ca="1" si="23"/>
        <v/>
      </c>
      <c r="AS288" s="28" t="str">
        <f t="shared" ca="1" si="24"/>
        <v/>
      </c>
    </row>
    <row r="289" spans="2:45" ht="27.6" customHeight="1">
      <c r="B289">
        <f t="shared" ca="1" si="20"/>
        <v>0</v>
      </c>
      <c r="C289" t="s">
        <v>85</v>
      </c>
      <c r="D289" t="s">
        <v>92</v>
      </c>
      <c r="E289" t="s">
        <v>92</v>
      </c>
      <c r="F289" t="s">
        <v>92</v>
      </c>
      <c r="G289" t="s">
        <v>92</v>
      </c>
      <c r="H289" t="s">
        <v>92</v>
      </c>
      <c r="I289" s="12" t="s">
        <v>268</v>
      </c>
      <c r="J289" t="s">
        <v>278</v>
      </c>
      <c r="L289" t="s">
        <v>92</v>
      </c>
      <c r="N289" s="14">
        <v>1</v>
      </c>
      <c r="P289" s="12" t="s">
        <v>268</v>
      </c>
      <c r="W289" s="9" t="str">
        <f t="shared" ca="1" si="21"/>
        <v>18.5%</v>
      </c>
      <c r="X289" t="s">
        <v>321</v>
      </c>
      <c r="Y289" s="9" t="str">
        <f t="shared" ca="1" si="22"/>
        <v>Sin costo</v>
      </c>
      <c r="Z289" t="s">
        <v>327</v>
      </c>
      <c r="AA289" t="s">
        <v>329</v>
      </c>
      <c r="AB289" t="s">
        <v>334</v>
      </c>
      <c r="AC289" s="12" t="s">
        <v>339</v>
      </c>
      <c r="AE289" t="s">
        <v>268</v>
      </c>
      <c r="AG289" s="12" t="s">
        <v>268</v>
      </c>
      <c r="AH289" t="s">
        <v>92</v>
      </c>
      <c r="AI289" s="12" t="s">
        <v>268</v>
      </c>
      <c r="AJ289" t="s">
        <v>92</v>
      </c>
      <c r="AK289" t="s">
        <v>92</v>
      </c>
      <c r="AL289" t="s">
        <v>92</v>
      </c>
      <c r="AM289" s="12" t="s">
        <v>268</v>
      </c>
      <c r="AN289" s="12" t="s">
        <v>268</v>
      </c>
      <c r="AO289" s="12" t="s">
        <v>268</v>
      </c>
      <c r="AP289" s="12" t="s">
        <v>268</v>
      </c>
      <c r="AQ289" s="12" t="s">
        <v>268</v>
      </c>
      <c r="AR289" s="28" t="str">
        <f t="shared" ca="1" si="23"/>
        <v/>
      </c>
      <c r="AS289" s="28" t="str">
        <f t="shared" ca="1" si="24"/>
        <v/>
      </c>
    </row>
    <row r="290" spans="2:45" ht="27.6" customHeight="1">
      <c r="B290">
        <f t="shared" ca="1" si="20"/>
        <v>0</v>
      </c>
      <c r="C290" t="s">
        <v>85</v>
      </c>
      <c r="D290" t="s">
        <v>92</v>
      </c>
      <c r="E290" t="s">
        <v>92</v>
      </c>
      <c r="F290" t="s">
        <v>92</v>
      </c>
      <c r="G290" t="s">
        <v>92</v>
      </c>
      <c r="H290" t="s">
        <v>92</v>
      </c>
      <c r="I290" s="12" t="s">
        <v>268</v>
      </c>
      <c r="J290" t="s">
        <v>278</v>
      </c>
      <c r="L290" t="s">
        <v>92</v>
      </c>
      <c r="N290" s="14">
        <v>1</v>
      </c>
      <c r="P290" s="12" t="s">
        <v>268</v>
      </c>
      <c r="W290" s="9" t="str">
        <f t="shared" ca="1" si="21"/>
        <v>18.5%</v>
      </c>
      <c r="X290" t="s">
        <v>321</v>
      </c>
      <c r="Y290" s="9" t="str">
        <f t="shared" ca="1" si="22"/>
        <v>Sin costo</v>
      </c>
      <c r="Z290" t="s">
        <v>327</v>
      </c>
      <c r="AA290" t="s">
        <v>329</v>
      </c>
      <c r="AB290" t="s">
        <v>334</v>
      </c>
      <c r="AC290" s="12" t="s">
        <v>339</v>
      </c>
      <c r="AE290" t="s">
        <v>268</v>
      </c>
      <c r="AG290" s="12" t="s">
        <v>268</v>
      </c>
      <c r="AH290" t="s">
        <v>92</v>
      </c>
      <c r="AI290" s="12" t="s">
        <v>268</v>
      </c>
      <c r="AJ290" t="s">
        <v>92</v>
      </c>
      <c r="AK290" t="s">
        <v>92</v>
      </c>
      <c r="AL290" t="s">
        <v>92</v>
      </c>
      <c r="AM290" s="12" t="s">
        <v>268</v>
      </c>
      <c r="AN290" s="12" t="s">
        <v>268</v>
      </c>
      <c r="AO290" s="12" t="s">
        <v>268</v>
      </c>
      <c r="AP290" s="12" t="s">
        <v>268</v>
      </c>
      <c r="AQ290" s="12" t="s">
        <v>268</v>
      </c>
      <c r="AR290" s="28" t="str">
        <f t="shared" ca="1" si="23"/>
        <v/>
      </c>
      <c r="AS290" s="28" t="str">
        <f t="shared" ca="1" si="24"/>
        <v/>
      </c>
    </row>
    <row r="291" spans="2:45" ht="27.6" customHeight="1">
      <c r="B291">
        <f t="shared" ca="1" si="20"/>
        <v>0</v>
      </c>
      <c r="C291" t="s">
        <v>85</v>
      </c>
      <c r="D291" t="s">
        <v>92</v>
      </c>
      <c r="E291" t="s">
        <v>92</v>
      </c>
      <c r="F291" t="s">
        <v>92</v>
      </c>
      <c r="G291" t="s">
        <v>92</v>
      </c>
      <c r="H291" t="s">
        <v>92</v>
      </c>
      <c r="I291" s="12" t="s">
        <v>268</v>
      </c>
      <c r="J291" t="s">
        <v>278</v>
      </c>
      <c r="L291" t="s">
        <v>92</v>
      </c>
      <c r="N291" s="14">
        <v>1</v>
      </c>
      <c r="P291" s="12" t="s">
        <v>268</v>
      </c>
      <c r="W291" s="9" t="str">
        <f t="shared" ca="1" si="21"/>
        <v>18.5%</v>
      </c>
      <c r="X291" t="s">
        <v>321</v>
      </c>
      <c r="Y291" s="9" t="str">
        <f t="shared" ca="1" si="22"/>
        <v>Sin costo</v>
      </c>
      <c r="Z291" t="s">
        <v>327</v>
      </c>
      <c r="AA291" t="s">
        <v>329</v>
      </c>
      <c r="AB291" t="s">
        <v>334</v>
      </c>
      <c r="AC291" s="12" t="s">
        <v>339</v>
      </c>
      <c r="AE291" t="s">
        <v>268</v>
      </c>
      <c r="AG291" s="12" t="s">
        <v>268</v>
      </c>
      <c r="AH291" t="s">
        <v>92</v>
      </c>
      <c r="AI291" s="12" t="s">
        <v>268</v>
      </c>
      <c r="AJ291" t="s">
        <v>92</v>
      </c>
      <c r="AK291" t="s">
        <v>92</v>
      </c>
      <c r="AL291" t="s">
        <v>92</v>
      </c>
      <c r="AM291" s="12" t="s">
        <v>268</v>
      </c>
      <c r="AN291" s="12" t="s">
        <v>268</v>
      </c>
      <c r="AO291" s="12" t="s">
        <v>268</v>
      </c>
      <c r="AP291" s="12" t="s">
        <v>268</v>
      </c>
      <c r="AQ291" s="12" t="s">
        <v>268</v>
      </c>
      <c r="AR291" s="28" t="str">
        <f t="shared" ca="1" si="23"/>
        <v/>
      </c>
      <c r="AS291" s="28" t="str">
        <f t="shared" ca="1" si="24"/>
        <v/>
      </c>
    </row>
    <row r="292" spans="2:45" ht="27.6" customHeight="1">
      <c r="B292">
        <f t="shared" ca="1" si="20"/>
        <v>0</v>
      </c>
      <c r="C292" t="s">
        <v>85</v>
      </c>
      <c r="D292" t="s">
        <v>92</v>
      </c>
      <c r="E292" t="s">
        <v>92</v>
      </c>
      <c r="F292" t="s">
        <v>92</v>
      </c>
      <c r="G292" t="s">
        <v>92</v>
      </c>
      <c r="H292" t="s">
        <v>92</v>
      </c>
      <c r="I292" s="12" t="s">
        <v>268</v>
      </c>
      <c r="J292" t="s">
        <v>278</v>
      </c>
      <c r="L292" t="s">
        <v>92</v>
      </c>
      <c r="N292" s="14">
        <v>1</v>
      </c>
      <c r="P292" s="12" t="s">
        <v>268</v>
      </c>
      <c r="W292" s="9" t="str">
        <f t="shared" ca="1" si="21"/>
        <v>18.5%</v>
      </c>
      <c r="X292" t="s">
        <v>321</v>
      </c>
      <c r="Y292" s="9" t="str">
        <f t="shared" ca="1" si="22"/>
        <v>Sin costo</v>
      </c>
      <c r="Z292" t="s">
        <v>327</v>
      </c>
      <c r="AA292" t="s">
        <v>329</v>
      </c>
      <c r="AB292" t="s">
        <v>334</v>
      </c>
      <c r="AC292" s="12" t="s">
        <v>339</v>
      </c>
      <c r="AE292" t="s">
        <v>268</v>
      </c>
      <c r="AG292" s="12" t="s">
        <v>268</v>
      </c>
      <c r="AH292" t="s">
        <v>92</v>
      </c>
      <c r="AI292" s="12" t="s">
        <v>268</v>
      </c>
      <c r="AJ292" t="s">
        <v>92</v>
      </c>
      <c r="AK292" t="s">
        <v>92</v>
      </c>
      <c r="AL292" t="s">
        <v>92</v>
      </c>
      <c r="AM292" s="12" t="s">
        <v>268</v>
      </c>
      <c r="AN292" s="12" t="s">
        <v>268</v>
      </c>
      <c r="AO292" s="12" t="s">
        <v>268</v>
      </c>
      <c r="AP292" s="12" t="s">
        <v>268</v>
      </c>
      <c r="AQ292" s="12" t="s">
        <v>268</v>
      </c>
      <c r="AR292" s="28" t="str">
        <f t="shared" ca="1" si="23"/>
        <v/>
      </c>
      <c r="AS292" s="28" t="str">
        <f t="shared" ca="1" si="24"/>
        <v/>
      </c>
    </row>
    <row r="293" spans="2:45" ht="27.6" customHeight="1">
      <c r="B293">
        <f t="shared" ca="1" si="20"/>
        <v>0</v>
      </c>
      <c r="C293" t="s">
        <v>85</v>
      </c>
      <c r="D293" t="s">
        <v>92</v>
      </c>
      <c r="E293" t="s">
        <v>92</v>
      </c>
      <c r="F293" t="s">
        <v>92</v>
      </c>
      <c r="G293" t="s">
        <v>92</v>
      </c>
      <c r="H293" t="s">
        <v>92</v>
      </c>
      <c r="I293" s="12" t="s">
        <v>268</v>
      </c>
      <c r="J293" t="s">
        <v>278</v>
      </c>
      <c r="L293" t="s">
        <v>92</v>
      </c>
      <c r="N293" s="14">
        <v>1</v>
      </c>
      <c r="P293" s="12" t="s">
        <v>268</v>
      </c>
      <c r="W293" s="9" t="str">
        <f t="shared" ca="1" si="21"/>
        <v>18.5%</v>
      </c>
      <c r="X293" t="s">
        <v>321</v>
      </c>
      <c r="Y293" s="9" t="str">
        <f t="shared" ca="1" si="22"/>
        <v>Sin costo</v>
      </c>
      <c r="Z293" t="s">
        <v>327</v>
      </c>
      <c r="AA293" t="s">
        <v>329</v>
      </c>
      <c r="AB293" t="s">
        <v>334</v>
      </c>
      <c r="AC293" s="12" t="s">
        <v>339</v>
      </c>
      <c r="AE293" t="s">
        <v>268</v>
      </c>
      <c r="AG293" s="12" t="s">
        <v>268</v>
      </c>
      <c r="AH293" t="s">
        <v>92</v>
      </c>
      <c r="AI293" s="12" t="s">
        <v>268</v>
      </c>
      <c r="AJ293" t="s">
        <v>92</v>
      </c>
      <c r="AK293" t="s">
        <v>92</v>
      </c>
      <c r="AL293" t="s">
        <v>92</v>
      </c>
      <c r="AM293" s="12" t="s">
        <v>268</v>
      </c>
      <c r="AN293" s="12" t="s">
        <v>268</v>
      </c>
      <c r="AO293" s="12" t="s">
        <v>268</v>
      </c>
      <c r="AP293" s="12" t="s">
        <v>268</v>
      </c>
      <c r="AQ293" s="12" t="s">
        <v>268</v>
      </c>
      <c r="AR293" s="28" t="str">
        <f t="shared" ca="1" si="23"/>
        <v/>
      </c>
      <c r="AS293" s="28" t="str">
        <f t="shared" ca="1" si="24"/>
        <v/>
      </c>
    </row>
    <row r="294" spans="2:45" ht="27.6" customHeight="1">
      <c r="B294">
        <f t="shared" ca="1" si="20"/>
        <v>0</v>
      </c>
      <c r="C294" t="s">
        <v>85</v>
      </c>
      <c r="D294" t="s">
        <v>92</v>
      </c>
      <c r="E294" t="s">
        <v>92</v>
      </c>
      <c r="F294" t="s">
        <v>92</v>
      </c>
      <c r="G294" t="s">
        <v>92</v>
      </c>
      <c r="H294" t="s">
        <v>92</v>
      </c>
      <c r="I294" s="12" t="s">
        <v>268</v>
      </c>
      <c r="J294" t="s">
        <v>278</v>
      </c>
      <c r="L294" t="s">
        <v>92</v>
      </c>
      <c r="N294" s="14">
        <v>1</v>
      </c>
      <c r="P294" s="12" t="s">
        <v>268</v>
      </c>
      <c r="W294" s="9" t="str">
        <f t="shared" ca="1" si="21"/>
        <v>18.5%</v>
      </c>
      <c r="X294" t="s">
        <v>321</v>
      </c>
      <c r="Y294" s="9" t="str">
        <f t="shared" ca="1" si="22"/>
        <v>Sin costo</v>
      </c>
      <c r="Z294" t="s">
        <v>327</v>
      </c>
      <c r="AA294" t="s">
        <v>329</v>
      </c>
      <c r="AB294" t="s">
        <v>334</v>
      </c>
      <c r="AC294" s="12" t="s">
        <v>339</v>
      </c>
      <c r="AE294" t="s">
        <v>268</v>
      </c>
      <c r="AG294" s="12" t="s">
        <v>268</v>
      </c>
      <c r="AH294" t="s">
        <v>92</v>
      </c>
      <c r="AI294" s="12" t="s">
        <v>268</v>
      </c>
      <c r="AJ294" t="s">
        <v>92</v>
      </c>
      <c r="AK294" t="s">
        <v>92</v>
      </c>
      <c r="AL294" t="s">
        <v>92</v>
      </c>
      <c r="AM294" s="12" t="s">
        <v>268</v>
      </c>
      <c r="AN294" s="12" t="s">
        <v>268</v>
      </c>
      <c r="AO294" s="12" t="s">
        <v>268</v>
      </c>
      <c r="AP294" s="12" t="s">
        <v>268</v>
      </c>
      <c r="AQ294" s="12" t="s">
        <v>268</v>
      </c>
      <c r="AR294" s="28" t="str">
        <f t="shared" ca="1" si="23"/>
        <v/>
      </c>
      <c r="AS294" s="28" t="str">
        <f t="shared" ca="1" si="24"/>
        <v/>
      </c>
    </row>
    <row r="295" spans="2:45" ht="27.6" customHeight="1">
      <c r="B295">
        <f t="shared" ca="1" si="20"/>
        <v>0</v>
      </c>
      <c r="C295" t="s">
        <v>85</v>
      </c>
      <c r="D295" t="s">
        <v>92</v>
      </c>
      <c r="E295" t="s">
        <v>92</v>
      </c>
      <c r="F295" t="s">
        <v>92</v>
      </c>
      <c r="G295" t="s">
        <v>92</v>
      </c>
      <c r="H295" t="s">
        <v>92</v>
      </c>
      <c r="I295" s="12" t="s">
        <v>268</v>
      </c>
      <c r="J295" t="s">
        <v>278</v>
      </c>
      <c r="L295" t="s">
        <v>92</v>
      </c>
      <c r="N295" s="14">
        <v>1</v>
      </c>
      <c r="P295" s="12" t="s">
        <v>268</v>
      </c>
      <c r="W295" s="9" t="str">
        <f t="shared" ca="1" si="21"/>
        <v>18.5%</v>
      </c>
      <c r="X295" t="s">
        <v>321</v>
      </c>
      <c r="Y295" s="9" t="str">
        <f t="shared" ca="1" si="22"/>
        <v>Sin costo</v>
      </c>
      <c r="Z295" t="s">
        <v>327</v>
      </c>
      <c r="AA295" t="s">
        <v>329</v>
      </c>
      <c r="AB295" t="s">
        <v>334</v>
      </c>
      <c r="AC295" s="12" t="s">
        <v>339</v>
      </c>
      <c r="AE295" t="s">
        <v>268</v>
      </c>
      <c r="AG295" s="12" t="s">
        <v>268</v>
      </c>
      <c r="AH295" t="s">
        <v>92</v>
      </c>
      <c r="AI295" s="12" t="s">
        <v>268</v>
      </c>
      <c r="AJ295" t="s">
        <v>92</v>
      </c>
      <c r="AK295" t="s">
        <v>92</v>
      </c>
      <c r="AL295" t="s">
        <v>92</v>
      </c>
      <c r="AM295" s="12" t="s">
        <v>268</v>
      </c>
      <c r="AN295" s="12" t="s">
        <v>268</v>
      </c>
      <c r="AO295" s="12" t="s">
        <v>268</v>
      </c>
      <c r="AP295" s="12" t="s">
        <v>268</v>
      </c>
      <c r="AQ295" s="12" t="s">
        <v>268</v>
      </c>
      <c r="AR295" s="28" t="str">
        <f t="shared" ca="1" si="23"/>
        <v/>
      </c>
      <c r="AS295" s="28" t="str">
        <f t="shared" ca="1" si="24"/>
        <v/>
      </c>
    </row>
    <row r="296" spans="2:45" ht="27.6" customHeight="1">
      <c r="B296">
        <f t="shared" ca="1" si="20"/>
        <v>0</v>
      </c>
      <c r="C296" t="s">
        <v>85</v>
      </c>
      <c r="D296" t="s">
        <v>92</v>
      </c>
      <c r="E296" t="s">
        <v>92</v>
      </c>
      <c r="F296" t="s">
        <v>92</v>
      </c>
      <c r="G296" t="s">
        <v>92</v>
      </c>
      <c r="H296" t="s">
        <v>92</v>
      </c>
      <c r="I296" s="12" t="s">
        <v>268</v>
      </c>
      <c r="J296" t="s">
        <v>278</v>
      </c>
      <c r="L296" t="s">
        <v>92</v>
      </c>
      <c r="N296" s="14">
        <v>1</v>
      </c>
      <c r="P296" s="12" t="s">
        <v>268</v>
      </c>
      <c r="W296" s="9" t="str">
        <f t="shared" ca="1" si="21"/>
        <v>18.5%</v>
      </c>
      <c r="X296" t="s">
        <v>321</v>
      </c>
      <c r="Y296" s="9" t="str">
        <f t="shared" ca="1" si="22"/>
        <v>Sin costo</v>
      </c>
      <c r="Z296" t="s">
        <v>327</v>
      </c>
      <c r="AA296" t="s">
        <v>329</v>
      </c>
      <c r="AB296" t="s">
        <v>334</v>
      </c>
      <c r="AC296" s="12" t="s">
        <v>339</v>
      </c>
      <c r="AE296" t="s">
        <v>268</v>
      </c>
      <c r="AG296" s="12" t="s">
        <v>268</v>
      </c>
      <c r="AH296" t="s">
        <v>92</v>
      </c>
      <c r="AI296" s="12" t="s">
        <v>268</v>
      </c>
      <c r="AJ296" t="s">
        <v>92</v>
      </c>
      <c r="AK296" t="s">
        <v>92</v>
      </c>
      <c r="AL296" t="s">
        <v>92</v>
      </c>
      <c r="AM296" s="12" t="s">
        <v>268</v>
      </c>
      <c r="AN296" s="12" t="s">
        <v>268</v>
      </c>
      <c r="AO296" s="12" t="s">
        <v>268</v>
      </c>
      <c r="AP296" s="12" t="s">
        <v>268</v>
      </c>
      <c r="AQ296" s="12" t="s">
        <v>268</v>
      </c>
      <c r="AR296" s="28" t="str">
        <f t="shared" ca="1" si="23"/>
        <v/>
      </c>
      <c r="AS296" s="28" t="str">
        <f t="shared" ca="1" si="24"/>
        <v/>
      </c>
    </row>
    <row r="297" spans="2:45" ht="27.6" customHeight="1">
      <c r="B297">
        <f t="shared" ca="1" si="20"/>
        <v>0</v>
      </c>
      <c r="C297" t="s">
        <v>85</v>
      </c>
      <c r="D297" t="s">
        <v>92</v>
      </c>
      <c r="E297" t="s">
        <v>92</v>
      </c>
      <c r="F297" t="s">
        <v>92</v>
      </c>
      <c r="G297" t="s">
        <v>92</v>
      </c>
      <c r="H297" t="s">
        <v>92</v>
      </c>
      <c r="I297" s="12" t="s">
        <v>268</v>
      </c>
      <c r="J297" t="s">
        <v>278</v>
      </c>
      <c r="L297" t="s">
        <v>92</v>
      </c>
      <c r="N297" s="14">
        <v>1</v>
      </c>
      <c r="P297" s="12" t="s">
        <v>268</v>
      </c>
      <c r="W297" s="9" t="str">
        <f t="shared" ca="1" si="21"/>
        <v>18.5%</v>
      </c>
      <c r="X297" t="s">
        <v>321</v>
      </c>
      <c r="Y297" s="9" t="str">
        <f t="shared" ca="1" si="22"/>
        <v>Sin costo</v>
      </c>
      <c r="Z297" t="s">
        <v>327</v>
      </c>
      <c r="AA297" t="s">
        <v>329</v>
      </c>
      <c r="AB297" t="s">
        <v>334</v>
      </c>
      <c r="AC297" s="12" t="s">
        <v>339</v>
      </c>
      <c r="AE297" t="s">
        <v>268</v>
      </c>
      <c r="AG297" s="12" t="s">
        <v>268</v>
      </c>
      <c r="AH297" t="s">
        <v>92</v>
      </c>
      <c r="AI297" s="12" t="s">
        <v>268</v>
      </c>
      <c r="AJ297" t="s">
        <v>92</v>
      </c>
      <c r="AK297" t="s">
        <v>92</v>
      </c>
      <c r="AL297" t="s">
        <v>92</v>
      </c>
      <c r="AM297" s="12" t="s">
        <v>268</v>
      </c>
      <c r="AN297" s="12" t="s">
        <v>268</v>
      </c>
      <c r="AO297" s="12" t="s">
        <v>268</v>
      </c>
      <c r="AP297" s="12" t="s">
        <v>268</v>
      </c>
      <c r="AQ297" s="12" t="s">
        <v>268</v>
      </c>
      <c r="AR297" s="28" t="str">
        <f t="shared" ca="1" si="23"/>
        <v/>
      </c>
      <c r="AS297" s="28" t="str">
        <f t="shared" ca="1" si="24"/>
        <v/>
      </c>
    </row>
    <row r="298" spans="2:45" ht="27.6" customHeight="1">
      <c r="B298">
        <f t="shared" ca="1" si="20"/>
        <v>0</v>
      </c>
      <c r="C298" t="s">
        <v>85</v>
      </c>
      <c r="D298" t="s">
        <v>92</v>
      </c>
      <c r="E298" t="s">
        <v>92</v>
      </c>
      <c r="F298" t="s">
        <v>92</v>
      </c>
      <c r="G298" t="s">
        <v>92</v>
      </c>
      <c r="H298" t="s">
        <v>92</v>
      </c>
      <c r="I298" s="12" t="s">
        <v>268</v>
      </c>
      <c r="J298" t="s">
        <v>278</v>
      </c>
      <c r="L298" t="s">
        <v>92</v>
      </c>
      <c r="N298" s="14">
        <v>1</v>
      </c>
      <c r="P298" s="12" t="s">
        <v>268</v>
      </c>
      <c r="W298" s="9" t="str">
        <f t="shared" ca="1" si="21"/>
        <v>18.5%</v>
      </c>
      <c r="X298" t="s">
        <v>321</v>
      </c>
      <c r="Y298" s="9" t="str">
        <f t="shared" ca="1" si="22"/>
        <v>Sin costo</v>
      </c>
      <c r="Z298" t="s">
        <v>327</v>
      </c>
      <c r="AA298" t="s">
        <v>329</v>
      </c>
      <c r="AB298" t="s">
        <v>334</v>
      </c>
      <c r="AC298" s="12" t="s">
        <v>339</v>
      </c>
      <c r="AE298" t="s">
        <v>268</v>
      </c>
      <c r="AG298" s="12" t="s">
        <v>268</v>
      </c>
      <c r="AH298" t="s">
        <v>92</v>
      </c>
      <c r="AI298" s="12" t="s">
        <v>268</v>
      </c>
      <c r="AJ298" t="s">
        <v>92</v>
      </c>
      <c r="AK298" t="s">
        <v>92</v>
      </c>
      <c r="AL298" t="s">
        <v>92</v>
      </c>
      <c r="AM298" s="12" t="s">
        <v>268</v>
      </c>
      <c r="AN298" s="12" t="s">
        <v>268</v>
      </c>
      <c r="AO298" s="12" t="s">
        <v>268</v>
      </c>
      <c r="AP298" s="12" t="s">
        <v>268</v>
      </c>
      <c r="AQ298" s="12" t="s">
        <v>268</v>
      </c>
      <c r="AR298" s="28" t="str">
        <f t="shared" ca="1" si="23"/>
        <v/>
      </c>
      <c r="AS298" s="28" t="str">
        <f t="shared" ca="1" si="24"/>
        <v/>
      </c>
    </row>
    <row r="299" spans="2:45" ht="27.6" customHeight="1">
      <c r="B299">
        <f t="shared" ca="1" si="20"/>
        <v>0</v>
      </c>
      <c r="C299" t="s">
        <v>85</v>
      </c>
      <c r="D299" t="s">
        <v>92</v>
      </c>
      <c r="E299" t="s">
        <v>92</v>
      </c>
      <c r="F299" t="s">
        <v>92</v>
      </c>
      <c r="G299" t="s">
        <v>92</v>
      </c>
      <c r="H299" t="s">
        <v>92</v>
      </c>
      <c r="I299" s="12" t="s">
        <v>268</v>
      </c>
      <c r="J299" t="s">
        <v>278</v>
      </c>
      <c r="L299" t="s">
        <v>92</v>
      </c>
      <c r="N299" s="14">
        <v>1</v>
      </c>
      <c r="P299" s="12" t="s">
        <v>268</v>
      </c>
      <c r="W299" s="9" t="str">
        <f t="shared" ca="1" si="21"/>
        <v>18.5%</v>
      </c>
      <c r="X299" t="s">
        <v>321</v>
      </c>
      <c r="Y299" s="9" t="str">
        <f t="shared" ca="1" si="22"/>
        <v>Sin costo</v>
      </c>
      <c r="Z299" t="s">
        <v>327</v>
      </c>
      <c r="AA299" t="s">
        <v>329</v>
      </c>
      <c r="AB299" t="s">
        <v>334</v>
      </c>
      <c r="AC299" s="12" t="s">
        <v>339</v>
      </c>
      <c r="AE299" t="s">
        <v>268</v>
      </c>
      <c r="AG299" s="12" t="s">
        <v>268</v>
      </c>
      <c r="AH299" t="s">
        <v>92</v>
      </c>
      <c r="AI299" s="12" t="s">
        <v>268</v>
      </c>
      <c r="AJ299" t="s">
        <v>92</v>
      </c>
      <c r="AK299" t="s">
        <v>92</v>
      </c>
      <c r="AL299" t="s">
        <v>92</v>
      </c>
      <c r="AM299" s="12" t="s">
        <v>268</v>
      </c>
      <c r="AN299" s="12" t="s">
        <v>268</v>
      </c>
      <c r="AO299" s="12" t="s">
        <v>268</v>
      </c>
      <c r="AP299" s="12" t="s">
        <v>268</v>
      </c>
      <c r="AQ299" s="12" t="s">
        <v>268</v>
      </c>
      <c r="AR299" s="28" t="str">
        <f t="shared" ca="1" si="23"/>
        <v/>
      </c>
      <c r="AS299" s="28" t="str">
        <f t="shared" ca="1" si="24"/>
        <v/>
      </c>
    </row>
    <row r="300" spans="2:45" ht="27.6" customHeight="1">
      <c r="B300">
        <f t="shared" ca="1" si="20"/>
        <v>0</v>
      </c>
      <c r="C300" t="s">
        <v>85</v>
      </c>
      <c r="D300" t="s">
        <v>92</v>
      </c>
      <c r="E300" t="s">
        <v>92</v>
      </c>
      <c r="F300" t="s">
        <v>92</v>
      </c>
      <c r="G300" t="s">
        <v>92</v>
      </c>
      <c r="H300" t="s">
        <v>92</v>
      </c>
      <c r="I300" s="12" t="s">
        <v>268</v>
      </c>
      <c r="J300" t="s">
        <v>278</v>
      </c>
      <c r="L300" t="s">
        <v>92</v>
      </c>
      <c r="N300" s="14">
        <v>1</v>
      </c>
      <c r="P300" s="12" t="s">
        <v>268</v>
      </c>
      <c r="W300" s="9" t="str">
        <f t="shared" ca="1" si="21"/>
        <v>18.5%</v>
      </c>
      <c r="X300" t="s">
        <v>321</v>
      </c>
      <c r="Y300" s="9" t="str">
        <f t="shared" ca="1" si="22"/>
        <v>Sin costo</v>
      </c>
      <c r="Z300" t="s">
        <v>327</v>
      </c>
      <c r="AA300" t="s">
        <v>329</v>
      </c>
      <c r="AB300" t="s">
        <v>334</v>
      </c>
      <c r="AC300" s="12" t="s">
        <v>339</v>
      </c>
      <c r="AE300" t="s">
        <v>268</v>
      </c>
      <c r="AG300" s="12" t="s">
        <v>268</v>
      </c>
      <c r="AH300" t="s">
        <v>92</v>
      </c>
      <c r="AI300" s="12" t="s">
        <v>268</v>
      </c>
      <c r="AJ300" t="s">
        <v>92</v>
      </c>
      <c r="AK300" t="s">
        <v>92</v>
      </c>
      <c r="AL300" t="s">
        <v>92</v>
      </c>
      <c r="AM300" s="12" t="s">
        <v>268</v>
      </c>
      <c r="AN300" s="12" t="s">
        <v>268</v>
      </c>
      <c r="AO300" s="12" t="s">
        <v>268</v>
      </c>
      <c r="AP300" s="12" t="s">
        <v>268</v>
      </c>
      <c r="AQ300" s="12" t="s">
        <v>268</v>
      </c>
      <c r="AR300" s="28" t="str">
        <f t="shared" ca="1" si="23"/>
        <v/>
      </c>
      <c r="AS300" s="28" t="str">
        <f t="shared" ca="1" si="24"/>
        <v/>
      </c>
    </row>
    <row r="301" spans="2:45" ht="27.6" customHeight="1">
      <c r="B301">
        <f t="shared" ca="1" si="20"/>
        <v>0</v>
      </c>
      <c r="C301" t="s">
        <v>85</v>
      </c>
      <c r="D301" t="s">
        <v>92</v>
      </c>
      <c r="E301" t="s">
        <v>92</v>
      </c>
      <c r="F301" t="s">
        <v>92</v>
      </c>
      <c r="G301" t="s">
        <v>92</v>
      </c>
      <c r="H301" t="s">
        <v>92</v>
      </c>
      <c r="I301" s="12" t="s">
        <v>268</v>
      </c>
      <c r="J301" t="s">
        <v>278</v>
      </c>
      <c r="L301" t="s">
        <v>92</v>
      </c>
      <c r="N301" s="14">
        <v>1</v>
      </c>
      <c r="P301" s="12" t="s">
        <v>268</v>
      </c>
      <c r="W301" s="9" t="str">
        <f t="shared" ca="1" si="21"/>
        <v>18.5%</v>
      </c>
      <c r="X301" t="s">
        <v>321</v>
      </c>
      <c r="Y301" s="9" t="str">
        <f t="shared" ca="1" si="22"/>
        <v>Sin costo</v>
      </c>
      <c r="Z301" t="s">
        <v>327</v>
      </c>
      <c r="AA301" t="s">
        <v>329</v>
      </c>
      <c r="AB301" t="s">
        <v>334</v>
      </c>
      <c r="AC301" s="12" t="s">
        <v>339</v>
      </c>
      <c r="AE301" t="s">
        <v>268</v>
      </c>
      <c r="AG301" s="12" t="s">
        <v>268</v>
      </c>
      <c r="AH301" t="s">
        <v>92</v>
      </c>
      <c r="AI301" s="12" t="s">
        <v>268</v>
      </c>
      <c r="AJ301" t="s">
        <v>92</v>
      </c>
      <c r="AK301" t="s">
        <v>92</v>
      </c>
      <c r="AL301" t="s">
        <v>92</v>
      </c>
      <c r="AM301" s="12" t="s">
        <v>268</v>
      </c>
      <c r="AN301" s="12" t="s">
        <v>268</v>
      </c>
      <c r="AO301" s="12" t="s">
        <v>268</v>
      </c>
      <c r="AP301" s="12" t="s">
        <v>268</v>
      </c>
      <c r="AQ301" s="12" t="s">
        <v>268</v>
      </c>
      <c r="AR301" s="28" t="str">
        <f t="shared" ca="1" si="23"/>
        <v/>
      </c>
      <c r="AS301" s="28" t="str">
        <f t="shared" ca="1" si="24"/>
        <v/>
      </c>
    </row>
    <row r="302" spans="2:45" ht="27.6" customHeight="1">
      <c r="B302">
        <f t="shared" ca="1" si="20"/>
        <v>0</v>
      </c>
      <c r="C302" t="s">
        <v>85</v>
      </c>
      <c r="D302" t="s">
        <v>92</v>
      </c>
      <c r="E302" t="s">
        <v>92</v>
      </c>
      <c r="F302" t="s">
        <v>92</v>
      </c>
      <c r="G302" t="s">
        <v>92</v>
      </c>
      <c r="H302" t="s">
        <v>92</v>
      </c>
      <c r="I302" s="12" t="s">
        <v>268</v>
      </c>
      <c r="J302" t="s">
        <v>278</v>
      </c>
      <c r="L302" t="s">
        <v>92</v>
      </c>
      <c r="N302" s="14">
        <v>1</v>
      </c>
      <c r="P302" s="12" t="s">
        <v>268</v>
      </c>
      <c r="W302" s="9" t="str">
        <f t="shared" ca="1" si="21"/>
        <v>18.5%</v>
      </c>
      <c r="X302" t="s">
        <v>321</v>
      </c>
      <c r="Y302" s="9" t="str">
        <f t="shared" ca="1" si="22"/>
        <v>Sin costo</v>
      </c>
      <c r="Z302" t="s">
        <v>327</v>
      </c>
      <c r="AA302" t="s">
        <v>329</v>
      </c>
      <c r="AB302" t="s">
        <v>334</v>
      </c>
      <c r="AC302" s="12" t="s">
        <v>339</v>
      </c>
      <c r="AE302" t="s">
        <v>268</v>
      </c>
      <c r="AG302" s="12" t="s">
        <v>268</v>
      </c>
      <c r="AH302" t="s">
        <v>92</v>
      </c>
      <c r="AI302" s="12" t="s">
        <v>268</v>
      </c>
      <c r="AJ302" t="s">
        <v>92</v>
      </c>
      <c r="AK302" t="s">
        <v>92</v>
      </c>
      <c r="AL302" t="s">
        <v>92</v>
      </c>
      <c r="AM302" s="12" t="s">
        <v>268</v>
      </c>
      <c r="AN302" s="12" t="s">
        <v>268</v>
      </c>
      <c r="AO302" s="12" t="s">
        <v>268</v>
      </c>
      <c r="AP302" s="12" t="s">
        <v>268</v>
      </c>
      <c r="AQ302" s="12" t="s">
        <v>268</v>
      </c>
      <c r="AR302" s="28" t="str">
        <f t="shared" ca="1" si="23"/>
        <v/>
      </c>
      <c r="AS302" s="28" t="str">
        <f t="shared" ca="1" si="24"/>
        <v/>
      </c>
    </row>
    <row r="303" spans="2:45" ht="27.6" customHeight="1">
      <c r="B303">
        <f t="shared" ca="1" si="20"/>
        <v>0</v>
      </c>
      <c r="C303" t="s">
        <v>85</v>
      </c>
      <c r="D303" t="s">
        <v>92</v>
      </c>
      <c r="E303" t="s">
        <v>92</v>
      </c>
      <c r="F303" t="s">
        <v>92</v>
      </c>
      <c r="G303" t="s">
        <v>92</v>
      </c>
      <c r="H303" t="s">
        <v>92</v>
      </c>
      <c r="I303" s="12" t="s">
        <v>268</v>
      </c>
      <c r="J303" t="s">
        <v>278</v>
      </c>
      <c r="L303" t="s">
        <v>92</v>
      </c>
      <c r="N303" s="14">
        <v>1</v>
      </c>
      <c r="P303" s="12" t="s">
        <v>268</v>
      </c>
      <c r="W303" s="9" t="str">
        <f t="shared" ca="1" si="21"/>
        <v>18.5%</v>
      </c>
      <c r="X303" t="s">
        <v>321</v>
      </c>
      <c r="Y303" s="9" t="str">
        <f t="shared" ca="1" si="22"/>
        <v>Sin costo</v>
      </c>
      <c r="Z303" t="s">
        <v>327</v>
      </c>
      <c r="AA303" t="s">
        <v>329</v>
      </c>
      <c r="AB303" t="s">
        <v>334</v>
      </c>
      <c r="AC303" s="12" t="s">
        <v>339</v>
      </c>
      <c r="AE303" t="s">
        <v>268</v>
      </c>
      <c r="AG303" s="12" t="s">
        <v>268</v>
      </c>
      <c r="AH303" t="s">
        <v>92</v>
      </c>
      <c r="AI303" s="12" t="s">
        <v>268</v>
      </c>
      <c r="AJ303" t="s">
        <v>92</v>
      </c>
      <c r="AK303" t="s">
        <v>92</v>
      </c>
      <c r="AL303" t="s">
        <v>92</v>
      </c>
      <c r="AM303" s="12" t="s">
        <v>268</v>
      </c>
      <c r="AN303" s="12" t="s">
        <v>268</v>
      </c>
      <c r="AO303" s="12" t="s">
        <v>268</v>
      </c>
      <c r="AP303" s="12" t="s">
        <v>268</v>
      </c>
      <c r="AQ303" s="12" t="s">
        <v>268</v>
      </c>
      <c r="AR303" s="28" t="str">
        <f t="shared" ca="1" si="23"/>
        <v/>
      </c>
      <c r="AS303" s="28" t="str">
        <f t="shared" ca="1" si="24"/>
        <v/>
      </c>
    </row>
    <row r="304" spans="2:45" ht="27.6" customHeight="1">
      <c r="B304">
        <f t="shared" ca="1" si="20"/>
        <v>0</v>
      </c>
      <c r="C304" t="s">
        <v>85</v>
      </c>
      <c r="D304" t="s">
        <v>92</v>
      </c>
      <c r="E304" t="s">
        <v>92</v>
      </c>
      <c r="F304" t="s">
        <v>92</v>
      </c>
      <c r="G304" t="s">
        <v>92</v>
      </c>
      <c r="H304" t="s">
        <v>92</v>
      </c>
      <c r="I304" s="12" t="s">
        <v>268</v>
      </c>
      <c r="J304" t="s">
        <v>278</v>
      </c>
      <c r="L304" t="s">
        <v>92</v>
      </c>
      <c r="N304" s="14">
        <v>1</v>
      </c>
      <c r="P304" s="12" t="s">
        <v>268</v>
      </c>
      <c r="W304" s="9" t="str">
        <f t="shared" ca="1" si="21"/>
        <v>18.5%</v>
      </c>
      <c r="X304" t="s">
        <v>321</v>
      </c>
      <c r="Y304" s="9" t="str">
        <f t="shared" ca="1" si="22"/>
        <v>Sin costo</v>
      </c>
      <c r="Z304" t="s">
        <v>327</v>
      </c>
      <c r="AA304" t="s">
        <v>329</v>
      </c>
      <c r="AB304" t="s">
        <v>334</v>
      </c>
      <c r="AC304" s="12" t="s">
        <v>339</v>
      </c>
      <c r="AE304" t="s">
        <v>268</v>
      </c>
      <c r="AG304" s="12" t="s">
        <v>268</v>
      </c>
      <c r="AH304" t="s">
        <v>92</v>
      </c>
      <c r="AI304" s="12" t="s">
        <v>268</v>
      </c>
      <c r="AJ304" t="s">
        <v>92</v>
      </c>
      <c r="AK304" t="s">
        <v>92</v>
      </c>
      <c r="AL304" t="s">
        <v>92</v>
      </c>
      <c r="AM304" s="12" t="s">
        <v>268</v>
      </c>
      <c r="AN304" s="12" t="s">
        <v>268</v>
      </c>
      <c r="AO304" s="12" t="s">
        <v>268</v>
      </c>
      <c r="AP304" s="12" t="s">
        <v>268</v>
      </c>
      <c r="AQ304" s="12" t="s">
        <v>268</v>
      </c>
      <c r="AR304" s="28" t="str">
        <f t="shared" ca="1" si="23"/>
        <v/>
      </c>
      <c r="AS304" s="28" t="str">
        <f t="shared" ca="1" si="24"/>
        <v/>
      </c>
    </row>
    <row r="305" spans="2:45" ht="27.6" customHeight="1">
      <c r="B305">
        <f t="shared" ca="1" si="20"/>
        <v>0</v>
      </c>
      <c r="C305" t="s">
        <v>85</v>
      </c>
      <c r="D305" t="s">
        <v>92</v>
      </c>
      <c r="E305" t="s">
        <v>92</v>
      </c>
      <c r="F305" t="s">
        <v>92</v>
      </c>
      <c r="G305" t="s">
        <v>92</v>
      </c>
      <c r="H305" t="s">
        <v>92</v>
      </c>
      <c r="I305" s="12" t="s">
        <v>268</v>
      </c>
      <c r="J305" t="s">
        <v>278</v>
      </c>
      <c r="L305" t="s">
        <v>92</v>
      </c>
      <c r="N305" s="14">
        <v>1</v>
      </c>
      <c r="P305" s="12" t="s">
        <v>268</v>
      </c>
      <c r="W305" s="9" t="str">
        <f t="shared" ca="1" si="21"/>
        <v>18.5%</v>
      </c>
      <c r="X305" t="s">
        <v>321</v>
      </c>
      <c r="Y305" s="9" t="str">
        <f t="shared" ca="1" si="22"/>
        <v>Sin costo</v>
      </c>
      <c r="Z305" t="s">
        <v>327</v>
      </c>
      <c r="AA305" t="s">
        <v>329</v>
      </c>
      <c r="AB305" t="s">
        <v>334</v>
      </c>
      <c r="AC305" s="12" t="s">
        <v>339</v>
      </c>
      <c r="AE305" t="s">
        <v>268</v>
      </c>
      <c r="AG305" s="12" t="s">
        <v>268</v>
      </c>
      <c r="AH305" t="s">
        <v>92</v>
      </c>
      <c r="AI305" s="12" t="s">
        <v>268</v>
      </c>
      <c r="AJ305" t="s">
        <v>92</v>
      </c>
      <c r="AK305" t="s">
        <v>92</v>
      </c>
      <c r="AL305" t="s">
        <v>92</v>
      </c>
      <c r="AM305" s="12" t="s">
        <v>268</v>
      </c>
      <c r="AN305" s="12" t="s">
        <v>268</v>
      </c>
      <c r="AO305" s="12" t="s">
        <v>268</v>
      </c>
      <c r="AP305" s="12" t="s">
        <v>268</v>
      </c>
      <c r="AQ305" s="12" t="s">
        <v>268</v>
      </c>
      <c r="AR305" s="28" t="str">
        <f t="shared" ca="1" si="23"/>
        <v/>
      </c>
      <c r="AS305" s="28" t="str">
        <f t="shared" ca="1" si="24"/>
        <v/>
      </c>
    </row>
    <row r="306" spans="2:45" ht="27.6" customHeight="1">
      <c r="B306">
        <f t="shared" ca="1" si="20"/>
        <v>0</v>
      </c>
      <c r="C306" t="s">
        <v>85</v>
      </c>
      <c r="D306" t="s">
        <v>92</v>
      </c>
      <c r="E306" t="s">
        <v>92</v>
      </c>
      <c r="F306" t="s">
        <v>92</v>
      </c>
      <c r="G306" t="s">
        <v>92</v>
      </c>
      <c r="H306" t="s">
        <v>92</v>
      </c>
      <c r="I306" s="12" t="s">
        <v>268</v>
      </c>
      <c r="J306" t="s">
        <v>278</v>
      </c>
      <c r="L306" t="s">
        <v>92</v>
      </c>
      <c r="N306" s="14">
        <v>1</v>
      </c>
      <c r="P306" s="12" t="s">
        <v>268</v>
      </c>
      <c r="W306" s="9" t="str">
        <f t="shared" ca="1" si="21"/>
        <v>18.5%</v>
      </c>
      <c r="X306" t="s">
        <v>321</v>
      </c>
      <c r="Y306" s="9" t="str">
        <f t="shared" ca="1" si="22"/>
        <v>Sin costo</v>
      </c>
      <c r="Z306" t="s">
        <v>327</v>
      </c>
      <c r="AA306" t="s">
        <v>329</v>
      </c>
      <c r="AB306" t="s">
        <v>334</v>
      </c>
      <c r="AC306" s="12" t="s">
        <v>339</v>
      </c>
      <c r="AE306" t="s">
        <v>268</v>
      </c>
      <c r="AG306" s="12" t="s">
        <v>268</v>
      </c>
      <c r="AH306" t="s">
        <v>92</v>
      </c>
      <c r="AI306" s="12" t="s">
        <v>268</v>
      </c>
      <c r="AJ306" t="s">
        <v>92</v>
      </c>
      <c r="AK306" t="s">
        <v>92</v>
      </c>
      <c r="AL306" t="s">
        <v>92</v>
      </c>
      <c r="AM306" s="12" t="s">
        <v>268</v>
      </c>
      <c r="AN306" s="12" t="s">
        <v>268</v>
      </c>
      <c r="AO306" s="12" t="s">
        <v>268</v>
      </c>
      <c r="AP306" s="12" t="s">
        <v>268</v>
      </c>
      <c r="AQ306" s="12" t="s">
        <v>268</v>
      </c>
      <c r="AR306" s="28" t="str">
        <f t="shared" ca="1" si="23"/>
        <v/>
      </c>
      <c r="AS306" s="28" t="str">
        <f t="shared" ca="1" si="24"/>
        <v/>
      </c>
    </row>
    <row r="307" spans="2:45" ht="27.6" customHeight="1">
      <c r="B307">
        <f t="shared" ca="1" si="20"/>
        <v>0</v>
      </c>
      <c r="C307" t="s">
        <v>85</v>
      </c>
      <c r="D307" t="s">
        <v>92</v>
      </c>
      <c r="E307" t="s">
        <v>92</v>
      </c>
      <c r="F307" t="s">
        <v>92</v>
      </c>
      <c r="G307" t="s">
        <v>92</v>
      </c>
      <c r="H307" t="s">
        <v>92</v>
      </c>
      <c r="I307" s="12" t="s">
        <v>268</v>
      </c>
      <c r="J307" t="s">
        <v>278</v>
      </c>
      <c r="L307" t="s">
        <v>92</v>
      </c>
      <c r="N307" s="14">
        <v>1</v>
      </c>
      <c r="P307" s="12" t="s">
        <v>268</v>
      </c>
      <c r="W307" s="9" t="str">
        <f t="shared" ca="1" si="21"/>
        <v>18.5%</v>
      </c>
      <c r="X307" t="s">
        <v>321</v>
      </c>
      <c r="Y307" s="9" t="str">
        <f t="shared" ca="1" si="22"/>
        <v>Sin costo</v>
      </c>
      <c r="Z307" t="s">
        <v>327</v>
      </c>
      <c r="AA307" t="s">
        <v>329</v>
      </c>
      <c r="AB307" t="s">
        <v>334</v>
      </c>
      <c r="AC307" s="12" t="s">
        <v>339</v>
      </c>
      <c r="AE307" t="s">
        <v>268</v>
      </c>
      <c r="AG307" s="12" t="s">
        <v>268</v>
      </c>
      <c r="AH307" t="s">
        <v>92</v>
      </c>
      <c r="AI307" s="12" t="s">
        <v>268</v>
      </c>
      <c r="AJ307" t="s">
        <v>92</v>
      </c>
      <c r="AK307" t="s">
        <v>92</v>
      </c>
      <c r="AL307" t="s">
        <v>92</v>
      </c>
      <c r="AM307" s="12" t="s">
        <v>268</v>
      </c>
      <c r="AN307" s="12" t="s">
        <v>268</v>
      </c>
      <c r="AO307" s="12" t="s">
        <v>268</v>
      </c>
      <c r="AP307" s="12" t="s">
        <v>268</v>
      </c>
      <c r="AQ307" s="12" t="s">
        <v>268</v>
      </c>
      <c r="AR307" s="28" t="str">
        <f t="shared" ca="1" si="23"/>
        <v/>
      </c>
      <c r="AS307" s="28" t="str">
        <f t="shared" ca="1" si="24"/>
        <v/>
      </c>
    </row>
    <row r="308" spans="2:45" ht="27.6" customHeight="1">
      <c r="B308">
        <f t="shared" ca="1" si="20"/>
        <v>0</v>
      </c>
      <c r="C308" t="s">
        <v>85</v>
      </c>
      <c r="D308" t="s">
        <v>92</v>
      </c>
      <c r="E308" t="s">
        <v>92</v>
      </c>
      <c r="F308" t="s">
        <v>92</v>
      </c>
      <c r="G308" t="s">
        <v>92</v>
      </c>
      <c r="H308" t="s">
        <v>92</v>
      </c>
      <c r="I308" s="12" t="s">
        <v>268</v>
      </c>
      <c r="J308" t="s">
        <v>278</v>
      </c>
      <c r="L308" t="s">
        <v>92</v>
      </c>
      <c r="N308" s="14">
        <v>1</v>
      </c>
      <c r="P308" s="12" t="s">
        <v>268</v>
      </c>
      <c r="W308" s="9" t="str">
        <f t="shared" ca="1" si="21"/>
        <v>18.5%</v>
      </c>
      <c r="X308" t="s">
        <v>321</v>
      </c>
      <c r="Y308" s="9" t="str">
        <f t="shared" ca="1" si="22"/>
        <v>Sin costo</v>
      </c>
      <c r="Z308" t="s">
        <v>327</v>
      </c>
      <c r="AA308" t="s">
        <v>329</v>
      </c>
      <c r="AB308" t="s">
        <v>334</v>
      </c>
      <c r="AC308" s="12" t="s">
        <v>339</v>
      </c>
      <c r="AE308" t="s">
        <v>268</v>
      </c>
      <c r="AG308" s="12" t="s">
        <v>268</v>
      </c>
      <c r="AH308" t="s">
        <v>92</v>
      </c>
      <c r="AI308" s="12" t="s">
        <v>268</v>
      </c>
      <c r="AJ308" t="s">
        <v>92</v>
      </c>
      <c r="AK308" t="s">
        <v>92</v>
      </c>
      <c r="AL308" t="s">
        <v>92</v>
      </c>
      <c r="AM308" s="12" t="s">
        <v>268</v>
      </c>
      <c r="AN308" s="12" t="s">
        <v>268</v>
      </c>
      <c r="AO308" s="12" t="s">
        <v>268</v>
      </c>
      <c r="AP308" s="12" t="s">
        <v>268</v>
      </c>
      <c r="AQ308" s="12" t="s">
        <v>268</v>
      </c>
      <c r="AR308" s="28" t="str">
        <f t="shared" ca="1" si="23"/>
        <v/>
      </c>
      <c r="AS308" s="28" t="str">
        <f t="shared" ca="1" si="24"/>
        <v/>
      </c>
    </row>
    <row r="309" spans="2:45" ht="27.6" customHeight="1">
      <c r="B309">
        <f t="shared" ca="1" si="20"/>
        <v>0</v>
      </c>
      <c r="C309" t="s">
        <v>85</v>
      </c>
      <c r="D309" t="s">
        <v>92</v>
      </c>
      <c r="E309" t="s">
        <v>92</v>
      </c>
      <c r="F309" t="s">
        <v>92</v>
      </c>
      <c r="G309" t="s">
        <v>92</v>
      </c>
      <c r="H309" t="s">
        <v>92</v>
      </c>
      <c r="I309" s="12" t="s">
        <v>268</v>
      </c>
      <c r="J309" t="s">
        <v>278</v>
      </c>
      <c r="L309" t="s">
        <v>92</v>
      </c>
      <c r="N309" s="14">
        <v>1</v>
      </c>
      <c r="P309" s="12" t="s">
        <v>268</v>
      </c>
      <c r="W309" s="9" t="str">
        <f t="shared" ca="1" si="21"/>
        <v>18.5%</v>
      </c>
      <c r="X309" t="s">
        <v>321</v>
      </c>
      <c r="Y309" s="9" t="str">
        <f t="shared" ca="1" si="22"/>
        <v>Sin costo</v>
      </c>
      <c r="Z309" t="s">
        <v>327</v>
      </c>
      <c r="AA309" t="s">
        <v>329</v>
      </c>
      <c r="AB309" t="s">
        <v>334</v>
      </c>
      <c r="AC309" s="12" t="s">
        <v>339</v>
      </c>
      <c r="AE309" t="s">
        <v>268</v>
      </c>
      <c r="AG309" s="12" t="s">
        <v>268</v>
      </c>
      <c r="AH309" t="s">
        <v>92</v>
      </c>
      <c r="AI309" s="12" t="s">
        <v>268</v>
      </c>
      <c r="AJ309" t="s">
        <v>92</v>
      </c>
      <c r="AK309" t="s">
        <v>92</v>
      </c>
      <c r="AL309" t="s">
        <v>92</v>
      </c>
      <c r="AM309" s="12" t="s">
        <v>268</v>
      </c>
      <c r="AN309" s="12" t="s">
        <v>268</v>
      </c>
      <c r="AO309" s="12" t="s">
        <v>268</v>
      </c>
      <c r="AP309" s="12" t="s">
        <v>268</v>
      </c>
      <c r="AQ309" s="12" t="s">
        <v>268</v>
      </c>
      <c r="AR309" s="28" t="str">
        <f t="shared" ca="1" si="23"/>
        <v/>
      </c>
      <c r="AS309" s="28" t="str">
        <f t="shared" ca="1" si="24"/>
        <v/>
      </c>
    </row>
    <row r="310" spans="2:45" ht="27.6" customHeight="1">
      <c r="B310">
        <f t="shared" ca="1" si="20"/>
        <v>0</v>
      </c>
      <c r="C310" t="s">
        <v>85</v>
      </c>
      <c r="D310" t="s">
        <v>92</v>
      </c>
      <c r="E310" t="s">
        <v>92</v>
      </c>
      <c r="F310" t="s">
        <v>92</v>
      </c>
      <c r="G310" t="s">
        <v>92</v>
      </c>
      <c r="H310" t="s">
        <v>92</v>
      </c>
      <c r="I310" s="12" t="s">
        <v>268</v>
      </c>
      <c r="J310" t="s">
        <v>278</v>
      </c>
      <c r="L310" t="s">
        <v>92</v>
      </c>
      <c r="N310" s="14">
        <v>1</v>
      </c>
      <c r="P310" s="12" t="s">
        <v>268</v>
      </c>
      <c r="W310" s="9" t="str">
        <f t="shared" ca="1" si="21"/>
        <v>18.5%</v>
      </c>
      <c r="X310" t="s">
        <v>321</v>
      </c>
      <c r="Y310" s="9" t="str">
        <f t="shared" ca="1" si="22"/>
        <v>Sin costo</v>
      </c>
      <c r="Z310" t="s">
        <v>327</v>
      </c>
      <c r="AA310" t="s">
        <v>329</v>
      </c>
      <c r="AB310" t="s">
        <v>334</v>
      </c>
      <c r="AC310" s="12" t="s">
        <v>339</v>
      </c>
      <c r="AE310" t="s">
        <v>268</v>
      </c>
      <c r="AG310" s="12" t="s">
        <v>268</v>
      </c>
      <c r="AH310" t="s">
        <v>92</v>
      </c>
      <c r="AI310" s="12" t="s">
        <v>268</v>
      </c>
      <c r="AJ310" t="s">
        <v>92</v>
      </c>
      <c r="AK310" t="s">
        <v>92</v>
      </c>
      <c r="AL310" t="s">
        <v>92</v>
      </c>
      <c r="AM310" s="12" t="s">
        <v>268</v>
      </c>
      <c r="AN310" s="12" t="s">
        <v>268</v>
      </c>
      <c r="AO310" s="12" t="s">
        <v>268</v>
      </c>
      <c r="AP310" s="12" t="s">
        <v>268</v>
      </c>
      <c r="AQ310" s="12" t="s">
        <v>268</v>
      </c>
      <c r="AR310" s="28" t="str">
        <f t="shared" ca="1" si="23"/>
        <v/>
      </c>
      <c r="AS310" s="28" t="str">
        <f t="shared" ca="1" si="24"/>
        <v/>
      </c>
    </row>
    <row r="311" spans="2:45" ht="27.6" customHeight="1">
      <c r="B311">
        <f t="shared" ca="1" si="20"/>
        <v>0</v>
      </c>
      <c r="C311" t="s">
        <v>85</v>
      </c>
      <c r="D311" t="s">
        <v>92</v>
      </c>
      <c r="E311" t="s">
        <v>92</v>
      </c>
      <c r="F311" t="s">
        <v>92</v>
      </c>
      <c r="G311" t="s">
        <v>92</v>
      </c>
      <c r="H311" t="s">
        <v>92</v>
      </c>
      <c r="I311" s="12" t="s">
        <v>268</v>
      </c>
      <c r="J311" t="s">
        <v>278</v>
      </c>
      <c r="L311" t="s">
        <v>92</v>
      </c>
      <c r="N311" s="14">
        <v>1</v>
      </c>
      <c r="P311" s="12" t="s">
        <v>268</v>
      </c>
      <c r="W311" s="9" t="str">
        <f t="shared" ca="1" si="21"/>
        <v>18.5%</v>
      </c>
      <c r="X311" t="s">
        <v>321</v>
      </c>
      <c r="Y311" s="9" t="str">
        <f t="shared" ca="1" si="22"/>
        <v>Sin costo</v>
      </c>
      <c r="Z311" t="s">
        <v>327</v>
      </c>
      <c r="AA311" t="s">
        <v>329</v>
      </c>
      <c r="AB311" t="s">
        <v>334</v>
      </c>
      <c r="AC311" s="12" t="s">
        <v>339</v>
      </c>
      <c r="AE311" t="s">
        <v>268</v>
      </c>
      <c r="AG311" s="12" t="s">
        <v>268</v>
      </c>
      <c r="AH311" t="s">
        <v>92</v>
      </c>
      <c r="AI311" s="12" t="s">
        <v>268</v>
      </c>
      <c r="AJ311" t="s">
        <v>92</v>
      </c>
      <c r="AK311" t="s">
        <v>92</v>
      </c>
      <c r="AL311" t="s">
        <v>92</v>
      </c>
      <c r="AM311" s="12" t="s">
        <v>268</v>
      </c>
      <c r="AN311" s="12" t="s">
        <v>268</v>
      </c>
      <c r="AO311" s="12" t="s">
        <v>268</v>
      </c>
      <c r="AP311" s="12" t="s">
        <v>268</v>
      </c>
      <c r="AQ311" s="12" t="s">
        <v>268</v>
      </c>
      <c r="AR311" s="28" t="str">
        <f t="shared" ca="1" si="23"/>
        <v/>
      </c>
      <c r="AS311" s="28" t="str">
        <f t="shared" ca="1" si="24"/>
        <v/>
      </c>
    </row>
    <row r="312" spans="2:45" ht="27.6" customHeight="1">
      <c r="B312">
        <f t="shared" ca="1" si="20"/>
        <v>0</v>
      </c>
      <c r="C312" t="s">
        <v>85</v>
      </c>
      <c r="D312" t="s">
        <v>92</v>
      </c>
      <c r="E312" t="s">
        <v>92</v>
      </c>
      <c r="F312" t="s">
        <v>92</v>
      </c>
      <c r="G312" t="s">
        <v>92</v>
      </c>
      <c r="H312" t="s">
        <v>92</v>
      </c>
      <c r="I312" s="12" t="s">
        <v>268</v>
      </c>
      <c r="J312" t="s">
        <v>278</v>
      </c>
      <c r="L312" t="s">
        <v>92</v>
      </c>
      <c r="N312" s="14">
        <v>1</v>
      </c>
      <c r="P312" s="12" t="s">
        <v>268</v>
      </c>
      <c r="W312" s="9" t="str">
        <f t="shared" ca="1" si="21"/>
        <v>18.5%</v>
      </c>
      <c r="X312" t="s">
        <v>321</v>
      </c>
      <c r="Y312" s="9" t="str">
        <f t="shared" ca="1" si="22"/>
        <v>Sin costo</v>
      </c>
      <c r="Z312" t="s">
        <v>327</v>
      </c>
      <c r="AA312" t="s">
        <v>329</v>
      </c>
      <c r="AB312" t="s">
        <v>334</v>
      </c>
      <c r="AC312" s="12" t="s">
        <v>339</v>
      </c>
      <c r="AE312" t="s">
        <v>268</v>
      </c>
      <c r="AG312" s="12" t="s">
        <v>268</v>
      </c>
      <c r="AH312" t="s">
        <v>92</v>
      </c>
      <c r="AI312" s="12" t="s">
        <v>268</v>
      </c>
      <c r="AJ312" t="s">
        <v>92</v>
      </c>
      <c r="AK312" t="s">
        <v>92</v>
      </c>
      <c r="AL312" t="s">
        <v>92</v>
      </c>
      <c r="AM312" s="12" t="s">
        <v>268</v>
      </c>
      <c r="AN312" s="12" t="s">
        <v>268</v>
      </c>
      <c r="AO312" s="12" t="s">
        <v>268</v>
      </c>
      <c r="AP312" s="12" t="s">
        <v>268</v>
      </c>
      <c r="AQ312" s="12" t="s">
        <v>268</v>
      </c>
      <c r="AR312" s="28" t="str">
        <f t="shared" ca="1" si="23"/>
        <v/>
      </c>
      <c r="AS312" s="28" t="str">
        <f t="shared" ca="1" si="24"/>
        <v/>
      </c>
    </row>
    <row r="313" spans="2:45" ht="27.6" customHeight="1">
      <c r="B313">
        <f t="shared" ca="1" si="20"/>
        <v>0</v>
      </c>
      <c r="C313" t="s">
        <v>85</v>
      </c>
      <c r="D313" t="s">
        <v>92</v>
      </c>
      <c r="E313" t="s">
        <v>92</v>
      </c>
      <c r="F313" t="s">
        <v>92</v>
      </c>
      <c r="G313" t="s">
        <v>92</v>
      </c>
      <c r="H313" t="s">
        <v>92</v>
      </c>
      <c r="I313" s="12" t="s">
        <v>268</v>
      </c>
      <c r="J313" t="s">
        <v>278</v>
      </c>
      <c r="L313" t="s">
        <v>92</v>
      </c>
      <c r="N313" s="14">
        <v>1</v>
      </c>
      <c r="P313" s="12" t="s">
        <v>268</v>
      </c>
      <c r="W313" s="9" t="str">
        <f t="shared" ca="1" si="21"/>
        <v>18.5%</v>
      </c>
      <c r="X313" t="s">
        <v>321</v>
      </c>
      <c r="Y313" s="9" t="str">
        <f t="shared" ca="1" si="22"/>
        <v>Sin costo</v>
      </c>
      <c r="Z313" t="s">
        <v>327</v>
      </c>
      <c r="AA313" t="s">
        <v>329</v>
      </c>
      <c r="AB313" t="s">
        <v>334</v>
      </c>
      <c r="AC313" s="12" t="s">
        <v>339</v>
      </c>
      <c r="AE313" t="s">
        <v>268</v>
      </c>
      <c r="AG313" s="12" t="s">
        <v>268</v>
      </c>
      <c r="AH313" t="s">
        <v>92</v>
      </c>
      <c r="AI313" s="12" t="s">
        <v>268</v>
      </c>
      <c r="AJ313" t="s">
        <v>92</v>
      </c>
      <c r="AK313" t="s">
        <v>92</v>
      </c>
      <c r="AL313" t="s">
        <v>92</v>
      </c>
      <c r="AM313" s="12" t="s">
        <v>268</v>
      </c>
      <c r="AN313" s="12" t="s">
        <v>268</v>
      </c>
      <c r="AO313" s="12" t="s">
        <v>268</v>
      </c>
      <c r="AP313" s="12" t="s">
        <v>268</v>
      </c>
      <c r="AQ313" s="12" t="s">
        <v>268</v>
      </c>
      <c r="AR313" s="28" t="str">
        <f t="shared" ca="1" si="23"/>
        <v/>
      </c>
      <c r="AS313" s="28" t="str">
        <f t="shared" ca="1" si="24"/>
        <v/>
      </c>
    </row>
    <row r="314" spans="2:45" ht="27.6" customHeight="1">
      <c r="B314">
        <f t="shared" ca="1" si="20"/>
        <v>0</v>
      </c>
      <c r="C314" t="s">
        <v>85</v>
      </c>
      <c r="D314" t="s">
        <v>92</v>
      </c>
      <c r="E314" t="s">
        <v>92</v>
      </c>
      <c r="F314" t="s">
        <v>92</v>
      </c>
      <c r="G314" t="s">
        <v>92</v>
      </c>
      <c r="H314" t="s">
        <v>92</v>
      </c>
      <c r="I314" s="12" t="s">
        <v>268</v>
      </c>
      <c r="J314" t="s">
        <v>278</v>
      </c>
      <c r="L314" t="s">
        <v>92</v>
      </c>
      <c r="N314" s="14">
        <v>1</v>
      </c>
      <c r="P314" s="12" t="s">
        <v>268</v>
      </c>
      <c r="W314" s="9" t="str">
        <f t="shared" ca="1" si="21"/>
        <v>18.5%</v>
      </c>
      <c r="X314" t="s">
        <v>321</v>
      </c>
      <c r="Y314" s="9" t="str">
        <f t="shared" ca="1" si="22"/>
        <v>Sin costo</v>
      </c>
      <c r="Z314" t="s">
        <v>327</v>
      </c>
      <c r="AA314" t="s">
        <v>329</v>
      </c>
      <c r="AB314" t="s">
        <v>334</v>
      </c>
      <c r="AC314" s="12" t="s">
        <v>339</v>
      </c>
      <c r="AE314" t="s">
        <v>268</v>
      </c>
      <c r="AG314" s="12" t="s">
        <v>268</v>
      </c>
      <c r="AH314" t="s">
        <v>92</v>
      </c>
      <c r="AI314" s="12" t="s">
        <v>268</v>
      </c>
      <c r="AJ314" t="s">
        <v>92</v>
      </c>
      <c r="AK314" t="s">
        <v>92</v>
      </c>
      <c r="AL314" t="s">
        <v>92</v>
      </c>
      <c r="AM314" s="12" t="s">
        <v>268</v>
      </c>
      <c r="AN314" s="12" t="s">
        <v>268</v>
      </c>
      <c r="AO314" s="12" t="s">
        <v>268</v>
      </c>
      <c r="AP314" s="12" t="s">
        <v>268</v>
      </c>
      <c r="AQ314" s="12" t="s">
        <v>268</v>
      </c>
      <c r="AR314" s="28" t="str">
        <f t="shared" ca="1" si="23"/>
        <v/>
      </c>
      <c r="AS314" s="28" t="str">
        <f t="shared" ca="1" si="24"/>
        <v/>
      </c>
    </row>
    <row r="315" spans="2:45" ht="27.6" customHeight="1">
      <c r="B315">
        <f t="shared" ca="1" si="20"/>
        <v>0</v>
      </c>
      <c r="C315" t="s">
        <v>85</v>
      </c>
      <c r="D315" t="s">
        <v>92</v>
      </c>
      <c r="E315" t="s">
        <v>92</v>
      </c>
      <c r="F315" t="s">
        <v>92</v>
      </c>
      <c r="G315" t="s">
        <v>92</v>
      </c>
      <c r="H315" t="s">
        <v>92</v>
      </c>
      <c r="I315" s="12" t="s">
        <v>268</v>
      </c>
      <c r="J315" t="s">
        <v>278</v>
      </c>
      <c r="L315" t="s">
        <v>92</v>
      </c>
      <c r="N315" s="14">
        <v>1</v>
      </c>
      <c r="P315" s="12" t="s">
        <v>268</v>
      </c>
      <c r="W315" s="9" t="str">
        <f t="shared" ca="1" si="21"/>
        <v>18.5%</v>
      </c>
      <c r="X315" t="s">
        <v>321</v>
      </c>
      <c r="Y315" s="9" t="str">
        <f t="shared" ca="1" si="22"/>
        <v>Sin costo</v>
      </c>
      <c r="Z315" t="s">
        <v>327</v>
      </c>
      <c r="AA315" t="s">
        <v>329</v>
      </c>
      <c r="AB315" t="s">
        <v>334</v>
      </c>
      <c r="AC315" s="12" t="s">
        <v>339</v>
      </c>
      <c r="AE315" t="s">
        <v>268</v>
      </c>
      <c r="AG315" s="12" t="s">
        <v>268</v>
      </c>
      <c r="AH315" t="s">
        <v>92</v>
      </c>
      <c r="AI315" s="12" t="s">
        <v>268</v>
      </c>
      <c r="AJ315" t="s">
        <v>92</v>
      </c>
      <c r="AK315" t="s">
        <v>92</v>
      </c>
      <c r="AL315" t="s">
        <v>92</v>
      </c>
      <c r="AM315" s="12" t="s">
        <v>268</v>
      </c>
      <c r="AN315" s="12" t="s">
        <v>268</v>
      </c>
      <c r="AO315" s="12" t="s">
        <v>268</v>
      </c>
      <c r="AP315" s="12" t="s">
        <v>268</v>
      </c>
      <c r="AQ315" s="12" t="s">
        <v>268</v>
      </c>
      <c r="AR315" s="28" t="str">
        <f t="shared" ca="1" si="23"/>
        <v/>
      </c>
      <c r="AS315" s="28" t="str">
        <f t="shared" ca="1" si="24"/>
        <v/>
      </c>
    </row>
    <row r="316" spans="2:45" ht="27.6" customHeight="1">
      <c r="B316">
        <f t="shared" ca="1" si="20"/>
        <v>0</v>
      </c>
      <c r="C316" t="s">
        <v>85</v>
      </c>
      <c r="D316" t="s">
        <v>92</v>
      </c>
      <c r="E316" t="s">
        <v>92</v>
      </c>
      <c r="F316" t="s">
        <v>92</v>
      </c>
      <c r="G316" t="s">
        <v>92</v>
      </c>
      <c r="H316" t="s">
        <v>92</v>
      </c>
      <c r="I316" s="12" t="s">
        <v>268</v>
      </c>
      <c r="J316" t="s">
        <v>278</v>
      </c>
      <c r="L316" t="s">
        <v>92</v>
      </c>
      <c r="N316" s="14">
        <v>1</v>
      </c>
      <c r="P316" s="12" t="s">
        <v>268</v>
      </c>
      <c r="W316" s="9" t="str">
        <f t="shared" ca="1" si="21"/>
        <v>18.5%</v>
      </c>
      <c r="X316" t="s">
        <v>321</v>
      </c>
      <c r="Y316" s="9" t="str">
        <f t="shared" ca="1" si="22"/>
        <v>Sin costo</v>
      </c>
      <c r="Z316" t="s">
        <v>327</v>
      </c>
      <c r="AA316" t="s">
        <v>329</v>
      </c>
      <c r="AB316" t="s">
        <v>334</v>
      </c>
      <c r="AC316" s="12" t="s">
        <v>339</v>
      </c>
      <c r="AE316" t="s">
        <v>268</v>
      </c>
      <c r="AG316" s="12" t="s">
        <v>268</v>
      </c>
      <c r="AH316" t="s">
        <v>92</v>
      </c>
      <c r="AI316" s="12" t="s">
        <v>268</v>
      </c>
      <c r="AJ316" t="s">
        <v>92</v>
      </c>
      <c r="AK316" t="s">
        <v>92</v>
      </c>
      <c r="AL316" t="s">
        <v>92</v>
      </c>
      <c r="AM316" s="12" t="s">
        <v>268</v>
      </c>
      <c r="AN316" s="12" t="s">
        <v>268</v>
      </c>
      <c r="AO316" s="12" t="s">
        <v>268</v>
      </c>
      <c r="AP316" s="12" t="s">
        <v>268</v>
      </c>
      <c r="AQ316" s="12" t="s">
        <v>268</v>
      </c>
      <c r="AR316" s="28" t="str">
        <f t="shared" ca="1" si="23"/>
        <v/>
      </c>
      <c r="AS316" s="28" t="str">
        <f t="shared" ca="1" si="24"/>
        <v/>
      </c>
    </row>
    <row r="317" spans="2:45" ht="27.6" customHeight="1">
      <c r="B317">
        <f t="shared" ca="1" si="20"/>
        <v>0</v>
      </c>
      <c r="C317" t="s">
        <v>85</v>
      </c>
      <c r="D317" t="s">
        <v>92</v>
      </c>
      <c r="E317" t="s">
        <v>92</v>
      </c>
      <c r="F317" t="s">
        <v>92</v>
      </c>
      <c r="G317" t="s">
        <v>92</v>
      </c>
      <c r="H317" t="s">
        <v>92</v>
      </c>
      <c r="I317" s="12" t="s">
        <v>268</v>
      </c>
      <c r="J317" t="s">
        <v>278</v>
      </c>
      <c r="L317" t="s">
        <v>92</v>
      </c>
      <c r="N317" s="14">
        <v>1</v>
      </c>
      <c r="P317" s="12" t="s">
        <v>268</v>
      </c>
      <c r="W317" s="9" t="str">
        <f t="shared" ca="1" si="21"/>
        <v>18.5%</v>
      </c>
      <c r="X317" t="s">
        <v>321</v>
      </c>
      <c r="Y317" s="9" t="str">
        <f t="shared" ca="1" si="22"/>
        <v>Sin costo</v>
      </c>
      <c r="Z317" t="s">
        <v>327</v>
      </c>
      <c r="AA317" t="s">
        <v>329</v>
      </c>
      <c r="AB317" t="s">
        <v>334</v>
      </c>
      <c r="AC317" s="12" t="s">
        <v>339</v>
      </c>
      <c r="AE317" t="s">
        <v>268</v>
      </c>
      <c r="AG317" s="12" t="s">
        <v>268</v>
      </c>
      <c r="AH317" t="s">
        <v>92</v>
      </c>
      <c r="AI317" s="12" t="s">
        <v>268</v>
      </c>
      <c r="AJ317" t="s">
        <v>92</v>
      </c>
      <c r="AK317" t="s">
        <v>92</v>
      </c>
      <c r="AL317" t="s">
        <v>92</v>
      </c>
      <c r="AM317" s="12" t="s">
        <v>268</v>
      </c>
      <c r="AN317" s="12" t="s">
        <v>268</v>
      </c>
      <c r="AO317" s="12" t="s">
        <v>268</v>
      </c>
      <c r="AP317" s="12" t="s">
        <v>268</v>
      </c>
      <c r="AQ317" s="12" t="s">
        <v>268</v>
      </c>
      <c r="AR317" s="28" t="str">
        <f t="shared" ca="1" si="23"/>
        <v/>
      </c>
      <c r="AS317" s="28" t="str">
        <f t="shared" ca="1" si="24"/>
        <v/>
      </c>
    </row>
    <row r="318" spans="2:45" ht="27.6" customHeight="1">
      <c r="B318">
        <f t="shared" ca="1" si="20"/>
        <v>0</v>
      </c>
      <c r="C318" t="s">
        <v>85</v>
      </c>
      <c r="D318" t="s">
        <v>92</v>
      </c>
      <c r="E318" t="s">
        <v>92</v>
      </c>
      <c r="F318" t="s">
        <v>92</v>
      </c>
      <c r="G318" t="s">
        <v>92</v>
      </c>
      <c r="H318" t="s">
        <v>92</v>
      </c>
      <c r="I318" s="12" t="s">
        <v>268</v>
      </c>
      <c r="J318" t="s">
        <v>278</v>
      </c>
      <c r="L318" t="s">
        <v>92</v>
      </c>
      <c r="N318" s="14">
        <v>1</v>
      </c>
      <c r="P318" s="12" t="s">
        <v>268</v>
      </c>
      <c r="W318" s="9" t="str">
        <f t="shared" ca="1" si="21"/>
        <v>18.5%</v>
      </c>
      <c r="X318" t="s">
        <v>321</v>
      </c>
      <c r="Y318" s="9" t="str">
        <f t="shared" ca="1" si="22"/>
        <v>Sin costo</v>
      </c>
      <c r="Z318" t="s">
        <v>327</v>
      </c>
      <c r="AA318" t="s">
        <v>329</v>
      </c>
      <c r="AB318" t="s">
        <v>334</v>
      </c>
      <c r="AC318" s="12" t="s">
        <v>339</v>
      </c>
      <c r="AE318" t="s">
        <v>268</v>
      </c>
      <c r="AG318" s="12" t="s">
        <v>268</v>
      </c>
      <c r="AH318" t="s">
        <v>92</v>
      </c>
      <c r="AI318" s="12" t="s">
        <v>268</v>
      </c>
      <c r="AJ318" t="s">
        <v>92</v>
      </c>
      <c r="AK318" t="s">
        <v>92</v>
      </c>
      <c r="AL318" t="s">
        <v>92</v>
      </c>
      <c r="AM318" s="12" t="s">
        <v>268</v>
      </c>
      <c r="AN318" s="12" t="s">
        <v>268</v>
      </c>
      <c r="AO318" s="12" t="s">
        <v>268</v>
      </c>
      <c r="AP318" s="12" t="s">
        <v>268</v>
      </c>
      <c r="AQ318" s="12" t="s">
        <v>268</v>
      </c>
      <c r="AR318" s="28" t="str">
        <f t="shared" ca="1" si="23"/>
        <v/>
      </c>
      <c r="AS318" s="28" t="str">
        <f t="shared" ca="1" si="24"/>
        <v/>
      </c>
    </row>
    <row r="319" spans="2:45" ht="27.6" customHeight="1">
      <c r="B319">
        <f t="shared" ca="1" si="20"/>
        <v>0</v>
      </c>
      <c r="C319" t="s">
        <v>85</v>
      </c>
      <c r="D319" t="s">
        <v>92</v>
      </c>
      <c r="E319" t="s">
        <v>92</v>
      </c>
      <c r="F319" t="s">
        <v>92</v>
      </c>
      <c r="G319" t="s">
        <v>92</v>
      </c>
      <c r="H319" t="s">
        <v>92</v>
      </c>
      <c r="I319" s="12" t="s">
        <v>268</v>
      </c>
      <c r="J319" t="s">
        <v>278</v>
      </c>
      <c r="L319" t="s">
        <v>92</v>
      </c>
      <c r="N319" s="14">
        <v>1</v>
      </c>
      <c r="P319" s="12" t="s">
        <v>268</v>
      </c>
      <c r="W319" s="9" t="str">
        <f t="shared" ca="1" si="21"/>
        <v>18.5%</v>
      </c>
      <c r="X319" t="s">
        <v>321</v>
      </c>
      <c r="Y319" s="9" t="str">
        <f t="shared" ca="1" si="22"/>
        <v>Sin costo</v>
      </c>
      <c r="Z319" t="s">
        <v>327</v>
      </c>
      <c r="AA319" t="s">
        <v>329</v>
      </c>
      <c r="AB319" t="s">
        <v>334</v>
      </c>
      <c r="AC319" s="12" t="s">
        <v>339</v>
      </c>
      <c r="AE319" t="s">
        <v>268</v>
      </c>
      <c r="AG319" s="12" t="s">
        <v>268</v>
      </c>
      <c r="AH319" t="s">
        <v>92</v>
      </c>
      <c r="AI319" s="12" t="s">
        <v>268</v>
      </c>
      <c r="AJ319" t="s">
        <v>92</v>
      </c>
      <c r="AK319" t="s">
        <v>92</v>
      </c>
      <c r="AL319" t="s">
        <v>92</v>
      </c>
      <c r="AM319" s="12" t="s">
        <v>268</v>
      </c>
      <c r="AN319" s="12" t="s">
        <v>268</v>
      </c>
      <c r="AO319" s="12" t="s">
        <v>268</v>
      </c>
      <c r="AP319" s="12" t="s">
        <v>268</v>
      </c>
      <c r="AQ319" s="12" t="s">
        <v>268</v>
      </c>
      <c r="AR319" s="28" t="str">
        <f t="shared" ca="1" si="23"/>
        <v/>
      </c>
      <c r="AS319" s="28" t="str">
        <f t="shared" ca="1" si="24"/>
        <v/>
      </c>
    </row>
    <row r="320" spans="2:45" ht="27.6" customHeight="1">
      <c r="B320">
        <f t="shared" ca="1" si="20"/>
        <v>0</v>
      </c>
      <c r="C320" t="s">
        <v>85</v>
      </c>
      <c r="D320" t="s">
        <v>92</v>
      </c>
      <c r="E320" t="s">
        <v>92</v>
      </c>
      <c r="F320" t="s">
        <v>92</v>
      </c>
      <c r="G320" t="s">
        <v>92</v>
      </c>
      <c r="H320" t="s">
        <v>92</v>
      </c>
      <c r="I320" s="12" t="s">
        <v>268</v>
      </c>
      <c r="J320" t="s">
        <v>278</v>
      </c>
      <c r="L320" t="s">
        <v>92</v>
      </c>
      <c r="N320" s="14">
        <v>1</v>
      </c>
      <c r="P320" s="12" t="s">
        <v>268</v>
      </c>
      <c r="W320" s="9" t="str">
        <f t="shared" ca="1" si="21"/>
        <v>18.5%</v>
      </c>
      <c r="X320" t="s">
        <v>321</v>
      </c>
      <c r="Y320" s="9" t="str">
        <f t="shared" ca="1" si="22"/>
        <v>Sin costo</v>
      </c>
      <c r="Z320" t="s">
        <v>327</v>
      </c>
      <c r="AA320" t="s">
        <v>329</v>
      </c>
      <c r="AB320" t="s">
        <v>334</v>
      </c>
      <c r="AC320" s="12" t="s">
        <v>339</v>
      </c>
      <c r="AE320" t="s">
        <v>268</v>
      </c>
      <c r="AG320" s="12" t="s">
        <v>268</v>
      </c>
      <c r="AH320" t="s">
        <v>92</v>
      </c>
      <c r="AI320" s="12" t="s">
        <v>268</v>
      </c>
      <c r="AJ320" t="s">
        <v>92</v>
      </c>
      <c r="AK320" t="s">
        <v>92</v>
      </c>
      <c r="AL320" t="s">
        <v>92</v>
      </c>
      <c r="AM320" s="12" t="s">
        <v>268</v>
      </c>
      <c r="AN320" s="12" t="s">
        <v>268</v>
      </c>
      <c r="AO320" s="12" t="s">
        <v>268</v>
      </c>
      <c r="AP320" s="12" t="s">
        <v>268</v>
      </c>
      <c r="AQ320" s="12" t="s">
        <v>268</v>
      </c>
      <c r="AR320" s="28" t="str">
        <f t="shared" ca="1" si="23"/>
        <v/>
      </c>
      <c r="AS320" s="28" t="str">
        <f t="shared" ca="1" si="24"/>
        <v/>
      </c>
    </row>
    <row r="321" spans="2:45" ht="27.6" customHeight="1">
      <c r="B321">
        <f t="shared" ca="1" si="20"/>
        <v>0</v>
      </c>
      <c r="C321" t="s">
        <v>85</v>
      </c>
      <c r="D321" t="s">
        <v>92</v>
      </c>
      <c r="E321" t="s">
        <v>92</v>
      </c>
      <c r="F321" t="s">
        <v>92</v>
      </c>
      <c r="G321" t="s">
        <v>92</v>
      </c>
      <c r="H321" t="s">
        <v>92</v>
      </c>
      <c r="I321" s="12" t="s">
        <v>268</v>
      </c>
      <c r="J321" t="s">
        <v>278</v>
      </c>
      <c r="L321" t="s">
        <v>92</v>
      </c>
      <c r="N321" s="14">
        <v>1</v>
      </c>
      <c r="P321" s="12" t="s">
        <v>268</v>
      </c>
      <c r="W321" s="9" t="str">
        <f t="shared" ca="1" si="21"/>
        <v>18.5%</v>
      </c>
      <c r="X321" t="s">
        <v>321</v>
      </c>
      <c r="Y321" s="9" t="str">
        <f t="shared" ca="1" si="22"/>
        <v>Sin costo</v>
      </c>
      <c r="Z321" t="s">
        <v>327</v>
      </c>
      <c r="AA321" t="s">
        <v>329</v>
      </c>
      <c r="AB321" t="s">
        <v>334</v>
      </c>
      <c r="AC321" s="12" t="s">
        <v>339</v>
      </c>
      <c r="AE321" t="s">
        <v>268</v>
      </c>
      <c r="AG321" s="12" t="s">
        <v>268</v>
      </c>
      <c r="AH321" t="s">
        <v>92</v>
      </c>
      <c r="AI321" s="12" t="s">
        <v>268</v>
      </c>
      <c r="AJ321" t="s">
        <v>92</v>
      </c>
      <c r="AK321" t="s">
        <v>92</v>
      </c>
      <c r="AL321" t="s">
        <v>92</v>
      </c>
      <c r="AM321" s="12" t="s">
        <v>268</v>
      </c>
      <c r="AN321" s="12" t="s">
        <v>268</v>
      </c>
      <c r="AO321" s="12" t="s">
        <v>268</v>
      </c>
      <c r="AP321" s="12" t="s">
        <v>268</v>
      </c>
      <c r="AQ321" s="12" t="s">
        <v>268</v>
      </c>
      <c r="AR321" s="28" t="str">
        <f t="shared" ca="1" si="23"/>
        <v/>
      </c>
      <c r="AS321" s="28" t="str">
        <f t="shared" ca="1" si="24"/>
        <v/>
      </c>
    </row>
    <row r="322" spans="2:45" ht="27.6" customHeight="1">
      <c r="B322">
        <f t="shared" ca="1" si="20"/>
        <v>0</v>
      </c>
      <c r="C322" t="s">
        <v>85</v>
      </c>
      <c r="D322" t="s">
        <v>92</v>
      </c>
      <c r="E322" t="s">
        <v>92</v>
      </c>
      <c r="F322" t="s">
        <v>92</v>
      </c>
      <c r="G322" t="s">
        <v>92</v>
      </c>
      <c r="H322" t="s">
        <v>92</v>
      </c>
      <c r="I322" s="12" t="s">
        <v>268</v>
      </c>
      <c r="J322" t="s">
        <v>278</v>
      </c>
      <c r="L322" t="s">
        <v>92</v>
      </c>
      <c r="N322" s="14">
        <v>1</v>
      </c>
      <c r="P322" s="12" t="s">
        <v>268</v>
      </c>
      <c r="W322" s="9" t="str">
        <f t="shared" ca="1" si="21"/>
        <v>18.5%</v>
      </c>
      <c r="X322" t="s">
        <v>321</v>
      </c>
      <c r="Y322" s="9" t="str">
        <f t="shared" ca="1" si="22"/>
        <v>Sin costo</v>
      </c>
      <c r="Z322" t="s">
        <v>327</v>
      </c>
      <c r="AA322" t="s">
        <v>329</v>
      </c>
      <c r="AB322" t="s">
        <v>334</v>
      </c>
      <c r="AC322" s="12" t="s">
        <v>339</v>
      </c>
      <c r="AE322" t="s">
        <v>268</v>
      </c>
      <c r="AG322" s="12" t="s">
        <v>268</v>
      </c>
      <c r="AH322" t="s">
        <v>92</v>
      </c>
      <c r="AI322" s="12" t="s">
        <v>268</v>
      </c>
      <c r="AJ322" t="s">
        <v>92</v>
      </c>
      <c r="AK322" t="s">
        <v>92</v>
      </c>
      <c r="AL322" t="s">
        <v>92</v>
      </c>
      <c r="AM322" s="12" t="s">
        <v>268</v>
      </c>
      <c r="AN322" s="12" t="s">
        <v>268</v>
      </c>
      <c r="AO322" s="12" t="s">
        <v>268</v>
      </c>
      <c r="AP322" s="12" t="s">
        <v>268</v>
      </c>
      <c r="AQ322" s="12" t="s">
        <v>268</v>
      </c>
      <c r="AR322" s="28" t="str">
        <f t="shared" ca="1" si="23"/>
        <v/>
      </c>
      <c r="AS322" s="28" t="str">
        <f t="shared" ca="1" si="24"/>
        <v/>
      </c>
    </row>
    <row r="323" spans="2:45" ht="27.6" customHeight="1">
      <c r="B323">
        <f t="shared" ca="1" si="20"/>
        <v>0</v>
      </c>
      <c r="C323" t="s">
        <v>85</v>
      </c>
      <c r="D323" t="s">
        <v>92</v>
      </c>
      <c r="E323" t="s">
        <v>92</v>
      </c>
      <c r="F323" t="s">
        <v>92</v>
      </c>
      <c r="G323" t="s">
        <v>92</v>
      </c>
      <c r="H323" t="s">
        <v>92</v>
      </c>
      <c r="I323" s="12" t="s">
        <v>268</v>
      </c>
      <c r="J323" t="s">
        <v>278</v>
      </c>
      <c r="L323" t="s">
        <v>92</v>
      </c>
      <c r="N323" s="14">
        <v>1</v>
      </c>
      <c r="P323" s="12" t="s">
        <v>268</v>
      </c>
      <c r="W323" s="9" t="str">
        <f t="shared" ca="1" si="21"/>
        <v>18.5%</v>
      </c>
      <c r="X323" t="s">
        <v>321</v>
      </c>
      <c r="Y323" s="9" t="str">
        <f t="shared" ca="1" si="22"/>
        <v>Sin costo</v>
      </c>
      <c r="Z323" t="s">
        <v>327</v>
      </c>
      <c r="AA323" t="s">
        <v>329</v>
      </c>
      <c r="AB323" t="s">
        <v>334</v>
      </c>
      <c r="AC323" s="12" t="s">
        <v>339</v>
      </c>
      <c r="AE323" t="s">
        <v>268</v>
      </c>
      <c r="AG323" s="12" t="s">
        <v>268</v>
      </c>
      <c r="AH323" t="s">
        <v>92</v>
      </c>
      <c r="AI323" s="12" t="s">
        <v>268</v>
      </c>
      <c r="AJ323" t="s">
        <v>92</v>
      </c>
      <c r="AK323" t="s">
        <v>92</v>
      </c>
      <c r="AL323" t="s">
        <v>92</v>
      </c>
      <c r="AM323" s="12" t="s">
        <v>268</v>
      </c>
      <c r="AN323" s="12" t="s">
        <v>268</v>
      </c>
      <c r="AO323" s="12" t="s">
        <v>268</v>
      </c>
      <c r="AP323" s="12" t="s">
        <v>268</v>
      </c>
      <c r="AQ323" s="12" t="s">
        <v>268</v>
      </c>
      <c r="AR323" s="28" t="str">
        <f t="shared" ca="1" si="23"/>
        <v/>
      </c>
      <c r="AS323" s="28" t="str">
        <f t="shared" ca="1" si="24"/>
        <v/>
      </c>
    </row>
    <row r="324" spans="2:45" ht="27.6" customHeight="1">
      <c r="B324">
        <f t="shared" ca="1" si="20"/>
        <v>0</v>
      </c>
      <c r="C324" t="s">
        <v>85</v>
      </c>
      <c r="D324" t="s">
        <v>92</v>
      </c>
      <c r="E324" t="s">
        <v>92</v>
      </c>
      <c r="F324" t="s">
        <v>92</v>
      </c>
      <c r="G324" t="s">
        <v>92</v>
      </c>
      <c r="H324" t="s">
        <v>92</v>
      </c>
      <c r="I324" s="12" t="s">
        <v>268</v>
      </c>
      <c r="J324" t="s">
        <v>278</v>
      </c>
      <c r="L324" t="s">
        <v>92</v>
      </c>
      <c r="N324" s="14">
        <v>1</v>
      </c>
      <c r="P324" s="12" t="s">
        <v>268</v>
      </c>
      <c r="W324" s="9" t="str">
        <f t="shared" ca="1" si="21"/>
        <v>18.5%</v>
      </c>
      <c r="X324" t="s">
        <v>321</v>
      </c>
      <c r="Y324" s="9" t="str">
        <f t="shared" ca="1" si="22"/>
        <v>Sin costo</v>
      </c>
      <c r="Z324" t="s">
        <v>327</v>
      </c>
      <c r="AA324" t="s">
        <v>329</v>
      </c>
      <c r="AB324" t="s">
        <v>334</v>
      </c>
      <c r="AC324" s="12" t="s">
        <v>339</v>
      </c>
      <c r="AE324" t="s">
        <v>268</v>
      </c>
      <c r="AG324" s="12" t="s">
        <v>268</v>
      </c>
      <c r="AH324" t="s">
        <v>92</v>
      </c>
      <c r="AI324" s="12" t="s">
        <v>268</v>
      </c>
      <c r="AJ324" t="s">
        <v>92</v>
      </c>
      <c r="AK324" t="s">
        <v>92</v>
      </c>
      <c r="AL324" t="s">
        <v>92</v>
      </c>
      <c r="AM324" s="12" t="s">
        <v>268</v>
      </c>
      <c r="AN324" s="12" t="s">
        <v>268</v>
      </c>
      <c r="AO324" s="12" t="s">
        <v>268</v>
      </c>
      <c r="AP324" s="12" t="s">
        <v>268</v>
      </c>
      <c r="AQ324" s="12" t="s">
        <v>268</v>
      </c>
      <c r="AR324" s="28" t="str">
        <f t="shared" ca="1" si="23"/>
        <v/>
      </c>
      <c r="AS324" s="28" t="str">
        <f t="shared" ca="1" si="24"/>
        <v/>
      </c>
    </row>
    <row r="325" spans="2:45" ht="27.6" customHeight="1">
      <c r="B325">
        <f t="shared" ca="1" si="20"/>
        <v>0</v>
      </c>
      <c r="C325" t="s">
        <v>85</v>
      </c>
      <c r="D325" t="s">
        <v>92</v>
      </c>
      <c r="E325" t="s">
        <v>92</v>
      </c>
      <c r="F325" t="s">
        <v>92</v>
      </c>
      <c r="G325" t="s">
        <v>92</v>
      </c>
      <c r="H325" t="s">
        <v>92</v>
      </c>
      <c r="I325" s="12" t="s">
        <v>268</v>
      </c>
      <c r="J325" t="s">
        <v>278</v>
      </c>
      <c r="L325" t="s">
        <v>92</v>
      </c>
      <c r="N325" s="14">
        <v>1</v>
      </c>
      <c r="P325" s="12" t="s">
        <v>268</v>
      </c>
      <c r="W325" s="9" t="str">
        <f t="shared" ca="1" si="21"/>
        <v>18.5%</v>
      </c>
      <c r="X325" t="s">
        <v>321</v>
      </c>
      <c r="Y325" s="9" t="str">
        <f t="shared" ca="1" si="22"/>
        <v>Sin costo</v>
      </c>
      <c r="Z325" t="s">
        <v>327</v>
      </c>
      <c r="AA325" t="s">
        <v>329</v>
      </c>
      <c r="AB325" t="s">
        <v>334</v>
      </c>
      <c r="AC325" s="12" t="s">
        <v>339</v>
      </c>
      <c r="AE325" t="s">
        <v>268</v>
      </c>
      <c r="AG325" s="12" t="s">
        <v>268</v>
      </c>
      <c r="AH325" t="s">
        <v>92</v>
      </c>
      <c r="AI325" s="12" t="s">
        <v>268</v>
      </c>
      <c r="AJ325" t="s">
        <v>92</v>
      </c>
      <c r="AK325" t="s">
        <v>92</v>
      </c>
      <c r="AL325" t="s">
        <v>92</v>
      </c>
      <c r="AM325" s="12" t="s">
        <v>268</v>
      </c>
      <c r="AN325" s="12" t="s">
        <v>268</v>
      </c>
      <c r="AO325" s="12" t="s">
        <v>268</v>
      </c>
      <c r="AP325" s="12" t="s">
        <v>268</v>
      </c>
      <c r="AQ325" s="12" t="s">
        <v>268</v>
      </c>
      <c r="AR325" s="28" t="str">
        <f t="shared" ca="1" si="23"/>
        <v/>
      </c>
      <c r="AS325" s="28" t="str">
        <f t="shared" ca="1" si="24"/>
        <v/>
      </c>
    </row>
    <row r="326" spans="2:45" ht="27.6" customHeight="1">
      <c r="B326">
        <f t="shared" ca="1" si="20"/>
        <v>0</v>
      </c>
      <c r="C326" t="s">
        <v>85</v>
      </c>
      <c r="D326" t="s">
        <v>92</v>
      </c>
      <c r="E326" t="s">
        <v>92</v>
      </c>
      <c r="F326" t="s">
        <v>92</v>
      </c>
      <c r="G326" t="s">
        <v>92</v>
      </c>
      <c r="H326" t="s">
        <v>92</v>
      </c>
      <c r="I326" s="12" t="s">
        <v>268</v>
      </c>
      <c r="J326" t="s">
        <v>278</v>
      </c>
      <c r="L326" t="s">
        <v>92</v>
      </c>
      <c r="N326" s="14">
        <v>1</v>
      </c>
      <c r="P326" s="12" t="s">
        <v>268</v>
      </c>
      <c r="W326" s="9" t="str">
        <f t="shared" ca="1" si="21"/>
        <v>18.5%</v>
      </c>
      <c r="X326" t="s">
        <v>321</v>
      </c>
      <c r="Y326" s="9" t="str">
        <f t="shared" ca="1" si="22"/>
        <v>Sin costo</v>
      </c>
      <c r="Z326" t="s">
        <v>327</v>
      </c>
      <c r="AA326" t="s">
        <v>329</v>
      </c>
      <c r="AB326" t="s">
        <v>334</v>
      </c>
      <c r="AC326" s="12" t="s">
        <v>339</v>
      </c>
      <c r="AE326" t="s">
        <v>268</v>
      </c>
      <c r="AG326" s="12" t="s">
        <v>268</v>
      </c>
      <c r="AH326" t="s">
        <v>92</v>
      </c>
      <c r="AI326" s="12" t="s">
        <v>268</v>
      </c>
      <c r="AJ326" t="s">
        <v>92</v>
      </c>
      <c r="AK326" t="s">
        <v>92</v>
      </c>
      <c r="AL326" t="s">
        <v>92</v>
      </c>
      <c r="AM326" s="12" t="s">
        <v>268</v>
      </c>
      <c r="AN326" s="12" t="s">
        <v>268</v>
      </c>
      <c r="AO326" s="12" t="s">
        <v>268</v>
      </c>
      <c r="AP326" s="12" t="s">
        <v>268</v>
      </c>
      <c r="AQ326" s="12" t="s">
        <v>268</v>
      </c>
      <c r="AR326" s="28" t="str">
        <f t="shared" ca="1" si="23"/>
        <v/>
      </c>
      <c r="AS326" s="28" t="str">
        <f t="shared" ca="1" si="24"/>
        <v/>
      </c>
    </row>
    <row r="327" spans="2:45" ht="27.6" customHeight="1">
      <c r="B327">
        <f t="shared" ref="B327:B390" ca="1" si="25">LEN(INDIRECT(ADDRESS(ROW() + (0),COLUMN() + (-1))))</f>
        <v>0</v>
      </c>
      <c r="C327" t="s">
        <v>85</v>
      </c>
      <c r="D327" t="s">
        <v>92</v>
      </c>
      <c r="E327" t="s">
        <v>92</v>
      </c>
      <c r="F327" t="s">
        <v>92</v>
      </c>
      <c r="G327" t="s">
        <v>92</v>
      </c>
      <c r="H327" t="s">
        <v>92</v>
      </c>
      <c r="I327" s="12" t="s">
        <v>268</v>
      </c>
      <c r="J327" t="s">
        <v>278</v>
      </c>
      <c r="L327" t="s">
        <v>92</v>
      </c>
      <c r="N327" s="14">
        <v>1</v>
      </c>
      <c r="P327" s="12" t="s">
        <v>268</v>
      </c>
      <c r="W327" s="9" t="str">
        <f t="shared" ref="W327:W390" ca="1" si="26">IF(INDIRECT(ADDRESS(ROW() + (0),COLUMN() + (1)))="Cuotas extra", IF(("21.5%")="", "-", "21.5%"), IF(INDIRECT(ADDRESS(ROW() + (0),COLUMN() + (1)))="Cuotas", IF(("18.5%")="", "-", "18.5%"), "-"))</f>
        <v>18.5%</v>
      </c>
      <c r="X327" t="s">
        <v>321</v>
      </c>
      <c r="Y327" s="9" t="str">
        <f t="shared" ref="Y327:Y390" ca="1" si="27">IF(INDIRECT(ADDRESS(ROW() + (0),COLUMN() + (-1)))="Cuotas extra", IF(("")="", "Sin costo", ""), IF(INDIRECT(ADDRESS(ROW() + (0),COLUMN() + (-1)))="Cuotas", IF(("")="", "Sin costo", ""), "-"))</f>
        <v>Sin costo</v>
      </c>
      <c r="Z327" t="s">
        <v>327</v>
      </c>
      <c r="AA327" t="s">
        <v>329</v>
      </c>
      <c r="AB327" t="s">
        <v>334</v>
      </c>
      <c r="AC327" s="12" t="s">
        <v>339</v>
      </c>
      <c r="AE327" t="s">
        <v>268</v>
      </c>
      <c r="AG327" s="12" t="s">
        <v>268</v>
      </c>
      <c r="AH327" t="s">
        <v>92</v>
      </c>
      <c r="AI327" s="12" t="s">
        <v>268</v>
      </c>
      <c r="AJ327" t="s">
        <v>92</v>
      </c>
      <c r="AK327" t="s">
        <v>92</v>
      </c>
      <c r="AL327" t="s">
        <v>92</v>
      </c>
      <c r="AM327" s="12" t="s">
        <v>268</v>
      </c>
      <c r="AN327" s="12" t="s">
        <v>268</v>
      </c>
      <c r="AO327" s="12" t="s">
        <v>268</v>
      </c>
      <c r="AP327" s="12" t="s">
        <v>268</v>
      </c>
      <c r="AQ327" s="12" t="s">
        <v>268</v>
      </c>
      <c r="AR327" s="28" t="str">
        <f t="shared" ref="AR327:AR390" ca="1" si="2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327" s="28" t="str">
        <f t="shared" ref="AS327:AS390" ca="1" si="29">IF(TRIM(INDIRECT("A"&amp;ROW())) &lt;&gt; "",FALSE,"")</f>
        <v/>
      </c>
    </row>
    <row r="328" spans="2:45" ht="27.6" customHeight="1">
      <c r="B328">
        <f t="shared" ca="1" si="25"/>
        <v>0</v>
      </c>
      <c r="C328" t="s">
        <v>85</v>
      </c>
      <c r="D328" t="s">
        <v>92</v>
      </c>
      <c r="E328" t="s">
        <v>92</v>
      </c>
      <c r="F328" t="s">
        <v>92</v>
      </c>
      <c r="G328" t="s">
        <v>92</v>
      </c>
      <c r="H328" t="s">
        <v>92</v>
      </c>
      <c r="I328" s="12" t="s">
        <v>268</v>
      </c>
      <c r="J328" t="s">
        <v>278</v>
      </c>
      <c r="L328" t="s">
        <v>92</v>
      </c>
      <c r="N328" s="14">
        <v>1</v>
      </c>
      <c r="P328" s="12" t="s">
        <v>268</v>
      </c>
      <c r="W328" s="9" t="str">
        <f t="shared" ca="1" si="26"/>
        <v>18.5%</v>
      </c>
      <c r="X328" t="s">
        <v>321</v>
      </c>
      <c r="Y328" s="9" t="str">
        <f t="shared" ca="1" si="27"/>
        <v>Sin costo</v>
      </c>
      <c r="Z328" t="s">
        <v>327</v>
      </c>
      <c r="AA328" t="s">
        <v>329</v>
      </c>
      <c r="AB328" t="s">
        <v>334</v>
      </c>
      <c r="AC328" s="12" t="s">
        <v>339</v>
      </c>
      <c r="AE328" t="s">
        <v>268</v>
      </c>
      <c r="AG328" s="12" t="s">
        <v>268</v>
      </c>
      <c r="AH328" t="s">
        <v>92</v>
      </c>
      <c r="AI328" s="12" t="s">
        <v>268</v>
      </c>
      <c r="AJ328" t="s">
        <v>92</v>
      </c>
      <c r="AK328" t="s">
        <v>92</v>
      </c>
      <c r="AL328" t="s">
        <v>92</v>
      </c>
      <c r="AM328" s="12" t="s">
        <v>268</v>
      </c>
      <c r="AN328" s="12" t="s">
        <v>268</v>
      </c>
      <c r="AO328" s="12" t="s">
        <v>268</v>
      </c>
      <c r="AP328" s="12" t="s">
        <v>268</v>
      </c>
      <c r="AQ328" s="12" t="s">
        <v>268</v>
      </c>
      <c r="AR328" s="28" t="str">
        <f t="shared" ca="1" si="28"/>
        <v/>
      </c>
      <c r="AS328" s="28" t="str">
        <f t="shared" ca="1" si="29"/>
        <v/>
      </c>
    </row>
    <row r="329" spans="2:45" ht="27.6" customHeight="1">
      <c r="B329">
        <f t="shared" ca="1" si="25"/>
        <v>0</v>
      </c>
      <c r="C329" t="s">
        <v>85</v>
      </c>
      <c r="D329" t="s">
        <v>92</v>
      </c>
      <c r="E329" t="s">
        <v>92</v>
      </c>
      <c r="F329" t="s">
        <v>92</v>
      </c>
      <c r="G329" t="s">
        <v>92</v>
      </c>
      <c r="H329" t="s">
        <v>92</v>
      </c>
      <c r="I329" s="12" t="s">
        <v>268</v>
      </c>
      <c r="J329" t="s">
        <v>278</v>
      </c>
      <c r="L329" t="s">
        <v>92</v>
      </c>
      <c r="N329" s="14">
        <v>1</v>
      </c>
      <c r="P329" s="12" t="s">
        <v>268</v>
      </c>
      <c r="W329" s="9" t="str">
        <f t="shared" ca="1" si="26"/>
        <v>18.5%</v>
      </c>
      <c r="X329" t="s">
        <v>321</v>
      </c>
      <c r="Y329" s="9" t="str">
        <f t="shared" ca="1" si="27"/>
        <v>Sin costo</v>
      </c>
      <c r="Z329" t="s">
        <v>327</v>
      </c>
      <c r="AA329" t="s">
        <v>329</v>
      </c>
      <c r="AB329" t="s">
        <v>334</v>
      </c>
      <c r="AC329" s="12" t="s">
        <v>339</v>
      </c>
      <c r="AE329" t="s">
        <v>268</v>
      </c>
      <c r="AG329" s="12" t="s">
        <v>268</v>
      </c>
      <c r="AH329" t="s">
        <v>92</v>
      </c>
      <c r="AI329" s="12" t="s">
        <v>268</v>
      </c>
      <c r="AJ329" t="s">
        <v>92</v>
      </c>
      <c r="AK329" t="s">
        <v>92</v>
      </c>
      <c r="AL329" t="s">
        <v>92</v>
      </c>
      <c r="AM329" s="12" t="s">
        <v>268</v>
      </c>
      <c r="AN329" s="12" t="s">
        <v>268</v>
      </c>
      <c r="AO329" s="12" t="s">
        <v>268</v>
      </c>
      <c r="AP329" s="12" t="s">
        <v>268</v>
      </c>
      <c r="AQ329" s="12" t="s">
        <v>268</v>
      </c>
      <c r="AR329" s="28" t="str">
        <f t="shared" ca="1" si="28"/>
        <v/>
      </c>
      <c r="AS329" s="28" t="str">
        <f t="shared" ca="1" si="29"/>
        <v/>
      </c>
    </row>
    <row r="330" spans="2:45" ht="27.6" customHeight="1">
      <c r="B330">
        <f t="shared" ca="1" si="25"/>
        <v>0</v>
      </c>
      <c r="C330" t="s">
        <v>85</v>
      </c>
      <c r="D330" t="s">
        <v>92</v>
      </c>
      <c r="E330" t="s">
        <v>92</v>
      </c>
      <c r="F330" t="s">
        <v>92</v>
      </c>
      <c r="G330" t="s">
        <v>92</v>
      </c>
      <c r="H330" t="s">
        <v>92</v>
      </c>
      <c r="I330" s="12" t="s">
        <v>268</v>
      </c>
      <c r="J330" t="s">
        <v>278</v>
      </c>
      <c r="L330" t="s">
        <v>92</v>
      </c>
      <c r="N330" s="14">
        <v>1</v>
      </c>
      <c r="P330" s="12" t="s">
        <v>268</v>
      </c>
      <c r="W330" s="9" t="str">
        <f t="shared" ca="1" si="26"/>
        <v>18.5%</v>
      </c>
      <c r="X330" t="s">
        <v>321</v>
      </c>
      <c r="Y330" s="9" t="str">
        <f t="shared" ca="1" si="27"/>
        <v>Sin costo</v>
      </c>
      <c r="Z330" t="s">
        <v>327</v>
      </c>
      <c r="AA330" t="s">
        <v>329</v>
      </c>
      <c r="AB330" t="s">
        <v>334</v>
      </c>
      <c r="AC330" s="12" t="s">
        <v>339</v>
      </c>
      <c r="AE330" t="s">
        <v>268</v>
      </c>
      <c r="AG330" s="12" t="s">
        <v>268</v>
      </c>
      <c r="AH330" t="s">
        <v>92</v>
      </c>
      <c r="AI330" s="12" t="s">
        <v>268</v>
      </c>
      <c r="AJ330" t="s">
        <v>92</v>
      </c>
      <c r="AK330" t="s">
        <v>92</v>
      </c>
      <c r="AL330" t="s">
        <v>92</v>
      </c>
      <c r="AM330" s="12" t="s">
        <v>268</v>
      </c>
      <c r="AN330" s="12" t="s">
        <v>268</v>
      </c>
      <c r="AO330" s="12" t="s">
        <v>268</v>
      </c>
      <c r="AP330" s="12" t="s">
        <v>268</v>
      </c>
      <c r="AQ330" s="12" t="s">
        <v>268</v>
      </c>
      <c r="AR330" s="28" t="str">
        <f t="shared" ca="1" si="28"/>
        <v/>
      </c>
      <c r="AS330" s="28" t="str">
        <f t="shared" ca="1" si="29"/>
        <v/>
      </c>
    </row>
    <row r="331" spans="2:45" ht="27.6" customHeight="1">
      <c r="B331">
        <f t="shared" ca="1" si="25"/>
        <v>0</v>
      </c>
      <c r="C331" t="s">
        <v>85</v>
      </c>
      <c r="D331" t="s">
        <v>92</v>
      </c>
      <c r="E331" t="s">
        <v>92</v>
      </c>
      <c r="F331" t="s">
        <v>92</v>
      </c>
      <c r="G331" t="s">
        <v>92</v>
      </c>
      <c r="H331" t="s">
        <v>92</v>
      </c>
      <c r="I331" s="12" t="s">
        <v>268</v>
      </c>
      <c r="J331" t="s">
        <v>278</v>
      </c>
      <c r="L331" t="s">
        <v>92</v>
      </c>
      <c r="N331" s="14">
        <v>1</v>
      </c>
      <c r="P331" s="12" t="s">
        <v>268</v>
      </c>
      <c r="W331" s="9" t="str">
        <f t="shared" ca="1" si="26"/>
        <v>18.5%</v>
      </c>
      <c r="X331" t="s">
        <v>321</v>
      </c>
      <c r="Y331" s="9" t="str">
        <f t="shared" ca="1" si="27"/>
        <v>Sin costo</v>
      </c>
      <c r="Z331" t="s">
        <v>327</v>
      </c>
      <c r="AA331" t="s">
        <v>329</v>
      </c>
      <c r="AB331" t="s">
        <v>334</v>
      </c>
      <c r="AC331" s="12" t="s">
        <v>339</v>
      </c>
      <c r="AE331" t="s">
        <v>268</v>
      </c>
      <c r="AG331" s="12" t="s">
        <v>268</v>
      </c>
      <c r="AH331" t="s">
        <v>92</v>
      </c>
      <c r="AI331" s="12" t="s">
        <v>268</v>
      </c>
      <c r="AJ331" t="s">
        <v>92</v>
      </c>
      <c r="AK331" t="s">
        <v>92</v>
      </c>
      <c r="AL331" t="s">
        <v>92</v>
      </c>
      <c r="AM331" s="12" t="s">
        <v>268</v>
      </c>
      <c r="AN331" s="12" t="s">
        <v>268</v>
      </c>
      <c r="AO331" s="12" t="s">
        <v>268</v>
      </c>
      <c r="AP331" s="12" t="s">
        <v>268</v>
      </c>
      <c r="AQ331" s="12" t="s">
        <v>268</v>
      </c>
      <c r="AR331" s="28" t="str">
        <f t="shared" ca="1" si="28"/>
        <v/>
      </c>
      <c r="AS331" s="28" t="str">
        <f t="shared" ca="1" si="29"/>
        <v/>
      </c>
    </row>
    <row r="332" spans="2:45" ht="27.6" customHeight="1">
      <c r="B332">
        <f t="shared" ca="1" si="25"/>
        <v>0</v>
      </c>
      <c r="C332" t="s">
        <v>85</v>
      </c>
      <c r="D332" t="s">
        <v>92</v>
      </c>
      <c r="E332" t="s">
        <v>92</v>
      </c>
      <c r="F332" t="s">
        <v>92</v>
      </c>
      <c r="G332" t="s">
        <v>92</v>
      </c>
      <c r="H332" t="s">
        <v>92</v>
      </c>
      <c r="I332" s="12" t="s">
        <v>268</v>
      </c>
      <c r="J332" t="s">
        <v>278</v>
      </c>
      <c r="L332" t="s">
        <v>92</v>
      </c>
      <c r="N332" s="14">
        <v>1</v>
      </c>
      <c r="P332" s="12" t="s">
        <v>268</v>
      </c>
      <c r="W332" s="9" t="str">
        <f t="shared" ca="1" si="26"/>
        <v>18.5%</v>
      </c>
      <c r="X332" t="s">
        <v>321</v>
      </c>
      <c r="Y332" s="9" t="str">
        <f t="shared" ca="1" si="27"/>
        <v>Sin costo</v>
      </c>
      <c r="Z332" t="s">
        <v>327</v>
      </c>
      <c r="AA332" t="s">
        <v>329</v>
      </c>
      <c r="AB332" t="s">
        <v>334</v>
      </c>
      <c r="AC332" s="12" t="s">
        <v>339</v>
      </c>
      <c r="AE332" t="s">
        <v>268</v>
      </c>
      <c r="AG332" s="12" t="s">
        <v>268</v>
      </c>
      <c r="AH332" t="s">
        <v>92</v>
      </c>
      <c r="AI332" s="12" t="s">
        <v>268</v>
      </c>
      <c r="AJ332" t="s">
        <v>92</v>
      </c>
      <c r="AK332" t="s">
        <v>92</v>
      </c>
      <c r="AL332" t="s">
        <v>92</v>
      </c>
      <c r="AM332" s="12" t="s">
        <v>268</v>
      </c>
      <c r="AN332" s="12" t="s">
        <v>268</v>
      </c>
      <c r="AO332" s="12" t="s">
        <v>268</v>
      </c>
      <c r="AP332" s="12" t="s">
        <v>268</v>
      </c>
      <c r="AQ332" s="12" t="s">
        <v>268</v>
      </c>
      <c r="AR332" s="28" t="str">
        <f t="shared" ca="1" si="28"/>
        <v/>
      </c>
      <c r="AS332" s="28" t="str">
        <f t="shared" ca="1" si="29"/>
        <v/>
      </c>
    </row>
    <row r="333" spans="2:45" ht="27.6" customHeight="1">
      <c r="B333">
        <f t="shared" ca="1" si="25"/>
        <v>0</v>
      </c>
      <c r="C333" t="s">
        <v>85</v>
      </c>
      <c r="D333" t="s">
        <v>92</v>
      </c>
      <c r="E333" t="s">
        <v>92</v>
      </c>
      <c r="F333" t="s">
        <v>92</v>
      </c>
      <c r="G333" t="s">
        <v>92</v>
      </c>
      <c r="H333" t="s">
        <v>92</v>
      </c>
      <c r="I333" s="12" t="s">
        <v>268</v>
      </c>
      <c r="J333" t="s">
        <v>278</v>
      </c>
      <c r="L333" t="s">
        <v>92</v>
      </c>
      <c r="N333" s="14">
        <v>1</v>
      </c>
      <c r="P333" s="12" t="s">
        <v>268</v>
      </c>
      <c r="W333" s="9" t="str">
        <f t="shared" ca="1" si="26"/>
        <v>18.5%</v>
      </c>
      <c r="X333" t="s">
        <v>321</v>
      </c>
      <c r="Y333" s="9" t="str">
        <f t="shared" ca="1" si="27"/>
        <v>Sin costo</v>
      </c>
      <c r="Z333" t="s">
        <v>327</v>
      </c>
      <c r="AA333" t="s">
        <v>329</v>
      </c>
      <c r="AB333" t="s">
        <v>334</v>
      </c>
      <c r="AC333" s="12" t="s">
        <v>339</v>
      </c>
      <c r="AE333" t="s">
        <v>268</v>
      </c>
      <c r="AG333" s="12" t="s">
        <v>268</v>
      </c>
      <c r="AH333" t="s">
        <v>92</v>
      </c>
      <c r="AI333" s="12" t="s">
        <v>268</v>
      </c>
      <c r="AJ333" t="s">
        <v>92</v>
      </c>
      <c r="AK333" t="s">
        <v>92</v>
      </c>
      <c r="AL333" t="s">
        <v>92</v>
      </c>
      <c r="AM333" s="12" t="s">
        <v>268</v>
      </c>
      <c r="AN333" s="12" t="s">
        <v>268</v>
      </c>
      <c r="AO333" s="12" t="s">
        <v>268</v>
      </c>
      <c r="AP333" s="12" t="s">
        <v>268</v>
      </c>
      <c r="AQ333" s="12" t="s">
        <v>268</v>
      </c>
      <c r="AR333" s="28" t="str">
        <f t="shared" ca="1" si="28"/>
        <v/>
      </c>
      <c r="AS333" s="28" t="str">
        <f t="shared" ca="1" si="29"/>
        <v/>
      </c>
    </row>
    <row r="334" spans="2:45" ht="27.6" customHeight="1">
      <c r="B334">
        <f t="shared" ca="1" si="25"/>
        <v>0</v>
      </c>
      <c r="C334" t="s">
        <v>85</v>
      </c>
      <c r="D334" t="s">
        <v>92</v>
      </c>
      <c r="E334" t="s">
        <v>92</v>
      </c>
      <c r="F334" t="s">
        <v>92</v>
      </c>
      <c r="G334" t="s">
        <v>92</v>
      </c>
      <c r="H334" t="s">
        <v>92</v>
      </c>
      <c r="I334" s="12" t="s">
        <v>268</v>
      </c>
      <c r="J334" t="s">
        <v>278</v>
      </c>
      <c r="L334" t="s">
        <v>92</v>
      </c>
      <c r="N334" s="14">
        <v>1</v>
      </c>
      <c r="P334" s="12" t="s">
        <v>268</v>
      </c>
      <c r="W334" s="9" t="str">
        <f t="shared" ca="1" si="26"/>
        <v>18.5%</v>
      </c>
      <c r="X334" t="s">
        <v>321</v>
      </c>
      <c r="Y334" s="9" t="str">
        <f t="shared" ca="1" si="27"/>
        <v>Sin costo</v>
      </c>
      <c r="Z334" t="s">
        <v>327</v>
      </c>
      <c r="AA334" t="s">
        <v>329</v>
      </c>
      <c r="AB334" t="s">
        <v>334</v>
      </c>
      <c r="AC334" s="12" t="s">
        <v>339</v>
      </c>
      <c r="AE334" t="s">
        <v>268</v>
      </c>
      <c r="AG334" s="12" t="s">
        <v>268</v>
      </c>
      <c r="AH334" t="s">
        <v>92</v>
      </c>
      <c r="AI334" s="12" t="s">
        <v>268</v>
      </c>
      <c r="AJ334" t="s">
        <v>92</v>
      </c>
      <c r="AK334" t="s">
        <v>92</v>
      </c>
      <c r="AL334" t="s">
        <v>92</v>
      </c>
      <c r="AM334" s="12" t="s">
        <v>268</v>
      </c>
      <c r="AN334" s="12" t="s">
        <v>268</v>
      </c>
      <c r="AO334" s="12" t="s">
        <v>268</v>
      </c>
      <c r="AP334" s="12" t="s">
        <v>268</v>
      </c>
      <c r="AQ334" s="12" t="s">
        <v>268</v>
      </c>
      <c r="AR334" s="28" t="str">
        <f t="shared" ca="1" si="28"/>
        <v/>
      </c>
      <c r="AS334" s="28" t="str">
        <f t="shared" ca="1" si="29"/>
        <v/>
      </c>
    </row>
    <row r="335" spans="2:45" ht="27.6" customHeight="1">
      <c r="B335">
        <f t="shared" ca="1" si="25"/>
        <v>0</v>
      </c>
      <c r="C335" t="s">
        <v>85</v>
      </c>
      <c r="D335" t="s">
        <v>92</v>
      </c>
      <c r="E335" t="s">
        <v>92</v>
      </c>
      <c r="F335" t="s">
        <v>92</v>
      </c>
      <c r="G335" t="s">
        <v>92</v>
      </c>
      <c r="H335" t="s">
        <v>92</v>
      </c>
      <c r="I335" s="12" t="s">
        <v>268</v>
      </c>
      <c r="J335" t="s">
        <v>278</v>
      </c>
      <c r="L335" t="s">
        <v>92</v>
      </c>
      <c r="N335" s="14">
        <v>1</v>
      </c>
      <c r="P335" s="12" t="s">
        <v>268</v>
      </c>
      <c r="W335" s="9" t="str">
        <f t="shared" ca="1" si="26"/>
        <v>18.5%</v>
      </c>
      <c r="X335" t="s">
        <v>321</v>
      </c>
      <c r="Y335" s="9" t="str">
        <f t="shared" ca="1" si="27"/>
        <v>Sin costo</v>
      </c>
      <c r="Z335" t="s">
        <v>327</v>
      </c>
      <c r="AA335" t="s">
        <v>329</v>
      </c>
      <c r="AB335" t="s">
        <v>334</v>
      </c>
      <c r="AC335" s="12" t="s">
        <v>339</v>
      </c>
      <c r="AE335" t="s">
        <v>268</v>
      </c>
      <c r="AG335" s="12" t="s">
        <v>268</v>
      </c>
      <c r="AH335" t="s">
        <v>92</v>
      </c>
      <c r="AI335" s="12" t="s">
        <v>268</v>
      </c>
      <c r="AJ335" t="s">
        <v>92</v>
      </c>
      <c r="AK335" t="s">
        <v>92</v>
      </c>
      <c r="AL335" t="s">
        <v>92</v>
      </c>
      <c r="AM335" s="12" t="s">
        <v>268</v>
      </c>
      <c r="AN335" s="12" t="s">
        <v>268</v>
      </c>
      <c r="AO335" s="12" t="s">
        <v>268</v>
      </c>
      <c r="AP335" s="12" t="s">
        <v>268</v>
      </c>
      <c r="AQ335" s="12" t="s">
        <v>268</v>
      </c>
      <c r="AR335" s="28" t="str">
        <f t="shared" ca="1" si="28"/>
        <v/>
      </c>
      <c r="AS335" s="28" t="str">
        <f t="shared" ca="1" si="29"/>
        <v/>
      </c>
    </row>
    <row r="336" spans="2:45" ht="27.6" customHeight="1">
      <c r="B336">
        <f t="shared" ca="1" si="25"/>
        <v>0</v>
      </c>
      <c r="C336" t="s">
        <v>85</v>
      </c>
      <c r="D336" t="s">
        <v>92</v>
      </c>
      <c r="E336" t="s">
        <v>92</v>
      </c>
      <c r="F336" t="s">
        <v>92</v>
      </c>
      <c r="G336" t="s">
        <v>92</v>
      </c>
      <c r="H336" t="s">
        <v>92</v>
      </c>
      <c r="I336" s="12" t="s">
        <v>268</v>
      </c>
      <c r="J336" t="s">
        <v>278</v>
      </c>
      <c r="L336" t="s">
        <v>92</v>
      </c>
      <c r="N336" s="14">
        <v>1</v>
      </c>
      <c r="P336" s="12" t="s">
        <v>268</v>
      </c>
      <c r="W336" s="9" t="str">
        <f t="shared" ca="1" si="26"/>
        <v>18.5%</v>
      </c>
      <c r="X336" t="s">
        <v>321</v>
      </c>
      <c r="Y336" s="9" t="str">
        <f t="shared" ca="1" si="27"/>
        <v>Sin costo</v>
      </c>
      <c r="Z336" t="s">
        <v>327</v>
      </c>
      <c r="AA336" t="s">
        <v>329</v>
      </c>
      <c r="AB336" t="s">
        <v>334</v>
      </c>
      <c r="AC336" s="12" t="s">
        <v>339</v>
      </c>
      <c r="AE336" t="s">
        <v>268</v>
      </c>
      <c r="AG336" s="12" t="s">
        <v>268</v>
      </c>
      <c r="AH336" t="s">
        <v>92</v>
      </c>
      <c r="AI336" s="12" t="s">
        <v>268</v>
      </c>
      <c r="AJ336" t="s">
        <v>92</v>
      </c>
      <c r="AK336" t="s">
        <v>92</v>
      </c>
      <c r="AL336" t="s">
        <v>92</v>
      </c>
      <c r="AM336" s="12" t="s">
        <v>268</v>
      </c>
      <c r="AN336" s="12" t="s">
        <v>268</v>
      </c>
      <c r="AO336" s="12" t="s">
        <v>268</v>
      </c>
      <c r="AP336" s="12" t="s">
        <v>268</v>
      </c>
      <c r="AQ336" s="12" t="s">
        <v>268</v>
      </c>
      <c r="AR336" s="28" t="str">
        <f t="shared" ca="1" si="28"/>
        <v/>
      </c>
      <c r="AS336" s="28" t="str">
        <f t="shared" ca="1" si="29"/>
        <v/>
      </c>
    </row>
    <row r="337" spans="2:45" ht="27.6" customHeight="1">
      <c r="B337">
        <f t="shared" ca="1" si="25"/>
        <v>0</v>
      </c>
      <c r="C337" t="s">
        <v>85</v>
      </c>
      <c r="D337" t="s">
        <v>92</v>
      </c>
      <c r="E337" t="s">
        <v>92</v>
      </c>
      <c r="F337" t="s">
        <v>92</v>
      </c>
      <c r="G337" t="s">
        <v>92</v>
      </c>
      <c r="H337" t="s">
        <v>92</v>
      </c>
      <c r="I337" s="12" t="s">
        <v>268</v>
      </c>
      <c r="J337" t="s">
        <v>278</v>
      </c>
      <c r="L337" t="s">
        <v>92</v>
      </c>
      <c r="N337" s="14">
        <v>1</v>
      </c>
      <c r="P337" s="12" t="s">
        <v>268</v>
      </c>
      <c r="W337" s="9" t="str">
        <f t="shared" ca="1" si="26"/>
        <v>18.5%</v>
      </c>
      <c r="X337" t="s">
        <v>321</v>
      </c>
      <c r="Y337" s="9" t="str">
        <f t="shared" ca="1" si="27"/>
        <v>Sin costo</v>
      </c>
      <c r="Z337" t="s">
        <v>327</v>
      </c>
      <c r="AA337" t="s">
        <v>329</v>
      </c>
      <c r="AB337" t="s">
        <v>334</v>
      </c>
      <c r="AC337" s="12" t="s">
        <v>339</v>
      </c>
      <c r="AE337" t="s">
        <v>268</v>
      </c>
      <c r="AG337" s="12" t="s">
        <v>268</v>
      </c>
      <c r="AH337" t="s">
        <v>92</v>
      </c>
      <c r="AI337" s="12" t="s">
        <v>268</v>
      </c>
      <c r="AJ337" t="s">
        <v>92</v>
      </c>
      <c r="AK337" t="s">
        <v>92</v>
      </c>
      <c r="AL337" t="s">
        <v>92</v>
      </c>
      <c r="AM337" s="12" t="s">
        <v>268</v>
      </c>
      <c r="AN337" s="12" t="s">
        <v>268</v>
      </c>
      <c r="AO337" s="12" t="s">
        <v>268</v>
      </c>
      <c r="AP337" s="12" t="s">
        <v>268</v>
      </c>
      <c r="AQ337" s="12" t="s">
        <v>268</v>
      </c>
      <c r="AR337" s="28" t="str">
        <f t="shared" ca="1" si="28"/>
        <v/>
      </c>
      <c r="AS337" s="28" t="str">
        <f t="shared" ca="1" si="29"/>
        <v/>
      </c>
    </row>
    <row r="338" spans="2:45" ht="27.6" customHeight="1">
      <c r="B338">
        <f t="shared" ca="1" si="25"/>
        <v>0</v>
      </c>
      <c r="C338" t="s">
        <v>85</v>
      </c>
      <c r="D338" t="s">
        <v>92</v>
      </c>
      <c r="E338" t="s">
        <v>92</v>
      </c>
      <c r="F338" t="s">
        <v>92</v>
      </c>
      <c r="G338" t="s">
        <v>92</v>
      </c>
      <c r="H338" t="s">
        <v>92</v>
      </c>
      <c r="I338" s="12" t="s">
        <v>268</v>
      </c>
      <c r="J338" t="s">
        <v>278</v>
      </c>
      <c r="L338" t="s">
        <v>92</v>
      </c>
      <c r="N338" s="14">
        <v>1</v>
      </c>
      <c r="P338" s="12" t="s">
        <v>268</v>
      </c>
      <c r="W338" s="9" t="str">
        <f t="shared" ca="1" si="26"/>
        <v>18.5%</v>
      </c>
      <c r="X338" t="s">
        <v>321</v>
      </c>
      <c r="Y338" s="9" t="str">
        <f t="shared" ca="1" si="27"/>
        <v>Sin costo</v>
      </c>
      <c r="Z338" t="s">
        <v>327</v>
      </c>
      <c r="AA338" t="s">
        <v>329</v>
      </c>
      <c r="AB338" t="s">
        <v>334</v>
      </c>
      <c r="AC338" s="12" t="s">
        <v>339</v>
      </c>
      <c r="AE338" t="s">
        <v>268</v>
      </c>
      <c r="AG338" s="12" t="s">
        <v>268</v>
      </c>
      <c r="AH338" t="s">
        <v>92</v>
      </c>
      <c r="AI338" s="12" t="s">
        <v>268</v>
      </c>
      <c r="AJ338" t="s">
        <v>92</v>
      </c>
      <c r="AK338" t="s">
        <v>92</v>
      </c>
      <c r="AL338" t="s">
        <v>92</v>
      </c>
      <c r="AM338" s="12" t="s">
        <v>268</v>
      </c>
      <c r="AN338" s="12" t="s">
        <v>268</v>
      </c>
      <c r="AO338" s="12" t="s">
        <v>268</v>
      </c>
      <c r="AP338" s="12" t="s">
        <v>268</v>
      </c>
      <c r="AQ338" s="12" t="s">
        <v>268</v>
      </c>
      <c r="AR338" s="28" t="str">
        <f t="shared" ca="1" si="28"/>
        <v/>
      </c>
      <c r="AS338" s="28" t="str">
        <f t="shared" ca="1" si="29"/>
        <v/>
      </c>
    </row>
    <row r="339" spans="2:45" ht="27.6" customHeight="1">
      <c r="B339">
        <f t="shared" ca="1" si="25"/>
        <v>0</v>
      </c>
      <c r="C339" t="s">
        <v>85</v>
      </c>
      <c r="D339" t="s">
        <v>92</v>
      </c>
      <c r="E339" t="s">
        <v>92</v>
      </c>
      <c r="F339" t="s">
        <v>92</v>
      </c>
      <c r="G339" t="s">
        <v>92</v>
      </c>
      <c r="H339" t="s">
        <v>92</v>
      </c>
      <c r="I339" s="12" t="s">
        <v>268</v>
      </c>
      <c r="J339" t="s">
        <v>278</v>
      </c>
      <c r="L339" t="s">
        <v>92</v>
      </c>
      <c r="N339" s="14">
        <v>1</v>
      </c>
      <c r="P339" s="12" t="s">
        <v>268</v>
      </c>
      <c r="W339" s="9" t="str">
        <f t="shared" ca="1" si="26"/>
        <v>18.5%</v>
      </c>
      <c r="X339" t="s">
        <v>321</v>
      </c>
      <c r="Y339" s="9" t="str">
        <f t="shared" ca="1" si="27"/>
        <v>Sin costo</v>
      </c>
      <c r="Z339" t="s">
        <v>327</v>
      </c>
      <c r="AA339" t="s">
        <v>329</v>
      </c>
      <c r="AB339" t="s">
        <v>334</v>
      </c>
      <c r="AC339" s="12" t="s">
        <v>339</v>
      </c>
      <c r="AE339" t="s">
        <v>268</v>
      </c>
      <c r="AG339" s="12" t="s">
        <v>268</v>
      </c>
      <c r="AH339" t="s">
        <v>92</v>
      </c>
      <c r="AI339" s="12" t="s">
        <v>268</v>
      </c>
      <c r="AJ339" t="s">
        <v>92</v>
      </c>
      <c r="AK339" t="s">
        <v>92</v>
      </c>
      <c r="AL339" t="s">
        <v>92</v>
      </c>
      <c r="AM339" s="12" t="s">
        <v>268</v>
      </c>
      <c r="AN339" s="12" t="s">
        <v>268</v>
      </c>
      <c r="AO339" s="12" t="s">
        <v>268</v>
      </c>
      <c r="AP339" s="12" t="s">
        <v>268</v>
      </c>
      <c r="AQ339" s="12" t="s">
        <v>268</v>
      </c>
      <c r="AR339" s="28" t="str">
        <f t="shared" ca="1" si="28"/>
        <v/>
      </c>
      <c r="AS339" s="28" t="str">
        <f t="shared" ca="1" si="29"/>
        <v/>
      </c>
    </row>
    <row r="340" spans="2:45" ht="27.6" customHeight="1">
      <c r="B340">
        <f t="shared" ca="1" si="25"/>
        <v>0</v>
      </c>
      <c r="C340" t="s">
        <v>85</v>
      </c>
      <c r="D340" t="s">
        <v>92</v>
      </c>
      <c r="E340" t="s">
        <v>92</v>
      </c>
      <c r="F340" t="s">
        <v>92</v>
      </c>
      <c r="G340" t="s">
        <v>92</v>
      </c>
      <c r="H340" t="s">
        <v>92</v>
      </c>
      <c r="I340" s="12" t="s">
        <v>268</v>
      </c>
      <c r="J340" t="s">
        <v>278</v>
      </c>
      <c r="L340" t="s">
        <v>92</v>
      </c>
      <c r="N340" s="14">
        <v>1</v>
      </c>
      <c r="P340" s="12" t="s">
        <v>268</v>
      </c>
      <c r="W340" s="9" t="str">
        <f t="shared" ca="1" si="26"/>
        <v>18.5%</v>
      </c>
      <c r="X340" t="s">
        <v>321</v>
      </c>
      <c r="Y340" s="9" t="str">
        <f t="shared" ca="1" si="27"/>
        <v>Sin costo</v>
      </c>
      <c r="Z340" t="s">
        <v>327</v>
      </c>
      <c r="AA340" t="s">
        <v>329</v>
      </c>
      <c r="AB340" t="s">
        <v>334</v>
      </c>
      <c r="AC340" s="12" t="s">
        <v>339</v>
      </c>
      <c r="AE340" t="s">
        <v>268</v>
      </c>
      <c r="AG340" s="12" t="s">
        <v>268</v>
      </c>
      <c r="AH340" t="s">
        <v>92</v>
      </c>
      <c r="AI340" s="12" t="s">
        <v>268</v>
      </c>
      <c r="AJ340" t="s">
        <v>92</v>
      </c>
      <c r="AK340" t="s">
        <v>92</v>
      </c>
      <c r="AL340" t="s">
        <v>92</v>
      </c>
      <c r="AM340" s="12" t="s">
        <v>268</v>
      </c>
      <c r="AN340" s="12" t="s">
        <v>268</v>
      </c>
      <c r="AO340" s="12" t="s">
        <v>268</v>
      </c>
      <c r="AP340" s="12" t="s">
        <v>268</v>
      </c>
      <c r="AQ340" s="12" t="s">
        <v>268</v>
      </c>
      <c r="AR340" s="28" t="str">
        <f t="shared" ca="1" si="28"/>
        <v/>
      </c>
      <c r="AS340" s="28" t="str">
        <f t="shared" ca="1" si="29"/>
        <v/>
      </c>
    </row>
    <row r="341" spans="2:45" ht="27.6" customHeight="1">
      <c r="B341">
        <f t="shared" ca="1" si="25"/>
        <v>0</v>
      </c>
      <c r="C341" t="s">
        <v>85</v>
      </c>
      <c r="D341" t="s">
        <v>92</v>
      </c>
      <c r="E341" t="s">
        <v>92</v>
      </c>
      <c r="F341" t="s">
        <v>92</v>
      </c>
      <c r="G341" t="s">
        <v>92</v>
      </c>
      <c r="H341" t="s">
        <v>92</v>
      </c>
      <c r="I341" s="12" t="s">
        <v>268</v>
      </c>
      <c r="J341" t="s">
        <v>278</v>
      </c>
      <c r="L341" t="s">
        <v>92</v>
      </c>
      <c r="N341" s="14">
        <v>1</v>
      </c>
      <c r="P341" s="12" t="s">
        <v>268</v>
      </c>
      <c r="W341" s="9" t="str">
        <f t="shared" ca="1" si="26"/>
        <v>18.5%</v>
      </c>
      <c r="X341" t="s">
        <v>321</v>
      </c>
      <c r="Y341" s="9" t="str">
        <f t="shared" ca="1" si="27"/>
        <v>Sin costo</v>
      </c>
      <c r="Z341" t="s">
        <v>327</v>
      </c>
      <c r="AA341" t="s">
        <v>329</v>
      </c>
      <c r="AB341" t="s">
        <v>334</v>
      </c>
      <c r="AC341" s="12" t="s">
        <v>339</v>
      </c>
      <c r="AE341" t="s">
        <v>268</v>
      </c>
      <c r="AG341" s="12" t="s">
        <v>268</v>
      </c>
      <c r="AH341" t="s">
        <v>92</v>
      </c>
      <c r="AI341" s="12" t="s">
        <v>268</v>
      </c>
      <c r="AJ341" t="s">
        <v>92</v>
      </c>
      <c r="AK341" t="s">
        <v>92</v>
      </c>
      <c r="AL341" t="s">
        <v>92</v>
      </c>
      <c r="AM341" s="12" t="s">
        <v>268</v>
      </c>
      <c r="AN341" s="12" t="s">
        <v>268</v>
      </c>
      <c r="AO341" s="12" t="s">
        <v>268</v>
      </c>
      <c r="AP341" s="12" t="s">
        <v>268</v>
      </c>
      <c r="AQ341" s="12" t="s">
        <v>268</v>
      </c>
      <c r="AR341" s="28" t="str">
        <f t="shared" ca="1" si="28"/>
        <v/>
      </c>
      <c r="AS341" s="28" t="str">
        <f t="shared" ca="1" si="29"/>
        <v/>
      </c>
    </row>
    <row r="342" spans="2:45" ht="27.6" customHeight="1">
      <c r="B342">
        <f t="shared" ca="1" si="25"/>
        <v>0</v>
      </c>
      <c r="C342" t="s">
        <v>85</v>
      </c>
      <c r="D342" t="s">
        <v>92</v>
      </c>
      <c r="E342" t="s">
        <v>92</v>
      </c>
      <c r="F342" t="s">
        <v>92</v>
      </c>
      <c r="G342" t="s">
        <v>92</v>
      </c>
      <c r="H342" t="s">
        <v>92</v>
      </c>
      <c r="I342" s="12" t="s">
        <v>268</v>
      </c>
      <c r="J342" t="s">
        <v>278</v>
      </c>
      <c r="L342" t="s">
        <v>92</v>
      </c>
      <c r="N342" s="14">
        <v>1</v>
      </c>
      <c r="P342" s="12" t="s">
        <v>268</v>
      </c>
      <c r="W342" s="9" t="str">
        <f t="shared" ca="1" si="26"/>
        <v>18.5%</v>
      </c>
      <c r="X342" t="s">
        <v>321</v>
      </c>
      <c r="Y342" s="9" t="str">
        <f t="shared" ca="1" si="27"/>
        <v>Sin costo</v>
      </c>
      <c r="Z342" t="s">
        <v>327</v>
      </c>
      <c r="AA342" t="s">
        <v>329</v>
      </c>
      <c r="AB342" t="s">
        <v>334</v>
      </c>
      <c r="AC342" s="12" t="s">
        <v>339</v>
      </c>
      <c r="AE342" t="s">
        <v>268</v>
      </c>
      <c r="AG342" s="12" t="s">
        <v>268</v>
      </c>
      <c r="AH342" t="s">
        <v>92</v>
      </c>
      <c r="AI342" s="12" t="s">
        <v>268</v>
      </c>
      <c r="AJ342" t="s">
        <v>92</v>
      </c>
      <c r="AK342" t="s">
        <v>92</v>
      </c>
      <c r="AL342" t="s">
        <v>92</v>
      </c>
      <c r="AM342" s="12" t="s">
        <v>268</v>
      </c>
      <c r="AN342" s="12" t="s">
        <v>268</v>
      </c>
      <c r="AO342" s="12" t="s">
        <v>268</v>
      </c>
      <c r="AP342" s="12" t="s">
        <v>268</v>
      </c>
      <c r="AQ342" s="12" t="s">
        <v>268</v>
      </c>
      <c r="AR342" s="28" t="str">
        <f t="shared" ca="1" si="28"/>
        <v/>
      </c>
      <c r="AS342" s="28" t="str">
        <f t="shared" ca="1" si="29"/>
        <v/>
      </c>
    </row>
    <row r="343" spans="2:45" ht="27.6" customHeight="1">
      <c r="B343">
        <f t="shared" ca="1" si="25"/>
        <v>0</v>
      </c>
      <c r="C343" t="s">
        <v>85</v>
      </c>
      <c r="D343" t="s">
        <v>92</v>
      </c>
      <c r="E343" t="s">
        <v>92</v>
      </c>
      <c r="F343" t="s">
        <v>92</v>
      </c>
      <c r="G343" t="s">
        <v>92</v>
      </c>
      <c r="H343" t="s">
        <v>92</v>
      </c>
      <c r="I343" s="12" t="s">
        <v>268</v>
      </c>
      <c r="J343" t="s">
        <v>278</v>
      </c>
      <c r="L343" t="s">
        <v>92</v>
      </c>
      <c r="N343" s="14">
        <v>1</v>
      </c>
      <c r="P343" s="12" t="s">
        <v>268</v>
      </c>
      <c r="W343" s="9" t="str">
        <f t="shared" ca="1" si="26"/>
        <v>18.5%</v>
      </c>
      <c r="X343" t="s">
        <v>321</v>
      </c>
      <c r="Y343" s="9" t="str">
        <f t="shared" ca="1" si="27"/>
        <v>Sin costo</v>
      </c>
      <c r="Z343" t="s">
        <v>327</v>
      </c>
      <c r="AA343" t="s">
        <v>329</v>
      </c>
      <c r="AB343" t="s">
        <v>334</v>
      </c>
      <c r="AC343" s="12" t="s">
        <v>339</v>
      </c>
      <c r="AE343" t="s">
        <v>268</v>
      </c>
      <c r="AG343" s="12" t="s">
        <v>268</v>
      </c>
      <c r="AH343" t="s">
        <v>92</v>
      </c>
      <c r="AI343" s="12" t="s">
        <v>268</v>
      </c>
      <c r="AJ343" t="s">
        <v>92</v>
      </c>
      <c r="AK343" t="s">
        <v>92</v>
      </c>
      <c r="AL343" t="s">
        <v>92</v>
      </c>
      <c r="AM343" s="12" t="s">
        <v>268</v>
      </c>
      <c r="AN343" s="12" t="s">
        <v>268</v>
      </c>
      <c r="AO343" s="12" t="s">
        <v>268</v>
      </c>
      <c r="AP343" s="12" t="s">
        <v>268</v>
      </c>
      <c r="AQ343" s="12" t="s">
        <v>268</v>
      </c>
      <c r="AR343" s="28" t="str">
        <f t="shared" ca="1" si="28"/>
        <v/>
      </c>
      <c r="AS343" s="28" t="str">
        <f t="shared" ca="1" si="29"/>
        <v/>
      </c>
    </row>
    <row r="344" spans="2:45" ht="27.6" customHeight="1">
      <c r="B344">
        <f t="shared" ca="1" si="25"/>
        <v>0</v>
      </c>
      <c r="C344" t="s">
        <v>85</v>
      </c>
      <c r="D344" t="s">
        <v>92</v>
      </c>
      <c r="E344" t="s">
        <v>92</v>
      </c>
      <c r="F344" t="s">
        <v>92</v>
      </c>
      <c r="G344" t="s">
        <v>92</v>
      </c>
      <c r="H344" t="s">
        <v>92</v>
      </c>
      <c r="I344" s="12" t="s">
        <v>268</v>
      </c>
      <c r="J344" t="s">
        <v>278</v>
      </c>
      <c r="L344" t="s">
        <v>92</v>
      </c>
      <c r="N344" s="14">
        <v>1</v>
      </c>
      <c r="P344" s="12" t="s">
        <v>268</v>
      </c>
      <c r="W344" s="9" t="str">
        <f t="shared" ca="1" si="26"/>
        <v>18.5%</v>
      </c>
      <c r="X344" t="s">
        <v>321</v>
      </c>
      <c r="Y344" s="9" t="str">
        <f t="shared" ca="1" si="27"/>
        <v>Sin costo</v>
      </c>
      <c r="Z344" t="s">
        <v>327</v>
      </c>
      <c r="AA344" t="s">
        <v>329</v>
      </c>
      <c r="AB344" t="s">
        <v>334</v>
      </c>
      <c r="AC344" s="12" t="s">
        <v>339</v>
      </c>
      <c r="AE344" t="s">
        <v>268</v>
      </c>
      <c r="AG344" s="12" t="s">
        <v>268</v>
      </c>
      <c r="AH344" t="s">
        <v>92</v>
      </c>
      <c r="AI344" s="12" t="s">
        <v>268</v>
      </c>
      <c r="AJ344" t="s">
        <v>92</v>
      </c>
      <c r="AK344" t="s">
        <v>92</v>
      </c>
      <c r="AL344" t="s">
        <v>92</v>
      </c>
      <c r="AM344" s="12" t="s">
        <v>268</v>
      </c>
      <c r="AN344" s="12" t="s">
        <v>268</v>
      </c>
      <c r="AO344" s="12" t="s">
        <v>268</v>
      </c>
      <c r="AP344" s="12" t="s">
        <v>268</v>
      </c>
      <c r="AQ344" s="12" t="s">
        <v>268</v>
      </c>
      <c r="AR344" s="28" t="str">
        <f t="shared" ca="1" si="28"/>
        <v/>
      </c>
      <c r="AS344" s="28" t="str">
        <f t="shared" ca="1" si="29"/>
        <v/>
      </c>
    </row>
    <row r="345" spans="2:45" ht="27.6" customHeight="1">
      <c r="B345">
        <f t="shared" ca="1" si="25"/>
        <v>0</v>
      </c>
      <c r="C345" t="s">
        <v>85</v>
      </c>
      <c r="D345" t="s">
        <v>92</v>
      </c>
      <c r="E345" t="s">
        <v>92</v>
      </c>
      <c r="F345" t="s">
        <v>92</v>
      </c>
      <c r="G345" t="s">
        <v>92</v>
      </c>
      <c r="H345" t="s">
        <v>92</v>
      </c>
      <c r="I345" s="12" t="s">
        <v>268</v>
      </c>
      <c r="J345" t="s">
        <v>278</v>
      </c>
      <c r="L345" t="s">
        <v>92</v>
      </c>
      <c r="N345" s="14">
        <v>1</v>
      </c>
      <c r="P345" s="12" t="s">
        <v>268</v>
      </c>
      <c r="W345" s="9" t="str">
        <f t="shared" ca="1" si="26"/>
        <v>18.5%</v>
      </c>
      <c r="X345" t="s">
        <v>321</v>
      </c>
      <c r="Y345" s="9" t="str">
        <f t="shared" ca="1" si="27"/>
        <v>Sin costo</v>
      </c>
      <c r="Z345" t="s">
        <v>327</v>
      </c>
      <c r="AA345" t="s">
        <v>329</v>
      </c>
      <c r="AB345" t="s">
        <v>334</v>
      </c>
      <c r="AC345" s="12" t="s">
        <v>339</v>
      </c>
      <c r="AE345" t="s">
        <v>268</v>
      </c>
      <c r="AG345" s="12" t="s">
        <v>268</v>
      </c>
      <c r="AH345" t="s">
        <v>92</v>
      </c>
      <c r="AI345" s="12" t="s">
        <v>268</v>
      </c>
      <c r="AJ345" t="s">
        <v>92</v>
      </c>
      <c r="AK345" t="s">
        <v>92</v>
      </c>
      <c r="AL345" t="s">
        <v>92</v>
      </c>
      <c r="AM345" s="12" t="s">
        <v>268</v>
      </c>
      <c r="AN345" s="12" t="s">
        <v>268</v>
      </c>
      <c r="AO345" s="12" t="s">
        <v>268</v>
      </c>
      <c r="AP345" s="12" t="s">
        <v>268</v>
      </c>
      <c r="AQ345" s="12" t="s">
        <v>268</v>
      </c>
      <c r="AR345" s="28" t="str">
        <f t="shared" ca="1" si="28"/>
        <v/>
      </c>
      <c r="AS345" s="28" t="str">
        <f t="shared" ca="1" si="29"/>
        <v/>
      </c>
    </row>
    <row r="346" spans="2:45" ht="27.6" customHeight="1">
      <c r="B346">
        <f t="shared" ca="1" si="25"/>
        <v>0</v>
      </c>
      <c r="C346" t="s">
        <v>85</v>
      </c>
      <c r="D346" t="s">
        <v>92</v>
      </c>
      <c r="E346" t="s">
        <v>92</v>
      </c>
      <c r="F346" t="s">
        <v>92</v>
      </c>
      <c r="G346" t="s">
        <v>92</v>
      </c>
      <c r="H346" t="s">
        <v>92</v>
      </c>
      <c r="I346" s="12" t="s">
        <v>268</v>
      </c>
      <c r="J346" t="s">
        <v>278</v>
      </c>
      <c r="L346" t="s">
        <v>92</v>
      </c>
      <c r="N346" s="14">
        <v>1</v>
      </c>
      <c r="P346" s="12" t="s">
        <v>268</v>
      </c>
      <c r="W346" s="9" t="str">
        <f t="shared" ca="1" si="26"/>
        <v>18.5%</v>
      </c>
      <c r="X346" t="s">
        <v>321</v>
      </c>
      <c r="Y346" s="9" t="str">
        <f t="shared" ca="1" si="27"/>
        <v>Sin costo</v>
      </c>
      <c r="Z346" t="s">
        <v>327</v>
      </c>
      <c r="AA346" t="s">
        <v>329</v>
      </c>
      <c r="AB346" t="s">
        <v>334</v>
      </c>
      <c r="AC346" s="12" t="s">
        <v>339</v>
      </c>
      <c r="AE346" t="s">
        <v>268</v>
      </c>
      <c r="AG346" s="12" t="s">
        <v>268</v>
      </c>
      <c r="AH346" t="s">
        <v>92</v>
      </c>
      <c r="AI346" s="12" t="s">
        <v>268</v>
      </c>
      <c r="AJ346" t="s">
        <v>92</v>
      </c>
      <c r="AK346" t="s">
        <v>92</v>
      </c>
      <c r="AL346" t="s">
        <v>92</v>
      </c>
      <c r="AM346" s="12" t="s">
        <v>268</v>
      </c>
      <c r="AN346" s="12" t="s">
        <v>268</v>
      </c>
      <c r="AO346" s="12" t="s">
        <v>268</v>
      </c>
      <c r="AP346" s="12" t="s">
        <v>268</v>
      </c>
      <c r="AQ346" s="12" t="s">
        <v>268</v>
      </c>
      <c r="AR346" s="28" t="str">
        <f t="shared" ca="1" si="28"/>
        <v/>
      </c>
      <c r="AS346" s="28" t="str">
        <f t="shared" ca="1" si="29"/>
        <v/>
      </c>
    </row>
    <row r="347" spans="2:45" ht="27.6" customHeight="1">
      <c r="B347">
        <f t="shared" ca="1" si="25"/>
        <v>0</v>
      </c>
      <c r="C347" t="s">
        <v>85</v>
      </c>
      <c r="D347" t="s">
        <v>92</v>
      </c>
      <c r="E347" t="s">
        <v>92</v>
      </c>
      <c r="F347" t="s">
        <v>92</v>
      </c>
      <c r="G347" t="s">
        <v>92</v>
      </c>
      <c r="H347" t="s">
        <v>92</v>
      </c>
      <c r="I347" s="12" t="s">
        <v>268</v>
      </c>
      <c r="J347" t="s">
        <v>278</v>
      </c>
      <c r="L347" t="s">
        <v>92</v>
      </c>
      <c r="N347" s="14">
        <v>1</v>
      </c>
      <c r="P347" s="12" t="s">
        <v>268</v>
      </c>
      <c r="W347" s="9" t="str">
        <f t="shared" ca="1" si="26"/>
        <v>18.5%</v>
      </c>
      <c r="X347" t="s">
        <v>321</v>
      </c>
      <c r="Y347" s="9" t="str">
        <f t="shared" ca="1" si="27"/>
        <v>Sin costo</v>
      </c>
      <c r="Z347" t="s">
        <v>327</v>
      </c>
      <c r="AA347" t="s">
        <v>329</v>
      </c>
      <c r="AB347" t="s">
        <v>334</v>
      </c>
      <c r="AC347" s="12" t="s">
        <v>339</v>
      </c>
      <c r="AE347" t="s">
        <v>268</v>
      </c>
      <c r="AG347" s="12" t="s">
        <v>268</v>
      </c>
      <c r="AH347" t="s">
        <v>92</v>
      </c>
      <c r="AI347" s="12" t="s">
        <v>268</v>
      </c>
      <c r="AJ347" t="s">
        <v>92</v>
      </c>
      <c r="AK347" t="s">
        <v>92</v>
      </c>
      <c r="AL347" t="s">
        <v>92</v>
      </c>
      <c r="AM347" s="12" t="s">
        <v>268</v>
      </c>
      <c r="AN347" s="12" t="s">
        <v>268</v>
      </c>
      <c r="AO347" s="12" t="s">
        <v>268</v>
      </c>
      <c r="AP347" s="12" t="s">
        <v>268</v>
      </c>
      <c r="AQ347" s="12" t="s">
        <v>268</v>
      </c>
      <c r="AR347" s="28" t="str">
        <f t="shared" ca="1" si="28"/>
        <v/>
      </c>
      <c r="AS347" s="28" t="str">
        <f t="shared" ca="1" si="29"/>
        <v/>
      </c>
    </row>
    <row r="348" spans="2:45" ht="27.6" customHeight="1">
      <c r="B348">
        <f t="shared" ca="1" si="25"/>
        <v>0</v>
      </c>
      <c r="C348" t="s">
        <v>85</v>
      </c>
      <c r="D348" t="s">
        <v>92</v>
      </c>
      <c r="E348" t="s">
        <v>92</v>
      </c>
      <c r="F348" t="s">
        <v>92</v>
      </c>
      <c r="G348" t="s">
        <v>92</v>
      </c>
      <c r="H348" t="s">
        <v>92</v>
      </c>
      <c r="I348" s="12" t="s">
        <v>268</v>
      </c>
      <c r="J348" t="s">
        <v>278</v>
      </c>
      <c r="L348" t="s">
        <v>92</v>
      </c>
      <c r="N348" s="14">
        <v>1</v>
      </c>
      <c r="P348" s="12" t="s">
        <v>268</v>
      </c>
      <c r="W348" s="9" t="str">
        <f t="shared" ca="1" si="26"/>
        <v>18.5%</v>
      </c>
      <c r="X348" t="s">
        <v>321</v>
      </c>
      <c r="Y348" s="9" t="str">
        <f t="shared" ca="1" si="27"/>
        <v>Sin costo</v>
      </c>
      <c r="Z348" t="s">
        <v>327</v>
      </c>
      <c r="AA348" t="s">
        <v>329</v>
      </c>
      <c r="AB348" t="s">
        <v>334</v>
      </c>
      <c r="AC348" s="12" t="s">
        <v>339</v>
      </c>
      <c r="AE348" t="s">
        <v>268</v>
      </c>
      <c r="AG348" s="12" t="s">
        <v>268</v>
      </c>
      <c r="AH348" t="s">
        <v>92</v>
      </c>
      <c r="AI348" s="12" t="s">
        <v>268</v>
      </c>
      <c r="AJ348" t="s">
        <v>92</v>
      </c>
      <c r="AK348" t="s">
        <v>92</v>
      </c>
      <c r="AL348" t="s">
        <v>92</v>
      </c>
      <c r="AM348" s="12" t="s">
        <v>268</v>
      </c>
      <c r="AN348" s="12" t="s">
        <v>268</v>
      </c>
      <c r="AO348" s="12" t="s">
        <v>268</v>
      </c>
      <c r="AP348" s="12" t="s">
        <v>268</v>
      </c>
      <c r="AQ348" s="12" t="s">
        <v>268</v>
      </c>
      <c r="AR348" s="28" t="str">
        <f t="shared" ca="1" si="28"/>
        <v/>
      </c>
      <c r="AS348" s="28" t="str">
        <f t="shared" ca="1" si="29"/>
        <v/>
      </c>
    </row>
    <row r="349" spans="2:45" ht="27.6" customHeight="1">
      <c r="B349">
        <f t="shared" ca="1" si="25"/>
        <v>0</v>
      </c>
      <c r="C349" t="s">
        <v>85</v>
      </c>
      <c r="D349" t="s">
        <v>92</v>
      </c>
      <c r="E349" t="s">
        <v>92</v>
      </c>
      <c r="F349" t="s">
        <v>92</v>
      </c>
      <c r="G349" t="s">
        <v>92</v>
      </c>
      <c r="H349" t="s">
        <v>92</v>
      </c>
      <c r="I349" s="12" t="s">
        <v>268</v>
      </c>
      <c r="J349" t="s">
        <v>278</v>
      </c>
      <c r="L349" t="s">
        <v>92</v>
      </c>
      <c r="N349" s="14">
        <v>1</v>
      </c>
      <c r="P349" s="12" t="s">
        <v>268</v>
      </c>
      <c r="W349" s="9" t="str">
        <f t="shared" ca="1" si="26"/>
        <v>18.5%</v>
      </c>
      <c r="X349" t="s">
        <v>321</v>
      </c>
      <c r="Y349" s="9" t="str">
        <f t="shared" ca="1" si="27"/>
        <v>Sin costo</v>
      </c>
      <c r="Z349" t="s">
        <v>327</v>
      </c>
      <c r="AA349" t="s">
        <v>329</v>
      </c>
      <c r="AB349" t="s">
        <v>334</v>
      </c>
      <c r="AC349" s="12" t="s">
        <v>339</v>
      </c>
      <c r="AE349" t="s">
        <v>268</v>
      </c>
      <c r="AG349" s="12" t="s">
        <v>268</v>
      </c>
      <c r="AH349" t="s">
        <v>92</v>
      </c>
      <c r="AI349" s="12" t="s">
        <v>268</v>
      </c>
      <c r="AJ349" t="s">
        <v>92</v>
      </c>
      <c r="AK349" t="s">
        <v>92</v>
      </c>
      <c r="AL349" t="s">
        <v>92</v>
      </c>
      <c r="AM349" s="12" t="s">
        <v>268</v>
      </c>
      <c r="AN349" s="12" t="s">
        <v>268</v>
      </c>
      <c r="AO349" s="12" t="s">
        <v>268</v>
      </c>
      <c r="AP349" s="12" t="s">
        <v>268</v>
      </c>
      <c r="AQ349" s="12" t="s">
        <v>268</v>
      </c>
      <c r="AR349" s="28" t="str">
        <f t="shared" ca="1" si="28"/>
        <v/>
      </c>
      <c r="AS349" s="28" t="str">
        <f t="shared" ca="1" si="29"/>
        <v/>
      </c>
    </row>
    <row r="350" spans="2:45" ht="27.6" customHeight="1">
      <c r="B350">
        <f t="shared" ca="1" si="25"/>
        <v>0</v>
      </c>
      <c r="C350" t="s">
        <v>85</v>
      </c>
      <c r="D350" t="s">
        <v>92</v>
      </c>
      <c r="E350" t="s">
        <v>92</v>
      </c>
      <c r="F350" t="s">
        <v>92</v>
      </c>
      <c r="G350" t="s">
        <v>92</v>
      </c>
      <c r="H350" t="s">
        <v>92</v>
      </c>
      <c r="I350" s="12" t="s">
        <v>268</v>
      </c>
      <c r="J350" t="s">
        <v>278</v>
      </c>
      <c r="L350" t="s">
        <v>92</v>
      </c>
      <c r="N350" s="14">
        <v>1</v>
      </c>
      <c r="P350" s="12" t="s">
        <v>268</v>
      </c>
      <c r="W350" s="9" t="str">
        <f t="shared" ca="1" si="26"/>
        <v>18.5%</v>
      </c>
      <c r="X350" t="s">
        <v>321</v>
      </c>
      <c r="Y350" s="9" t="str">
        <f t="shared" ca="1" si="27"/>
        <v>Sin costo</v>
      </c>
      <c r="Z350" t="s">
        <v>327</v>
      </c>
      <c r="AA350" t="s">
        <v>329</v>
      </c>
      <c r="AB350" t="s">
        <v>334</v>
      </c>
      <c r="AC350" s="12" t="s">
        <v>339</v>
      </c>
      <c r="AE350" t="s">
        <v>268</v>
      </c>
      <c r="AG350" s="12" t="s">
        <v>268</v>
      </c>
      <c r="AH350" t="s">
        <v>92</v>
      </c>
      <c r="AI350" s="12" t="s">
        <v>268</v>
      </c>
      <c r="AJ350" t="s">
        <v>92</v>
      </c>
      <c r="AK350" t="s">
        <v>92</v>
      </c>
      <c r="AL350" t="s">
        <v>92</v>
      </c>
      <c r="AM350" s="12" t="s">
        <v>268</v>
      </c>
      <c r="AN350" s="12" t="s">
        <v>268</v>
      </c>
      <c r="AO350" s="12" t="s">
        <v>268</v>
      </c>
      <c r="AP350" s="12" t="s">
        <v>268</v>
      </c>
      <c r="AQ350" s="12" t="s">
        <v>268</v>
      </c>
      <c r="AR350" s="28" t="str">
        <f t="shared" ca="1" si="28"/>
        <v/>
      </c>
      <c r="AS350" s="28" t="str">
        <f t="shared" ca="1" si="29"/>
        <v/>
      </c>
    </row>
    <row r="351" spans="2:45" ht="27.6" customHeight="1">
      <c r="B351">
        <f t="shared" ca="1" si="25"/>
        <v>0</v>
      </c>
      <c r="C351" t="s">
        <v>85</v>
      </c>
      <c r="D351" t="s">
        <v>92</v>
      </c>
      <c r="E351" t="s">
        <v>92</v>
      </c>
      <c r="F351" t="s">
        <v>92</v>
      </c>
      <c r="G351" t="s">
        <v>92</v>
      </c>
      <c r="H351" t="s">
        <v>92</v>
      </c>
      <c r="I351" s="12" t="s">
        <v>268</v>
      </c>
      <c r="J351" t="s">
        <v>278</v>
      </c>
      <c r="L351" t="s">
        <v>92</v>
      </c>
      <c r="N351" s="14">
        <v>1</v>
      </c>
      <c r="P351" s="12" t="s">
        <v>268</v>
      </c>
      <c r="W351" s="9" t="str">
        <f t="shared" ca="1" si="26"/>
        <v>18.5%</v>
      </c>
      <c r="X351" t="s">
        <v>321</v>
      </c>
      <c r="Y351" s="9" t="str">
        <f t="shared" ca="1" si="27"/>
        <v>Sin costo</v>
      </c>
      <c r="Z351" t="s">
        <v>327</v>
      </c>
      <c r="AA351" t="s">
        <v>329</v>
      </c>
      <c r="AB351" t="s">
        <v>334</v>
      </c>
      <c r="AC351" s="12" t="s">
        <v>339</v>
      </c>
      <c r="AE351" t="s">
        <v>268</v>
      </c>
      <c r="AG351" s="12" t="s">
        <v>268</v>
      </c>
      <c r="AH351" t="s">
        <v>92</v>
      </c>
      <c r="AI351" s="12" t="s">
        <v>268</v>
      </c>
      <c r="AJ351" t="s">
        <v>92</v>
      </c>
      <c r="AK351" t="s">
        <v>92</v>
      </c>
      <c r="AL351" t="s">
        <v>92</v>
      </c>
      <c r="AM351" s="12" t="s">
        <v>268</v>
      </c>
      <c r="AN351" s="12" t="s">
        <v>268</v>
      </c>
      <c r="AO351" s="12" t="s">
        <v>268</v>
      </c>
      <c r="AP351" s="12" t="s">
        <v>268</v>
      </c>
      <c r="AQ351" s="12" t="s">
        <v>268</v>
      </c>
      <c r="AR351" s="28" t="str">
        <f t="shared" ca="1" si="28"/>
        <v/>
      </c>
      <c r="AS351" s="28" t="str">
        <f t="shared" ca="1" si="29"/>
        <v/>
      </c>
    </row>
    <row r="352" spans="2:45" ht="27.6" customHeight="1">
      <c r="B352">
        <f t="shared" ca="1" si="25"/>
        <v>0</v>
      </c>
      <c r="C352" t="s">
        <v>85</v>
      </c>
      <c r="D352" t="s">
        <v>92</v>
      </c>
      <c r="E352" t="s">
        <v>92</v>
      </c>
      <c r="F352" t="s">
        <v>92</v>
      </c>
      <c r="G352" t="s">
        <v>92</v>
      </c>
      <c r="H352" t="s">
        <v>92</v>
      </c>
      <c r="I352" s="12" t="s">
        <v>268</v>
      </c>
      <c r="J352" t="s">
        <v>278</v>
      </c>
      <c r="L352" t="s">
        <v>92</v>
      </c>
      <c r="N352" s="14">
        <v>1</v>
      </c>
      <c r="P352" s="12" t="s">
        <v>268</v>
      </c>
      <c r="W352" s="9" t="str">
        <f t="shared" ca="1" si="26"/>
        <v>18.5%</v>
      </c>
      <c r="X352" t="s">
        <v>321</v>
      </c>
      <c r="Y352" s="9" t="str">
        <f t="shared" ca="1" si="27"/>
        <v>Sin costo</v>
      </c>
      <c r="Z352" t="s">
        <v>327</v>
      </c>
      <c r="AA352" t="s">
        <v>329</v>
      </c>
      <c r="AB352" t="s">
        <v>334</v>
      </c>
      <c r="AC352" s="12" t="s">
        <v>339</v>
      </c>
      <c r="AE352" t="s">
        <v>268</v>
      </c>
      <c r="AG352" s="12" t="s">
        <v>268</v>
      </c>
      <c r="AH352" t="s">
        <v>92</v>
      </c>
      <c r="AI352" s="12" t="s">
        <v>268</v>
      </c>
      <c r="AJ352" t="s">
        <v>92</v>
      </c>
      <c r="AK352" t="s">
        <v>92</v>
      </c>
      <c r="AL352" t="s">
        <v>92</v>
      </c>
      <c r="AM352" s="12" t="s">
        <v>268</v>
      </c>
      <c r="AN352" s="12" t="s">
        <v>268</v>
      </c>
      <c r="AO352" s="12" t="s">
        <v>268</v>
      </c>
      <c r="AP352" s="12" t="s">
        <v>268</v>
      </c>
      <c r="AQ352" s="12" t="s">
        <v>268</v>
      </c>
      <c r="AR352" s="28" t="str">
        <f t="shared" ca="1" si="28"/>
        <v/>
      </c>
      <c r="AS352" s="28" t="str">
        <f t="shared" ca="1" si="29"/>
        <v/>
      </c>
    </row>
    <row r="353" spans="2:45" ht="27.6" customHeight="1">
      <c r="B353">
        <f t="shared" ca="1" si="25"/>
        <v>0</v>
      </c>
      <c r="C353" t="s">
        <v>85</v>
      </c>
      <c r="D353" t="s">
        <v>92</v>
      </c>
      <c r="E353" t="s">
        <v>92</v>
      </c>
      <c r="F353" t="s">
        <v>92</v>
      </c>
      <c r="G353" t="s">
        <v>92</v>
      </c>
      <c r="H353" t="s">
        <v>92</v>
      </c>
      <c r="I353" s="12" t="s">
        <v>268</v>
      </c>
      <c r="J353" t="s">
        <v>278</v>
      </c>
      <c r="L353" t="s">
        <v>92</v>
      </c>
      <c r="N353" s="14">
        <v>1</v>
      </c>
      <c r="P353" s="12" t="s">
        <v>268</v>
      </c>
      <c r="W353" s="9" t="str">
        <f t="shared" ca="1" si="26"/>
        <v>18.5%</v>
      </c>
      <c r="X353" t="s">
        <v>321</v>
      </c>
      <c r="Y353" s="9" t="str">
        <f t="shared" ca="1" si="27"/>
        <v>Sin costo</v>
      </c>
      <c r="Z353" t="s">
        <v>327</v>
      </c>
      <c r="AA353" t="s">
        <v>329</v>
      </c>
      <c r="AB353" t="s">
        <v>334</v>
      </c>
      <c r="AC353" s="12" t="s">
        <v>339</v>
      </c>
      <c r="AE353" t="s">
        <v>268</v>
      </c>
      <c r="AG353" s="12" t="s">
        <v>268</v>
      </c>
      <c r="AH353" t="s">
        <v>92</v>
      </c>
      <c r="AI353" s="12" t="s">
        <v>268</v>
      </c>
      <c r="AJ353" t="s">
        <v>92</v>
      </c>
      <c r="AK353" t="s">
        <v>92</v>
      </c>
      <c r="AL353" t="s">
        <v>92</v>
      </c>
      <c r="AM353" s="12" t="s">
        <v>268</v>
      </c>
      <c r="AN353" s="12" t="s">
        <v>268</v>
      </c>
      <c r="AO353" s="12" t="s">
        <v>268</v>
      </c>
      <c r="AP353" s="12" t="s">
        <v>268</v>
      </c>
      <c r="AQ353" s="12" t="s">
        <v>268</v>
      </c>
      <c r="AR353" s="28" t="str">
        <f t="shared" ca="1" si="28"/>
        <v/>
      </c>
      <c r="AS353" s="28" t="str">
        <f t="shared" ca="1" si="29"/>
        <v/>
      </c>
    </row>
    <row r="354" spans="2:45" ht="27.6" customHeight="1">
      <c r="B354">
        <f t="shared" ca="1" si="25"/>
        <v>0</v>
      </c>
      <c r="C354" t="s">
        <v>85</v>
      </c>
      <c r="D354" t="s">
        <v>92</v>
      </c>
      <c r="E354" t="s">
        <v>92</v>
      </c>
      <c r="F354" t="s">
        <v>92</v>
      </c>
      <c r="G354" t="s">
        <v>92</v>
      </c>
      <c r="H354" t="s">
        <v>92</v>
      </c>
      <c r="I354" s="12" t="s">
        <v>268</v>
      </c>
      <c r="J354" t="s">
        <v>278</v>
      </c>
      <c r="L354" t="s">
        <v>92</v>
      </c>
      <c r="N354" s="14">
        <v>1</v>
      </c>
      <c r="P354" s="12" t="s">
        <v>268</v>
      </c>
      <c r="W354" s="9" t="str">
        <f t="shared" ca="1" si="26"/>
        <v>18.5%</v>
      </c>
      <c r="X354" t="s">
        <v>321</v>
      </c>
      <c r="Y354" s="9" t="str">
        <f t="shared" ca="1" si="27"/>
        <v>Sin costo</v>
      </c>
      <c r="Z354" t="s">
        <v>327</v>
      </c>
      <c r="AA354" t="s">
        <v>329</v>
      </c>
      <c r="AB354" t="s">
        <v>334</v>
      </c>
      <c r="AC354" s="12" t="s">
        <v>339</v>
      </c>
      <c r="AE354" t="s">
        <v>268</v>
      </c>
      <c r="AG354" s="12" t="s">
        <v>268</v>
      </c>
      <c r="AH354" t="s">
        <v>92</v>
      </c>
      <c r="AI354" s="12" t="s">
        <v>268</v>
      </c>
      <c r="AJ354" t="s">
        <v>92</v>
      </c>
      <c r="AK354" t="s">
        <v>92</v>
      </c>
      <c r="AL354" t="s">
        <v>92</v>
      </c>
      <c r="AM354" s="12" t="s">
        <v>268</v>
      </c>
      <c r="AN354" s="12" t="s">
        <v>268</v>
      </c>
      <c r="AO354" s="12" t="s">
        <v>268</v>
      </c>
      <c r="AP354" s="12" t="s">
        <v>268</v>
      </c>
      <c r="AQ354" s="12" t="s">
        <v>268</v>
      </c>
      <c r="AR354" s="28" t="str">
        <f t="shared" ca="1" si="28"/>
        <v/>
      </c>
      <c r="AS354" s="28" t="str">
        <f t="shared" ca="1" si="29"/>
        <v/>
      </c>
    </row>
    <row r="355" spans="2:45" ht="27.6" customHeight="1">
      <c r="B355">
        <f t="shared" ca="1" si="25"/>
        <v>0</v>
      </c>
      <c r="C355" t="s">
        <v>85</v>
      </c>
      <c r="D355" t="s">
        <v>92</v>
      </c>
      <c r="E355" t="s">
        <v>92</v>
      </c>
      <c r="F355" t="s">
        <v>92</v>
      </c>
      <c r="G355" t="s">
        <v>92</v>
      </c>
      <c r="H355" t="s">
        <v>92</v>
      </c>
      <c r="I355" s="12" t="s">
        <v>268</v>
      </c>
      <c r="J355" t="s">
        <v>278</v>
      </c>
      <c r="L355" t="s">
        <v>92</v>
      </c>
      <c r="N355" s="14">
        <v>1</v>
      </c>
      <c r="P355" s="12" t="s">
        <v>268</v>
      </c>
      <c r="W355" s="9" t="str">
        <f t="shared" ca="1" si="26"/>
        <v>18.5%</v>
      </c>
      <c r="X355" t="s">
        <v>321</v>
      </c>
      <c r="Y355" s="9" t="str">
        <f t="shared" ca="1" si="27"/>
        <v>Sin costo</v>
      </c>
      <c r="Z355" t="s">
        <v>327</v>
      </c>
      <c r="AA355" t="s">
        <v>329</v>
      </c>
      <c r="AB355" t="s">
        <v>334</v>
      </c>
      <c r="AC355" s="12" t="s">
        <v>339</v>
      </c>
      <c r="AE355" t="s">
        <v>268</v>
      </c>
      <c r="AG355" s="12" t="s">
        <v>268</v>
      </c>
      <c r="AH355" t="s">
        <v>92</v>
      </c>
      <c r="AI355" s="12" t="s">
        <v>268</v>
      </c>
      <c r="AJ355" t="s">
        <v>92</v>
      </c>
      <c r="AK355" t="s">
        <v>92</v>
      </c>
      <c r="AL355" t="s">
        <v>92</v>
      </c>
      <c r="AM355" s="12" t="s">
        <v>268</v>
      </c>
      <c r="AN355" s="12" t="s">
        <v>268</v>
      </c>
      <c r="AO355" s="12" t="s">
        <v>268</v>
      </c>
      <c r="AP355" s="12" t="s">
        <v>268</v>
      </c>
      <c r="AQ355" s="12" t="s">
        <v>268</v>
      </c>
      <c r="AR355" s="28" t="str">
        <f t="shared" ca="1" si="28"/>
        <v/>
      </c>
      <c r="AS355" s="28" t="str">
        <f t="shared" ca="1" si="29"/>
        <v/>
      </c>
    </row>
    <row r="356" spans="2:45" ht="27.6" customHeight="1">
      <c r="B356">
        <f t="shared" ca="1" si="25"/>
        <v>0</v>
      </c>
      <c r="C356" t="s">
        <v>85</v>
      </c>
      <c r="D356" t="s">
        <v>92</v>
      </c>
      <c r="E356" t="s">
        <v>92</v>
      </c>
      <c r="F356" t="s">
        <v>92</v>
      </c>
      <c r="G356" t="s">
        <v>92</v>
      </c>
      <c r="H356" t="s">
        <v>92</v>
      </c>
      <c r="I356" s="12" t="s">
        <v>268</v>
      </c>
      <c r="J356" t="s">
        <v>278</v>
      </c>
      <c r="L356" t="s">
        <v>92</v>
      </c>
      <c r="N356" s="14">
        <v>1</v>
      </c>
      <c r="P356" s="12" t="s">
        <v>268</v>
      </c>
      <c r="W356" s="9" t="str">
        <f t="shared" ca="1" si="26"/>
        <v>18.5%</v>
      </c>
      <c r="X356" t="s">
        <v>321</v>
      </c>
      <c r="Y356" s="9" t="str">
        <f t="shared" ca="1" si="27"/>
        <v>Sin costo</v>
      </c>
      <c r="Z356" t="s">
        <v>327</v>
      </c>
      <c r="AA356" t="s">
        <v>329</v>
      </c>
      <c r="AB356" t="s">
        <v>334</v>
      </c>
      <c r="AC356" s="12" t="s">
        <v>339</v>
      </c>
      <c r="AE356" t="s">
        <v>268</v>
      </c>
      <c r="AG356" s="12" t="s">
        <v>268</v>
      </c>
      <c r="AH356" t="s">
        <v>92</v>
      </c>
      <c r="AI356" s="12" t="s">
        <v>268</v>
      </c>
      <c r="AJ356" t="s">
        <v>92</v>
      </c>
      <c r="AK356" t="s">
        <v>92</v>
      </c>
      <c r="AL356" t="s">
        <v>92</v>
      </c>
      <c r="AM356" s="12" t="s">
        <v>268</v>
      </c>
      <c r="AN356" s="12" t="s">
        <v>268</v>
      </c>
      <c r="AO356" s="12" t="s">
        <v>268</v>
      </c>
      <c r="AP356" s="12" t="s">
        <v>268</v>
      </c>
      <c r="AQ356" s="12" t="s">
        <v>268</v>
      </c>
      <c r="AR356" s="28" t="str">
        <f t="shared" ca="1" si="28"/>
        <v/>
      </c>
      <c r="AS356" s="28" t="str">
        <f t="shared" ca="1" si="29"/>
        <v/>
      </c>
    </row>
    <row r="357" spans="2:45" ht="27.6" customHeight="1">
      <c r="B357">
        <f t="shared" ca="1" si="25"/>
        <v>0</v>
      </c>
      <c r="C357" t="s">
        <v>85</v>
      </c>
      <c r="D357" t="s">
        <v>92</v>
      </c>
      <c r="E357" t="s">
        <v>92</v>
      </c>
      <c r="F357" t="s">
        <v>92</v>
      </c>
      <c r="G357" t="s">
        <v>92</v>
      </c>
      <c r="H357" t="s">
        <v>92</v>
      </c>
      <c r="I357" s="12" t="s">
        <v>268</v>
      </c>
      <c r="J357" t="s">
        <v>278</v>
      </c>
      <c r="L357" t="s">
        <v>92</v>
      </c>
      <c r="N357" s="14">
        <v>1</v>
      </c>
      <c r="P357" s="12" t="s">
        <v>268</v>
      </c>
      <c r="W357" s="9" t="str">
        <f t="shared" ca="1" si="26"/>
        <v>18.5%</v>
      </c>
      <c r="X357" t="s">
        <v>321</v>
      </c>
      <c r="Y357" s="9" t="str">
        <f t="shared" ca="1" si="27"/>
        <v>Sin costo</v>
      </c>
      <c r="Z357" t="s">
        <v>327</v>
      </c>
      <c r="AA357" t="s">
        <v>329</v>
      </c>
      <c r="AB357" t="s">
        <v>334</v>
      </c>
      <c r="AC357" s="12" t="s">
        <v>339</v>
      </c>
      <c r="AE357" t="s">
        <v>268</v>
      </c>
      <c r="AG357" s="12" t="s">
        <v>268</v>
      </c>
      <c r="AH357" t="s">
        <v>92</v>
      </c>
      <c r="AI357" s="12" t="s">
        <v>268</v>
      </c>
      <c r="AJ357" t="s">
        <v>92</v>
      </c>
      <c r="AK357" t="s">
        <v>92</v>
      </c>
      <c r="AL357" t="s">
        <v>92</v>
      </c>
      <c r="AM357" s="12" t="s">
        <v>268</v>
      </c>
      <c r="AN357" s="12" t="s">
        <v>268</v>
      </c>
      <c r="AO357" s="12" t="s">
        <v>268</v>
      </c>
      <c r="AP357" s="12" t="s">
        <v>268</v>
      </c>
      <c r="AQ357" s="12" t="s">
        <v>268</v>
      </c>
      <c r="AR357" s="28" t="str">
        <f t="shared" ca="1" si="28"/>
        <v/>
      </c>
      <c r="AS357" s="28" t="str">
        <f t="shared" ca="1" si="29"/>
        <v/>
      </c>
    </row>
    <row r="358" spans="2:45" ht="27.6" customHeight="1">
      <c r="B358">
        <f t="shared" ca="1" si="25"/>
        <v>0</v>
      </c>
      <c r="C358" t="s">
        <v>85</v>
      </c>
      <c r="D358" t="s">
        <v>92</v>
      </c>
      <c r="E358" t="s">
        <v>92</v>
      </c>
      <c r="F358" t="s">
        <v>92</v>
      </c>
      <c r="G358" t="s">
        <v>92</v>
      </c>
      <c r="H358" t="s">
        <v>92</v>
      </c>
      <c r="I358" s="12" t="s">
        <v>268</v>
      </c>
      <c r="J358" t="s">
        <v>278</v>
      </c>
      <c r="L358" t="s">
        <v>92</v>
      </c>
      <c r="N358" s="14">
        <v>1</v>
      </c>
      <c r="P358" s="12" t="s">
        <v>268</v>
      </c>
      <c r="W358" s="9" t="str">
        <f t="shared" ca="1" si="26"/>
        <v>18.5%</v>
      </c>
      <c r="X358" t="s">
        <v>321</v>
      </c>
      <c r="Y358" s="9" t="str">
        <f t="shared" ca="1" si="27"/>
        <v>Sin costo</v>
      </c>
      <c r="Z358" t="s">
        <v>327</v>
      </c>
      <c r="AA358" t="s">
        <v>329</v>
      </c>
      <c r="AB358" t="s">
        <v>334</v>
      </c>
      <c r="AC358" s="12" t="s">
        <v>339</v>
      </c>
      <c r="AE358" t="s">
        <v>268</v>
      </c>
      <c r="AG358" s="12" t="s">
        <v>268</v>
      </c>
      <c r="AH358" t="s">
        <v>92</v>
      </c>
      <c r="AI358" s="12" t="s">
        <v>268</v>
      </c>
      <c r="AJ358" t="s">
        <v>92</v>
      </c>
      <c r="AK358" t="s">
        <v>92</v>
      </c>
      <c r="AL358" t="s">
        <v>92</v>
      </c>
      <c r="AM358" s="12" t="s">
        <v>268</v>
      </c>
      <c r="AN358" s="12" t="s">
        <v>268</v>
      </c>
      <c r="AO358" s="12" t="s">
        <v>268</v>
      </c>
      <c r="AP358" s="12" t="s">
        <v>268</v>
      </c>
      <c r="AQ358" s="12" t="s">
        <v>268</v>
      </c>
      <c r="AR358" s="28" t="str">
        <f t="shared" ca="1" si="28"/>
        <v/>
      </c>
      <c r="AS358" s="28" t="str">
        <f t="shared" ca="1" si="29"/>
        <v/>
      </c>
    </row>
    <row r="359" spans="2:45" ht="27.6" customHeight="1">
      <c r="B359">
        <f t="shared" ca="1" si="25"/>
        <v>0</v>
      </c>
      <c r="C359" t="s">
        <v>85</v>
      </c>
      <c r="D359" t="s">
        <v>92</v>
      </c>
      <c r="E359" t="s">
        <v>92</v>
      </c>
      <c r="F359" t="s">
        <v>92</v>
      </c>
      <c r="G359" t="s">
        <v>92</v>
      </c>
      <c r="H359" t="s">
        <v>92</v>
      </c>
      <c r="I359" s="12" t="s">
        <v>268</v>
      </c>
      <c r="J359" t="s">
        <v>278</v>
      </c>
      <c r="L359" t="s">
        <v>92</v>
      </c>
      <c r="N359" s="14">
        <v>1</v>
      </c>
      <c r="P359" s="12" t="s">
        <v>268</v>
      </c>
      <c r="W359" s="9" t="str">
        <f t="shared" ca="1" si="26"/>
        <v>18.5%</v>
      </c>
      <c r="X359" t="s">
        <v>321</v>
      </c>
      <c r="Y359" s="9" t="str">
        <f t="shared" ca="1" si="27"/>
        <v>Sin costo</v>
      </c>
      <c r="Z359" t="s">
        <v>327</v>
      </c>
      <c r="AA359" t="s">
        <v>329</v>
      </c>
      <c r="AB359" t="s">
        <v>334</v>
      </c>
      <c r="AC359" s="12" t="s">
        <v>339</v>
      </c>
      <c r="AE359" t="s">
        <v>268</v>
      </c>
      <c r="AG359" s="12" t="s">
        <v>268</v>
      </c>
      <c r="AH359" t="s">
        <v>92</v>
      </c>
      <c r="AI359" s="12" t="s">
        <v>268</v>
      </c>
      <c r="AJ359" t="s">
        <v>92</v>
      </c>
      <c r="AK359" t="s">
        <v>92</v>
      </c>
      <c r="AL359" t="s">
        <v>92</v>
      </c>
      <c r="AM359" s="12" t="s">
        <v>268</v>
      </c>
      <c r="AN359" s="12" t="s">
        <v>268</v>
      </c>
      <c r="AO359" s="12" t="s">
        <v>268</v>
      </c>
      <c r="AP359" s="12" t="s">
        <v>268</v>
      </c>
      <c r="AQ359" s="12" t="s">
        <v>268</v>
      </c>
      <c r="AR359" s="28" t="str">
        <f t="shared" ca="1" si="28"/>
        <v/>
      </c>
      <c r="AS359" s="28" t="str">
        <f t="shared" ca="1" si="29"/>
        <v/>
      </c>
    </row>
    <row r="360" spans="2:45" ht="27.6" customHeight="1">
      <c r="B360">
        <f t="shared" ca="1" si="25"/>
        <v>0</v>
      </c>
      <c r="C360" t="s">
        <v>85</v>
      </c>
      <c r="D360" t="s">
        <v>92</v>
      </c>
      <c r="E360" t="s">
        <v>92</v>
      </c>
      <c r="F360" t="s">
        <v>92</v>
      </c>
      <c r="G360" t="s">
        <v>92</v>
      </c>
      <c r="H360" t="s">
        <v>92</v>
      </c>
      <c r="I360" s="12" t="s">
        <v>268</v>
      </c>
      <c r="J360" t="s">
        <v>278</v>
      </c>
      <c r="L360" t="s">
        <v>92</v>
      </c>
      <c r="N360" s="14">
        <v>1</v>
      </c>
      <c r="P360" s="12" t="s">
        <v>268</v>
      </c>
      <c r="W360" s="9" t="str">
        <f t="shared" ca="1" si="26"/>
        <v>18.5%</v>
      </c>
      <c r="X360" t="s">
        <v>321</v>
      </c>
      <c r="Y360" s="9" t="str">
        <f t="shared" ca="1" si="27"/>
        <v>Sin costo</v>
      </c>
      <c r="Z360" t="s">
        <v>327</v>
      </c>
      <c r="AA360" t="s">
        <v>329</v>
      </c>
      <c r="AB360" t="s">
        <v>334</v>
      </c>
      <c r="AC360" s="12" t="s">
        <v>339</v>
      </c>
      <c r="AE360" t="s">
        <v>268</v>
      </c>
      <c r="AG360" s="12" t="s">
        <v>268</v>
      </c>
      <c r="AH360" t="s">
        <v>92</v>
      </c>
      <c r="AI360" s="12" t="s">
        <v>268</v>
      </c>
      <c r="AJ360" t="s">
        <v>92</v>
      </c>
      <c r="AK360" t="s">
        <v>92</v>
      </c>
      <c r="AL360" t="s">
        <v>92</v>
      </c>
      <c r="AM360" s="12" t="s">
        <v>268</v>
      </c>
      <c r="AN360" s="12" t="s">
        <v>268</v>
      </c>
      <c r="AO360" s="12" t="s">
        <v>268</v>
      </c>
      <c r="AP360" s="12" t="s">
        <v>268</v>
      </c>
      <c r="AQ360" s="12" t="s">
        <v>268</v>
      </c>
      <c r="AR360" s="28" t="str">
        <f t="shared" ca="1" si="28"/>
        <v/>
      </c>
      <c r="AS360" s="28" t="str">
        <f t="shared" ca="1" si="29"/>
        <v/>
      </c>
    </row>
    <row r="361" spans="2:45" ht="27.6" customHeight="1">
      <c r="B361">
        <f t="shared" ca="1" si="25"/>
        <v>0</v>
      </c>
      <c r="C361" t="s">
        <v>85</v>
      </c>
      <c r="D361" t="s">
        <v>92</v>
      </c>
      <c r="E361" t="s">
        <v>92</v>
      </c>
      <c r="F361" t="s">
        <v>92</v>
      </c>
      <c r="G361" t="s">
        <v>92</v>
      </c>
      <c r="H361" t="s">
        <v>92</v>
      </c>
      <c r="I361" s="12" t="s">
        <v>268</v>
      </c>
      <c r="J361" t="s">
        <v>278</v>
      </c>
      <c r="L361" t="s">
        <v>92</v>
      </c>
      <c r="N361" s="14">
        <v>1</v>
      </c>
      <c r="P361" s="12" t="s">
        <v>268</v>
      </c>
      <c r="W361" s="9" t="str">
        <f t="shared" ca="1" si="26"/>
        <v>18.5%</v>
      </c>
      <c r="X361" t="s">
        <v>321</v>
      </c>
      <c r="Y361" s="9" t="str">
        <f t="shared" ca="1" si="27"/>
        <v>Sin costo</v>
      </c>
      <c r="Z361" t="s">
        <v>327</v>
      </c>
      <c r="AA361" t="s">
        <v>329</v>
      </c>
      <c r="AB361" t="s">
        <v>334</v>
      </c>
      <c r="AC361" s="12" t="s">
        <v>339</v>
      </c>
      <c r="AE361" t="s">
        <v>268</v>
      </c>
      <c r="AG361" s="12" t="s">
        <v>268</v>
      </c>
      <c r="AH361" t="s">
        <v>92</v>
      </c>
      <c r="AI361" s="12" t="s">
        <v>268</v>
      </c>
      <c r="AJ361" t="s">
        <v>92</v>
      </c>
      <c r="AK361" t="s">
        <v>92</v>
      </c>
      <c r="AL361" t="s">
        <v>92</v>
      </c>
      <c r="AM361" s="12" t="s">
        <v>268</v>
      </c>
      <c r="AN361" s="12" t="s">
        <v>268</v>
      </c>
      <c r="AO361" s="12" t="s">
        <v>268</v>
      </c>
      <c r="AP361" s="12" t="s">
        <v>268</v>
      </c>
      <c r="AQ361" s="12" t="s">
        <v>268</v>
      </c>
      <c r="AR361" s="28" t="str">
        <f t="shared" ca="1" si="28"/>
        <v/>
      </c>
      <c r="AS361" s="28" t="str">
        <f t="shared" ca="1" si="29"/>
        <v/>
      </c>
    </row>
    <row r="362" spans="2:45" ht="27.6" customHeight="1">
      <c r="B362">
        <f t="shared" ca="1" si="25"/>
        <v>0</v>
      </c>
      <c r="C362" t="s">
        <v>85</v>
      </c>
      <c r="D362" t="s">
        <v>92</v>
      </c>
      <c r="E362" t="s">
        <v>92</v>
      </c>
      <c r="F362" t="s">
        <v>92</v>
      </c>
      <c r="G362" t="s">
        <v>92</v>
      </c>
      <c r="H362" t="s">
        <v>92</v>
      </c>
      <c r="I362" s="12" t="s">
        <v>268</v>
      </c>
      <c r="J362" t="s">
        <v>278</v>
      </c>
      <c r="L362" t="s">
        <v>92</v>
      </c>
      <c r="N362" s="14">
        <v>1</v>
      </c>
      <c r="P362" s="12" t="s">
        <v>268</v>
      </c>
      <c r="W362" s="9" t="str">
        <f t="shared" ca="1" si="26"/>
        <v>18.5%</v>
      </c>
      <c r="X362" t="s">
        <v>321</v>
      </c>
      <c r="Y362" s="9" t="str">
        <f t="shared" ca="1" si="27"/>
        <v>Sin costo</v>
      </c>
      <c r="Z362" t="s">
        <v>327</v>
      </c>
      <c r="AA362" t="s">
        <v>329</v>
      </c>
      <c r="AB362" t="s">
        <v>334</v>
      </c>
      <c r="AC362" s="12" t="s">
        <v>339</v>
      </c>
      <c r="AE362" t="s">
        <v>268</v>
      </c>
      <c r="AG362" s="12" t="s">
        <v>268</v>
      </c>
      <c r="AH362" t="s">
        <v>92</v>
      </c>
      <c r="AI362" s="12" t="s">
        <v>268</v>
      </c>
      <c r="AJ362" t="s">
        <v>92</v>
      </c>
      <c r="AK362" t="s">
        <v>92</v>
      </c>
      <c r="AL362" t="s">
        <v>92</v>
      </c>
      <c r="AM362" s="12" t="s">
        <v>268</v>
      </c>
      <c r="AN362" s="12" t="s">
        <v>268</v>
      </c>
      <c r="AO362" s="12" t="s">
        <v>268</v>
      </c>
      <c r="AP362" s="12" t="s">
        <v>268</v>
      </c>
      <c r="AQ362" s="12" t="s">
        <v>268</v>
      </c>
      <c r="AR362" s="28" t="str">
        <f t="shared" ca="1" si="28"/>
        <v/>
      </c>
      <c r="AS362" s="28" t="str">
        <f t="shared" ca="1" si="29"/>
        <v/>
      </c>
    </row>
    <row r="363" spans="2:45" ht="27.6" customHeight="1">
      <c r="B363">
        <f t="shared" ca="1" si="25"/>
        <v>0</v>
      </c>
      <c r="C363" t="s">
        <v>85</v>
      </c>
      <c r="D363" t="s">
        <v>92</v>
      </c>
      <c r="E363" t="s">
        <v>92</v>
      </c>
      <c r="F363" t="s">
        <v>92</v>
      </c>
      <c r="G363" t="s">
        <v>92</v>
      </c>
      <c r="H363" t="s">
        <v>92</v>
      </c>
      <c r="I363" s="12" t="s">
        <v>268</v>
      </c>
      <c r="J363" t="s">
        <v>278</v>
      </c>
      <c r="L363" t="s">
        <v>92</v>
      </c>
      <c r="N363" s="14">
        <v>1</v>
      </c>
      <c r="P363" s="12" t="s">
        <v>268</v>
      </c>
      <c r="W363" s="9" t="str">
        <f t="shared" ca="1" si="26"/>
        <v>18.5%</v>
      </c>
      <c r="X363" t="s">
        <v>321</v>
      </c>
      <c r="Y363" s="9" t="str">
        <f t="shared" ca="1" si="27"/>
        <v>Sin costo</v>
      </c>
      <c r="Z363" t="s">
        <v>327</v>
      </c>
      <c r="AA363" t="s">
        <v>329</v>
      </c>
      <c r="AB363" t="s">
        <v>334</v>
      </c>
      <c r="AC363" s="12" t="s">
        <v>339</v>
      </c>
      <c r="AE363" t="s">
        <v>268</v>
      </c>
      <c r="AG363" s="12" t="s">
        <v>268</v>
      </c>
      <c r="AH363" t="s">
        <v>92</v>
      </c>
      <c r="AI363" s="12" t="s">
        <v>268</v>
      </c>
      <c r="AJ363" t="s">
        <v>92</v>
      </c>
      <c r="AK363" t="s">
        <v>92</v>
      </c>
      <c r="AL363" t="s">
        <v>92</v>
      </c>
      <c r="AM363" s="12" t="s">
        <v>268</v>
      </c>
      <c r="AN363" s="12" t="s">
        <v>268</v>
      </c>
      <c r="AO363" s="12" t="s">
        <v>268</v>
      </c>
      <c r="AP363" s="12" t="s">
        <v>268</v>
      </c>
      <c r="AQ363" s="12" t="s">
        <v>268</v>
      </c>
      <c r="AR363" s="28" t="str">
        <f t="shared" ca="1" si="28"/>
        <v/>
      </c>
      <c r="AS363" s="28" t="str">
        <f t="shared" ca="1" si="29"/>
        <v/>
      </c>
    </row>
    <row r="364" spans="2:45" ht="27.6" customHeight="1">
      <c r="B364">
        <f t="shared" ca="1" si="25"/>
        <v>0</v>
      </c>
      <c r="C364" t="s">
        <v>85</v>
      </c>
      <c r="D364" t="s">
        <v>92</v>
      </c>
      <c r="E364" t="s">
        <v>92</v>
      </c>
      <c r="F364" t="s">
        <v>92</v>
      </c>
      <c r="G364" t="s">
        <v>92</v>
      </c>
      <c r="H364" t="s">
        <v>92</v>
      </c>
      <c r="I364" s="12" t="s">
        <v>268</v>
      </c>
      <c r="J364" t="s">
        <v>278</v>
      </c>
      <c r="L364" t="s">
        <v>92</v>
      </c>
      <c r="N364" s="14">
        <v>1</v>
      </c>
      <c r="P364" s="12" t="s">
        <v>268</v>
      </c>
      <c r="W364" s="9" t="str">
        <f t="shared" ca="1" si="26"/>
        <v>18.5%</v>
      </c>
      <c r="X364" t="s">
        <v>321</v>
      </c>
      <c r="Y364" s="9" t="str">
        <f t="shared" ca="1" si="27"/>
        <v>Sin costo</v>
      </c>
      <c r="Z364" t="s">
        <v>327</v>
      </c>
      <c r="AA364" t="s">
        <v>329</v>
      </c>
      <c r="AB364" t="s">
        <v>334</v>
      </c>
      <c r="AC364" s="12" t="s">
        <v>339</v>
      </c>
      <c r="AE364" t="s">
        <v>268</v>
      </c>
      <c r="AG364" s="12" t="s">
        <v>268</v>
      </c>
      <c r="AH364" t="s">
        <v>92</v>
      </c>
      <c r="AI364" s="12" t="s">
        <v>268</v>
      </c>
      <c r="AJ364" t="s">
        <v>92</v>
      </c>
      <c r="AK364" t="s">
        <v>92</v>
      </c>
      <c r="AL364" t="s">
        <v>92</v>
      </c>
      <c r="AM364" s="12" t="s">
        <v>268</v>
      </c>
      <c r="AN364" s="12" t="s">
        <v>268</v>
      </c>
      <c r="AO364" s="12" t="s">
        <v>268</v>
      </c>
      <c r="AP364" s="12" t="s">
        <v>268</v>
      </c>
      <c r="AQ364" s="12" t="s">
        <v>268</v>
      </c>
      <c r="AR364" s="28" t="str">
        <f t="shared" ca="1" si="28"/>
        <v/>
      </c>
      <c r="AS364" s="28" t="str">
        <f t="shared" ca="1" si="29"/>
        <v/>
      </c>
    </row>
    <row r="365" spans="2:45" ht="27.6" customHeight="1">
      <c r="B365">
        <f t="shared" ca="1" si="25"/>
        <v>0</v>
      </c>
      <c r="C365" t="s">
        <v>85</v>
      </c>
      <c r="D365" t="s">
        <v>92</v>
      </c>
      <c r="E365" t="s">
        <v>92</v>
      </c>
      <c r="F365" t="s">
        <v>92</v>
      </c>
      <c r="G365" t="s">
        <v>92</v>
      </c>
      <c r="H365" t="s">
        <v>92</v>
      </c>
      <c r="I365" s="12" t="s">
        <v>268</v>
      </c>
      <c r="J365" t="s">
        <v>278</v>
      </c>
      <c r="L365" t="s">
        <v>92</v>
      </c>
      <c r="N365" s="14">
        <v>1</v>
      </c>
      <c r="P365" s="12" t="s">
        <v>268</v>
      </c>
      <c r="W365" s="9" t="str">
        <f t="shared" ca="1" si="26"/>
        <v>18.5%</v>
      </c>
      <c r="X365" t="s">
        <v>321</v>
      </c>
      <c r="Y365" s="9" t="str">
        <f t="shared" ca="1" si="27"/>
        <v>Sin costo</v>
      </c>
      <c r="Z365" t="s">
        <v>327</v>
      </c>
      <c r="AA365" t="s">
        <v>329</v>
      </c>
      <c r="AB365" t="s">
        <v>334</v>
      </c>
      <c r="AC365" s="12" t="s">
        <v>339</v>
      </c>
      <c r="AE365" t="s">
        <v>268</v>
      </c>
      <c r="AG365" s="12" t="s">
        <v>268</v>
      </c>
      <c r="AH365" t="s">
        <v>92</v>
      </c>
      <c r="AI365" s="12" t="s">
        <v>268</v>
      </c>
      <c r="AJ365" t="s">
        <v>92</v>
      </c>
      <c r="AK365" t="s">
        <v>92</v>
      </c>
      <c r="AL365" t="s">
        <v>92</v>
      </c>
      <c r="AM365" s="12" t="s">
        <v>268</v>
      </c>
      <c r="AN365" s="12" t="s">
        <v>268</v>
      </c>
      <c r="AO365" s="12" t="s">
        <v>268</v>
      </c>
      <c r="AP365" s="12" t="s">
        <v>268</v>
      </c>
      <c r="AQ365" s="12" t="s">
        <v>268</v>
      </c>
      <c r="AR365" s="28" t="str">
        <f t="shared" ca="1" si="28"/>
        <v/>
      </c>
      <c r="AS365" s="28" t="str">
        <f t="shared" ca="1" si="29"/>
        <v/>
      </c>
    </row>
    <row r="366" spans="2:45" ht="27.6" customHeight="1">
      <c r="B366">
        <f t="shared" ca="1" si="25"/>
        <v>0</v>
      </c>
      <c r="C366" t="s">
        <v>85</v>
      </c>
      <c r="D366" t="s">
        <v>92</v>
      </c>
      <c r="E366" t="s">
        <v>92</v>
      </c>
      <c r="F366" t="s">
        <v>92</v>
      </c>
      <c r="G366" t="s">
        <v>92</v>
      </c>
      <c r="H366" t="s">
        <v>92</v>
      </c>
      <c r="I366" s="12" t="s">
        <v>268</v>
      </c>
      <c r="J366" t="s">
        <v>278</v>
      </c>
      <c r="L366" t="s">
        <v>92</v>
      </c>
      <c r="N366" s="14">
        <v>1</v>
      </c>
      <c r="P366" s="12" t="s">
        <v>268</v>
      </c>
      <c r="W366" s="9" t="str">
        <f t="shared" ca="1" si="26"/>
        <v>18.5%</v>
      </c>
      <c r="X366" t="s">
        <v>321</v>
      </c>
      <c r="Y366" s="9" t="str">
        <f t="shared" ca="1" si="27"/>
        <v>Sin costo</v>
      </c>
      <c r="Z366" t="s">
        <v>327</v>
      </c>
      <c r="AA366" t="s">
        <v>329</v>
      </c>
      <c r="AB366" t="s">
        <v>334</v>
      </c>
      <c r="AC366" s="12" t="s">
        <v>339</v>
      </c>
      <c r="AE366" t="s">
        <v>268</v>
      </c>
      <c r="AG366" s="12" t="s">
        <v>268</v>
      </c>
      <c r="AH366" t="s">
        <v>92</v>
      </c>
      <c r="AI366" s="12" t="s">
        <v>268</v>
      </c>
      <c r="AJ366" t="s">
        <v>92</v>
      </c>
      <c r="AK366" t="s">
        <v>92</v>
      </c>
      <c r="AL366" t="s">
        <v>92</v>
      </c>
      <c r="AM366" s="12" t="s">
        <v>268</v>
      </c>
      <c r="AN366" s="12" t="s">
        <v>268</v>
      </c>
      <c r="AO366" s="12" t="s">
        <v>268</v>
      </c>
      <c r="AP366" s="12" t="s">
        <v>268</v>
      </c>
      <c r="AQ366" s="12" t="s">
        <v>268</v>
      </c>
      <c r="AR366" s="28" t="str">
        <f t="shared" ca="1" si="28"/>
        <v/>
      </c>
      <c r="AS366" s="28" t="str">
        <f t="shared" ca="1" si="29"/>
        <v/>
      </c>
    </row>
    <row r="367" spans="2:45" ht="27.6" customHeight="1">
      <c r="B367">
        <f t="shared" ca="1" si="25"/>
        <v>0</v>
      </c>
      <c r="C367" t="s">
        <v>85</v>
      </c>
      <c r="D367" t="s">
        <v>92</v>
      </c>
      <c r="E367" t="s">
        <v>92</v>
      </c>
      <c r="F367" t="s">
        <v>92</v>
      </c>
      <c r="G367" t="s">
        <v>92</v>
      </c>
      <c r="H367" t="s">
        <v>92</v>
      </c>
      <c r="I367" s="12" t="s">
        <v>268</v>
      </c>
      <c r="J367" t="s">
        <v>278</v>
      </c>
      <c r="L367" t="s">
        <v>92</v>
      </c>
      <c r="N367" s="14">
        <v>1</v>
      </c>
      <c r="P367" s="12" t="s">
        <v>268</v>
      </c>
      <c r="W367" s="9" t="str">
        <f t="shared" ca="1" si="26"/>
        <v>18.5%</v>
      </c>
      <c r="X367" t="s">
        <v>321</v>
      </c>
      <c r="Y367" s="9" t="str">
        <f t="shared" ca="1" si="27"/>
        <v>Sin costo</v>
      </c>
      <c r="Z367" t="s">
        <v>327</v>
      </c>
      <c r="AA367" t="s">
        <v>329</v>
      </c>
      <c r="AB367" t="s">
        <v>334</v>
      </c>
      <c r="AC367" s="12" t="s">
        <v>339</v>
      </c>
      <c r="AE367" t="s">
        <v>268</v>
      </c>
      <c r="AG367" s="12" t="s">
        <v>268</v>
      </c>
      <c r="AH367" t="s">
        <v>92</v>
      </c>
      <c r="AI367" s="12" t="s">
        <v>268</v>
      </c>
      <c r="AJ367" t="s">
        <v>92</v>
      </c>
      <c r="AK367" t="s">
        <v>92</v>
      </c>
      <c r="AL367" t="s">
        <v>92</v>
      </c>
      <c r="AM367" s="12" t="s">
        <v>268</v>
      </c>
      <c r="AN367" s="12" t="s">
        <v>268</v>
      </c>
      <c r="AO367" s="12" t="s">
        <v>268</v>
      </c>
      <c r="AP367" s="12" t="s">
        <v>268</v>
      </c>
      <c r="AQ367" s="12" t="s">
        <v>268</v>
      </c>
      <c r="AR367" s="28" t="str">
        <f t="shared" ca="1" si="28"/>
        <v/>
      </c>
      <c r="AS367" s="28" t="str">
        <f t="shared" ca="1" si="29"/>
        <v/>
      </c>
    </row>
    <row r="368" spans="2:45" ht="27.6" customHeight="1">
      <c r="B368">
        <f t="shared" ca="1" si="25"/>
        <v>0</v>
      </c>
      <c r="C368" t="s">
        <v>85</v>
      </c>
      <c r="D368" t="s">
        <v>92</v>
      </c>
      <c r="E368" t="s">
        <v>92</v>
      </c>
      <c r="F368" t="s">
        <v>92</v>
      </c>
      <c r="G368" t="s">
        <v>92</v>
      </c>
      <c r="H368" t="s">
        <v>92</v>
      </c>
      <c r="I368" s="12" t="s">
        <v>268</v>
      </c>
      <c r="J368" t="s">
        <v>278</v>
      </c>
      <c r="L368" t="s">
        <v>92</v>
      </c>
      <c r="N368" s="14">
        <v>1</v>
      </c>
      <c r="P368" s="12" t="s">
        <v>268</v>
      </c>
      <c r="W368" s="9" t="str">
        <f t="shared" ca="1" si="26"/>
        <v>18.5%</v>
      </c>
      <c r="X368" t="s">
        <v>321</v>
      </c>
      <c r="Y368" s="9" t="str">
        <f t="shared" ca="1" si="27"/>
        <v>Sin costo</v>
      </c>
      <c r="Z368" t="s">
        <v>327</v>
      </c>
      <c r="AA368" t="s">
        <v>329</v>
      </c>
      <c r="AB368" t="s">
        <v>334</v>
      </c>
      <c r="AC368" s="12" t="s">
        <v>339</v>
      </c>
      <c r="AE368" t="s">
        <v>268</v>
      </c>
      <c r="AG368" s="12" t="s">
        <v>268</v>
      </c>
      <c r="AH368" t="s">
        <v>92</v>
      </c>
      <c r="AI368" s="12" t="s">
        <v>268</v>
      </c>
      <c r="AJ368" t="s">
        <v>92</v>
      </c>
      <c r="AK368" t="s">
        <v>92</v>
      </c>
      <c r="AL368" t="s">
        <v>92</v>
      </c>
      <c r="AM368" s="12" t="s">
        <v>268</v>
      </c>
      <c r="AN368" s="12" t="s">
        <v>268</v>
      </c>
      <c r="AO368" s="12" t="s">
        <v>268</v>
      </c>
      <c r="AP368" s="12" t="s">
        <v>268</v>
      </c>
      <c r="AQ368" s="12" t="s">
        <v>268</v>
      </c>
      <c r="AR368" s="28" t="str">
        <f t="shared" ca="1" si="28"/>
        <v/>
      </c>
      <c r="AS368" s="28" t="str">
        <f t="shared" ca="1" si="29"/>
        <v/>
      </c>
    </row>
    <row r="369" spans="2:45" ht="27.6" customHeight="1">
      <c r="B369">
        <f t="shared" ca="1" si="25"/>
        <v>0</v>
      </c>
      <c r="C369" t="s">
        <v>85</v>
      </c>
      <c r="D369" t="s">
        <v>92</v>
      </c>
      <c r="E369" t="s">
        <v>92</v>
      </c>
      <c r="F369" t="s">
        <v>92</v>
      </c>
      <c r="G369" t="s">
        <v>92</v>
      </c>
      <c r="H369" t="s">
        <v>92</v>
      </c>
      <c r="I369" s="12" t="s">
        <v>268</v>
      </c>
      <c r="J369" t="s">
        <v>278</v>
      </c>
      <c r="L369" t="s">
        <v>92</v>
      </c>
      <c r="N369" s="14">
        <v>1</v>
      </c>
      <c r="P369" s="12" t="s">
        <v>268</v>
      </c>
      <c r="W369" s="9" t="str">
        <f t="shared" ca="1" si="26"/>
        <v>18.5%</v>
      </c>
      <c r="X369" t="s">
        <v>321</v>
      </c>
      <c r="Y369" s="9" t="str">
        <f t="shared" ca="1" si="27"/>
        <v>Sin costo</v>
      </c>
      <c r="Z369" t="s">
        <v>327</v>
      </c>
      <c r="AA369" t="s">
        <v>329</v>
      </c>
      <c r="AB369" t="s">
        <v>334</v>
      </c>
      <c r="AC369" s="12" t="s">
        <v>339</v>
      </c>
      <c r="AE369" t="s">
        <v>268</v>
      </c>
      <c r="AG369" s="12" t="s">
        <v>268</v>
      </c>
      <c r="AH369" t="s">
        <v>92</v>
      </c>
      <c r="AI369" s="12" t="s">
        <v>268</v>
      </c>
      <c r="AJ369" t="s">
        <v>92</v>
      </c>
      <c r="AK369" t="s">
        <v>92</v>
      </c>
      <c r="AL369" t="s">
        <v>92</v>
      </c>
      <c r="AM369" s="12" t="s">
        <v>268</v>
      </c>
      <c r="AN369" s="12" t="s">
        <v>268</v>
      </c>
      <c r="AO369" s="12" t="s">
        <v>268</v>
      </c>
      <c r="AP369" s="12" t="s">
        <v>268</v>
      </c>
      <c r="AQ369" s="12" t="s">
        <v>268</v>
      </c>
      <c r="AR369" s="28" t="str">
        <f t="shared" ca="1" si="28"/>
        <v/>
      </c>
      <c r="AS369" s="28" t="str">
        <f t="shared" ca="1" si="29"/>
        <v/>
      </c>
    </row>
    <row r="370" spans="2:45" ht="27.6" customHeight="1">
      <c r="B370">
        <f t="shared" ca="1" si="25"/>
        <v>0</v>
      </c>
      <c r="C370" t="s">
        <v>85</v>
      </c>
      <c r="D370" t="s">
        <v>92</v>
      </c>
      <c r="E370" t="s">
        <v>92</v>
      </c>
      <c r="F370" t="s">
        <v>92</v>
      </c>
      <c r="G370" t="s">
        <v>92</v>
      </c>
      <c r="H370" t="s">
        <v>92</v>
      </c>
      <c r="I370" s="12" t="s">
        <v>268</v>
      </c>
      <c r="J370" t="s">
        <v>278</v>
      </c>
      <c r="L370" t="s">
        <v>92</v>
      </c>
      <c r="N370" s="14">
        <v>1</v>
      </c>
      <c r="P370" s="12" t="s">
        <v>268</v>
      </c>
      <c r="W370" s="9" t="str">
        <f t="shared" ca="1" si="26"/>
        <v>18.5%</v>
      </c>
      <c r="X370" t="s">
        <v>321</v>
      </c>
      <c r="Y370" s="9" t="str">
        <f t="shared" ca="1" si="27"/>
        <v>Sin costo</v>
      </c>
      <c r="Z370" t="s">
        <v>327</v>
      </c>
      <c r="AA370" t="s">
        <v>329</v>
      </c>
      <c r="AB370" t="s">
        <v>334</v>
      </c>
      <c r="AC370" s="12" t="s">
        <v>339</v>
      </c>
      <c r="AE370" t="s">
        <v>268</v>
      </c>
      <c r="AG370" s="12" t="s">
        <v>268</v>
      </c>
      <c r="AH370" t="s">
        <v>92</v>
      </c>
      <c r="AI370" s="12" t="s">
        <v>268</v>
      </c>
      <c r="AJ370" t="s">
        <v>92</v>
      </c>
      <c r="AK370" t="s">
        <v>92</v>
      </c>
      <c r="AL370" t="s">
        <v>92</v>
      </c>
      <c r="AM370" s="12" t="s">
        <v>268</v>
      </c>
      <c r="AN370" s="12" t="s">
        <v>268</v>
      </c>
      <c r="AO370" s="12" t="s">
        <v>268</v>
      </c>
      <c r="AP370" s="12" t="s">
        <v>268</v>
      </c>
      <c r="AQ370" s="12" t="s">
        <v>268</v>
      </c>
      <c r="AR370" s="28" t="str">
        <f t="shared" ca="1" si="28"/>
        <v/>
      </c>
      <c r="AS370" s="28" t="str">
        <f t="shared" ca="1" si="29"/>
        <v/>
      </c>
    </row>
    <row r="371" spans="2:45" ht="27.6" customHeight="1">
      <c r="B371">
        <f t="shared" ca="1" si="25"/>
        <v>0</v>
      </c>
      <c r="C371" t="s">
        <v>85</v>
      </c>
      <c r="D371" t="s">
        <v>92</v>
      </c>
      <c r="E371" t="s">
        <v>92</v>
      </c>
      <c r="F371" t="s">
        <v>92</v>
      </c>
      <c r="G371" t="s">
        <v>92</v>
      </c>
      <c r="H371" t="s">
        <v>92</v>
      </c>
      <c r="I371" s="12" t="s">
        <v>268</v>
      </c>
      <c r="J371" t="s">
        <v>278</v>
      </c>
      <c r="L371" t="s">
        <v>92</v>
      </c>
      <c r="N371" s="14">
        <v>1</v>
      </c>
      <c r="P371" s="12" t="s">
        <v>268</v>
      </c>
      <c r="W371" s="9" t="str">
        <f t="shared" ca="1" si="26"/>
        <v>18.5%</v>
      </c>
      <c r="X371" t="s">
        <v>321</v>
      </c>
      <c r="Y371" s="9" t="str">
        <f t="shared" ca="1" si="27"/>
        <v>Sin costo</v>
      </c>
      <c r="Z371" t="s">
        <v>327</v>
      </c>
      <c r="AA371" t="s">
        <v>329</v>
      </c>
      <c r="AB371" t="s">
        <v>334</v>
      </c>
      <c r="AC371" s="12" t="s">
        <v>339</v>
      </c>
      <c r="AE371" t="s">
        <v>268</v>
      </c>
      <c r="AG371" s="12" t="s">
        <v>268</v>
      </c>
      <c r="AH371" t="s">
        <v>92</v>
      </c>
      <c r="AI371" s="12" t="s">
        <v>268</v>
      </c>
      <c r="AJ371" t="s">
        <v>92</v>
      </c>
      <c r="AK371" t="s">
        <v>92</v>
      </c>
      <c r="AL371" t="s">
        <v>92</v>
      </c>
      <c r="AM371" s="12" t="s">
        <v>268</v>
      </c>
      <c r="AN371" s="12" t="s">
        <v>268</v>
      </c>
      <c r="AO371" s="12" t="s">
        <v>268</v>
      </c>
      <c r="AP371" s="12" t="s">
        <v>268</v>
      </c>
      <c r="AQ371" s="12" t="s">
        <v>268</v>
      </c>
      <c r="AR371" s="28" t="str">
        <f t="shared" ca="1" si="28"/>
        <v/>
      </c>
      <c r="AS371" s="28" t="str">
        <f t="shared" ca="1" si="29"/>
        <v/>
      </c>
    </row>
    <row r="372" spans="2:45" ht="27.6" customHeight="1">
      <c r="B372">
        <f t="shared" ca="1" si="25"/>
        <v>0</v>
      </c>
      <c r="C372" t="s">
        <v>85</v>
      </c>
      <c r="D372" t="s">
        <v>92</v>
      </c>
      <c r="E372" t="s">
        <v>92</v>
      </c>
      <c r="F372" t="s">
        <v>92</v>
      </c>
      <c r="G372" t="s">
        <v>92</v>
      </c>
      <c r="H372" t="s">
        <v>92</v>
      </c>
      <c r="I372" s="12" t="s">
        <v>268</v>
      </c>
      <c r="J372" t="s">
        <v>278</v>
      </c>
      <c r="L372" t="s">
        <v>92</v>
      </c>
      <c r="N372" s="14">
        <v>1</v>
      </c>
      <c r="P372" s="12" t="s">
        <v>268</v>
      </c>
      <c r="W372" s="9" t="str">
        <f t="shared" ca="1" si="26"/>
        <v>18.5%</v>
      </c>
      <c r="X372" t="s">
        <v>321</v>
      </c>
      <c r="Y372" s="9" t="str">
        <f t="shared" ca="1" si="27"/>
        <v>Sin costo</v>
      </c>
      <c r="Z372" t="s">
        <v>327</v>
      </c>
      <c r="AA372" t="s">
        <v>329</v>
      </c>
      <c r="AB372" t="s">
        <v>334</v>
      </c>
      <c r="AC372" s="12" t="s">
        <v>339</v>
      </c>
      <c r="AE372" t="s">
        <v>268</v>
      </c>
      <c r="AG372" s="12" t="s">
        <v>268</v>
      </c>
      <c r="AH372" t="s">
        <v>92</v>
      </c>
      <c r="AI372" s="12" t="s">
        <v>268</v>
      </c>
      <c r="AJ372" t="s">
        <v>92</v>
      </c>
      <c r="AK372" t="s">
        <v>92</v>
      </c>
      <c r="AL372" t="s">
        <v>92</v>
      </c>
      <c r="AM372" s="12" t="s">
        <v>268</v>
      </c>
      <c r="AN372" s="12" t="s">
        <v>268</v>
      </c>
      <c r="AO372" s="12" t="s">
        <v>268</v>
      </c>
      <c r="AP372" s="12" t="s">
        <v>268</v>
      </c>
      <c r="AQ372" s="12" t="s">
        <v>268</v>
      </c>
      <c r="AR372" s="28" t="str">
        <f t="shared" ca="1" si="28"/>
        <v/>
      </c>
      <c r="AS372" s="28" t="str">
        <f t="shared" ca="1" si="29"/>
        <v/>
      </c>
    </row>
    <row r="373" spans="2:45" ht="27.6" customHeight="1">
      <c r="B373">
        <f t="shared" ca="1" si="25"/>
        <v>0</v>
      </c>
      <c r="C373" t="s">
        <v>85</v>
      </c>
      <c r="D373" t="s">
        <v>92</v>
      </c>
      <c r="E373" t="s">
        <v>92</v>
      </c>
      <c r="F373" t="s">
        <v>92</v>
      </c>
      <c r="G373" t="s">
        <v>92</v>
      </c>
      <c r="H373" t="s">
        <v>92</v>
      </c>
      <c r="I373" s="12" t="s">
        <v>268</v>
      </c>
      <c r="J373" t="s">
        <v>278</v>
      </c>
      <c r="L373" t="s">
        <v>92</v>
      </c>
      <c r="N373" s="14">
        <v>1</v>
      </c>
      <c r="P373" s="12" t="s">
        <v>268</v>
      </c>
      <c r="W373" s="9" t="str">
        <f t="shared" ca="1" si="26"/>
        <v>18.5%</v>
      </c>
      <c r="X373" t="s">
        <v>321</v>
      </c>
      <c r="Y373" s="9" t="str">
        <f t="shared" ca="1" si="27"/>
        <v>Sin costo</v>
      </c>
      <c r="Z373" t="s">
        <v>327</v>
      </c>
      <c r="AA373" t="s">
        <v>329</v>
      </c>
      <c r="AB373" t="s">
        <v>334</v>
      </c>
      <c r="AC373" s="12" t="s">
        <v>339</v>
      </c>
      <c r="AE373" t="s">
        <v>268</v>
      </c>
      <c r="AG373" s="12" t="s">
        <v>268</v>
      </c>
      <c r="AH373" t="s">
        <v>92</v>
      </c>
      <c r="AI373" s="12" t="s">
        <v>268</v>
      </c>
      <c r="AJ373" t="s">
        <v>92</v>
      </c>
      <c r="AK373" t="s">
        <v>92</v>
      </c>
      <c r="AL373" t="s">
        <v>92</v>
      </c>
      <c r="AM373" s="12" t="s">
        <v>268</v>
      </c>
      <c r="AN373" s="12" t="s">
        <v>268</v>
      </c>
      <c r="AO373" s="12" t="s">
        <v>268</v>
      </c>
      <c r="AP373" s="12" t="s">
        <v>268</v>
      </c>
      <c r="AQ373" s="12" t="s">
        <v>268</v>
      </c>
      <c r="AR373" s="28" t="str">
        <f t="shared" ca="1" si="28"/>
        <v/>
      </c>
      <c r="AS373" s="28" t="str">
        <f t="shared" ca="1" si="29"/>
        <v/>
      </c>
    </row>
    <row r="374" spans="2:45" ht="27.6" customHeight="1">
      <c r="B374">
        <f t="shared" ca="1" si="25"/>
        <v>0</v>
      </c>
      <c r="C374" t="s">
        <v>85</v>
      </c>
      <c r="D374" t="s">
        <v>92</v>
      </c>
      <c r="E374" t="s">
        <v>92</v>
      </c>
      <c r="F374" t="s">
        <v>92</v>
      </c>
      <c r="G374" t="s">
        <v>92</v>
      </c>
      <c r="H374" t="s">
        <v>92</v>
      </c>
      <c r="I374" s="12" t="s">
        <v>268</v>
      </c>
      <c r="J374" t="s">
        <v>278</v>
      </c>
      <c r="L374" t="s">
        <v>92</v>
      </c>
      <c r="N374" s="14">
        <v>1</v>
      </c>
      <c r="P374" s="12" t="s">
        <v>268</v>
      </c>
      <c r="W374" s="9" t="str">
        <f t="shared" ca="1" si="26"/>
        <v>18.5%</v>
      </c>
      <c r="X374" t="s">
        <v>321</v>
      </c>
      <c r="Y374" s="9" t="str">
        <f t="shared" ca="1" si="27"/>
        <v>Sin costo</v>
      </c>
      <c r="Z374" t="s">
        <v>327</v>
      </c>
      <c r="AA374" t="s">
        <v>329</v>
      </c>
      <c r="AB374" t="s">
        <v>334</v>
      </c>
      <c r="AC374" s="12" t="s">
        <v>339</v>
      </c>
      <c r="AE374" t="s">
        <v>268</v>
      </c>
      <c r="AG374" s="12" t="s">
        <v>268</v>
      </c>
      <c r="AH374" t="s">
        <v>92</v>
      </c>
      <c r="AI374" s="12" t="s">
        <v>268</v>
      </c>
      <c r="AJ374" t="s">
        <v>92</v>
      </c>
      <c r="AK374" t="s">
        <v>92</v>
      </c>
      <c r="AL374" t="s">
        <v>92</v>
      </c>
      <c r="AM374" s="12" t="s">
        <v>268</v>
      </c>
      <c r="AN374" s="12" t="s">
        <v>268</v>
      </c>
      <c r="AO374" s="12" t="s">
        <v>268</v>
      </c>
      <c r="AP374" s="12" t="s">
        <v>268</v>
      </c>
      <c r="AQ374" s="12" t="s">
        <v>268</v>
      </c>
      <c r="AR374" s="28" t="str">
        <f t="shared" ca="1" si="28"/>
        <v/>
      </c>
      <c r="AS374" s="28" t="str">
        <f t="shared" ca="1" si="29"/>
        <v/>
      </c>
    </row>
    <row r="375" spans="2:45" ht="27.6" customHeight="1">
      <c r="B375">
        <f t="shared" ca="1" si="25"/>
        <v>0</v>
      </c>
      <c r="C375" t="s">
        <v>85</v>
      </c>
      <c r="D375" t="s">
        <v>92</v>
      </c>
      <c r="E375" t="s">
        <v>92</v>
      </c>
      <c r="F375" t="s">
        <v>92</v>
      </c>
      <c r="G375" t="s">
        <v>92</v>
      </c>
      <c r="H375" t="s">
        <v>92</v>
      </c>
      <c r="I375" s="12" t="s">
        <v>268</v>
      </c>
      <c r="J375" t="s">
        <v>278</v>
      </c>
      <c r="L375" t="s">
        <v>92</v>
      </c>
      <c r="N375" s="14">
        <v>1</v>
      </c>
      <c r="P375" s="12" t="s">
        <v>268</v>
      </c>
      <c r="W375" s="9" t="str">
        <f t="shared" ca="1" si="26"/>
        <v>18.5%</v>
      </c>
      <c r="X375" t="s">
        <v>321</v>
      </c>
      <c r="Y375" s="9" t="str">
        <f t="shared" ca="1" si="27"/>
        <v>Sin costo</v>
      </c>
      <c r="Z375" t="s">
        <v>327</v>
      </c>
      <c r="AA375" t="s">
        <v>329</v>
      </c>
      <c r="AB375" t="s">
        <v>334</v>
      </c>
      <c r="AC375" s="12" t="s">
        <v>339</v>
      </c>
      <c r="AE375" t="s">
        <v>268</v>
      </c>
      <c r="AG375" s="12" t="s">
        <v>268</v>
      </c>
      <c r="AH375" t="s">
        <v>92</v>
      </c>
      <c r="AI375" s="12" t="s">
        <v>268</v>
      </c>
      <c r="AJ375" t="s">
        <v>92</v>
      </c>
      <c r="AK375" t="s">
        <v>92</v>
      </c>
      <c r="AL375" t="s">
        <v>92</v>
      </c>
      <c r="AM375" s="12" t="s">
        <v>268</v>
      </c>
      <c r="AN375" s="12" t="s">
        <v>268</v>
      </c>
      <c r="AO375" s="12" t="s">
        <v>268</v>
      </c>
      <c r="AP375" s="12" t="s">
        <v>268</v>
      </c>
      <c r="AQ375" s="12" t="s">
        <v>268</v>
      </c>
      <c r="AR375" s="28" t="str">
        <f t="shared" ca="1" si="28"/>
        <v/>
      </c>
      <c r="AS375" s="28" t="str">
        <f t="shared" ca="1" si="29"/>
        <v/>
      </c>
    </row>
    <row r="376" spans="2:45" ht="27.6" customHeight="1">
      <c r="B376">
        <f t="shared" ca="1" si="25"/>
        <v>0</v>
      </c>
      <c r="C376" t="s">
        <v>85</v>
      </c>
      <c r="D376" t="s">
        <v>92</v>
      </c>
      <c r="E376" t="s">
        <v>92</v>
      </c>
      <c r="F376" t="s">
        <v>92</v>
      </c>
      <c r="G376" t="s">
        <v>92</v>
      </c>
      <c r="H376" t="s">
        <v>92</v>
      </c>
      <c r="I376" s="12" t="s">
        <v>268</v>
      </c>
      <c r="J376" t="s">
        <v>278</v>
      </c>
      <c r="L376" t="s">
        <v>92</v>
      </c>
      <c r="N376" s="14">
        <v>1</v>
      </c>
      <c r="P376" s="12" t="s">
        <v>268</v>
      </c>
      <c r="W376" s="9" t="str">
        <f t="shared" ca="1" si="26"/>
        <v>18.5%</v>
      </c>
      <c r="X376" t="s">
        <v>321</v>
      </c>
      <c r="Y376" s="9" t="str">
        <f t="shared" ca="1" si="27"/>
        <v>Sin costo</v>
      </c>
      <c r="Z376" t="s">
        <v>327</v>
      </c>
      <c r="AA376" t="s">
        <v>329</v>
      </c>
      <c r="AB376" t="s">
        <v>334</v>
      </c>
      <c r="AC376" s="12" t="s">
        <v>339</v>
      </c>
      <c r="AE376" t="s">
        <v>268</v>
      </c>
      <c r="AG376" s="12" t="s">
        <v>268</v>
      </c>
      <c r="AH376" t="s">
        <v>92</v>
      </c>
      <c r="AI376" s="12" t="s">
        <v>268</v>
      </c>
      <c r="AJ376" t="s">
        <v>92</v>
      </c>
      <c r="AK376" t="s">
        <v>92</v>
      </c>
      <c r="AL376" t="s">
        <v>92</v>
      </c>
      <c r="AM376" s="12" t="s">
        <v>268</v>
      </c>
      <c r="AN376" s="12" t="s">
        <v>268</v>
      </c>
      <c r="AO376" s="12" t="s">
        <v>268</v>
      </c>
      <c r="AP376" s="12" t="s">
        <v>268</v>
      </c>
      <c r="AQ376" s="12" t="s">
        <v>268</v>
      </c>
      <c r="AR376" s="28" t="str">
        <f t="shared" ca="1" si="28"/>
        <v/>
      </c>
      <c r="AS376" s="28" t="str">
        <f t="shared" ca="1" si="29"/>
        <v/>
      </c>
    </row>
    <row r="377" spans="2:45" ht="27.6" customHeight="1">
      <c r="B377">
        <f t="shared" ca="1" si="25"/>
        <v>0</v>
      </c>
      <c r="C377" t="s">
        <v>85</v>
      </c>
      <c r="D377" t="s">
        <v>92</v>
      </c>
      <c r="E377" t="s">
        <v>92</v>
      </c>
      <c r="F377" t="s">
        <v>92</v>
      </c>
      <c r="G377" t="s">
        <v>92</v>
      </c>
      <c r="H377" t="s">
        <v>92</v>
      </c>
      <c r="I377" s="12" t="s">
        <v>268</v>
      </c>
      <c r="J377" t="s">
        <v>278</v>
      </c>
      <c r="L377" t="s">
        <v>92</v>
      </c>
      <c r="N377" s="14">
        <v>1</v>
      </c>
      <c r="P377" s="12" t="s">
        <v>268</v>
      </c>
      <c r="W377" s="9" t="str">
        <f t="shared" ca="1" si="26"/>
        <v>18.5%</v>
      </c>
      <c r="X377" t="s">
        <v>321</v>
      </c>
      <c r="Y377" s="9" t="str">
        <f t="shared" ca="1" si="27"/>
        <v>Sin costo</v>
      </c>
      <c r="Z377" t="s">
        <v>327</v>
      </c>
      <c r="AA377" t="s">
        <v>329</v>
      </c>
      <c r="AB377" t="s">
        <v>334</v>
      </c>
      <c r="AC377" s="12" t="s">
        <v>339</v>
      </c>
      <c r="AE377" t="s">
        <v>268</v>
      </c>
      <c r="AG377" s="12" t="s">
        <v>268</v>
      </c>
      <c r="AH377" t="s">
        <v>92</v>
      </c>
      <c r="AI377" s="12" t="s">
        <v>268</v>
      </c>
      <c r="AJ377" t="s">
        <v>92</v>
      </c>
      <c r="AK377" t="s">
        <v>92</v>
      </c>
      <c r="AL377" t="s">
        <v>92</v>
      </c>
      <c r="AM377" s="12" t="s">
        <v>268</v>
      </c>
      <c r="AN377" s="12" t="s">
        <v>268</v>
      </c>
      <c r="AO377" s="12" t="s">
        <v>268</v>
      </c>
      <c r="AP377" s="12" t="s">
        <v>268</v>
      </c>
      <c r="AQ377" s="12" t="s">
        <v>268</v>
      </c>
      <c r="AR377" s="28" t="str">
        <f t="shared" ca="1" si="28"/>
        <v/>
      </c>
      <c r="AS377" s="28" t="str">
        <f t="shared" ca="1" si="29"/>
        <v/>
      </c>
    </row>
    <row r="378" spans="2:45" ht="27.6" customHeight="1">
      <c r="B378">
        <f t="shared" ca="1" si="25"/>
        <v>0</v>
      </c>
      <c r="C378" t="s">
        <v>85</v>
      </c>
      <c r="D378" t="s">
        <v>92</v>
      </c>
      <c r="E378" t="s">
        <v>92</v>
      </c>
      <c r="F378" t="s">
        <v>92</v>
      </c>
      <c r="G378" t="s">
        <v>92</v>
      </c>
      <c r="H378" t="s">
        <v>92</v>
      </c>
      <c r="I378" s="12" t="s">
        <v>268</v>
      </c>
      <c r="J378" t="s">
        <v>278</v>
      </c>
      <c r="L378" t="s">
        <v>92</v>
      </c>
      <c r="N378" s="14">
        <v>1</v>
      </c>
      <c r="P378" s="12" t="s">
        <v>268</v>
      </c>
      <c r="W378" s="9" t="str">
        <f t="shared" ca="1" si="26"/>
        <v>18.5%</v>
      </c>
      <c r="X378" t="s">
        <v>321</v>
      </c>
      <c r="Y378" s="9" t="str">
        <f t="shared" ca="1" si="27"/>
        <v>Sin costo</v>
      </c>
      <c r="Z378" t="s">
        <v>327</v>
      </c>
      <c r="AA378" t="s">
        <v>329</v>
      </c>
      <c r="AB378" t="s">
        <v>334</v>
      </c>
      <c r="AC378" s="12" t="s">
        <v>339</v>
      </c>
      <c r="AE378" t="s">
        <v>268</v>
      </c>
      <c r="AG378" s="12" t="s">
        <v>268</v>
      </c>
      <c r="AH378" t="s">
        <v>92</v>
      </c>
      <c r="AI378" s="12" t="s">
        <v>268</v>
      </c>
      <c r="AJ378" t="s">
        <v>92</v>
      </c>
      <c r="AK378" t="s">
        <v>92</v>
      </c>
      <c r="AL378" t="s">
        <v>92</v>
      </c>
      <c r="AM378" s="12" t="s">
        <v>268</v>
      </c>
      <c r="AN378" s="12" t="s">
        <v>268</v>
      </c>
      <c r="AO378" s="12" t="s">
        <v>268</v>
      </c>
      <c r="AP378" s="12" t="s">
        <v>268</v>
      </c>
      <c r="AQ378" s="12" t="s">
        <v>268</v>
      </c>
      <c r="AR378" s="28" t="str">
        <f t="shared" ca="1" si="28"/>
        <v/>
      </c>
      <c r="AS378" s="28" t="str">
        <f t="shared" ca="1" si="29"/>
        <v/>
      </c>
    </row>
    <row r="379" spans="2:45" ht="27.6" customHeight="1">
      <c r="B379">
        <f t="shared" ca="1" si="25"/>
        <v>0</v>
      </c>
      <c r="C379" t="s">
        <v>85</v>
      </c>
      <c r="D379" t="s">
        <v>92</v>
      </c>
      <c r="E379" t="s">
        <v>92</v>
      </c>
      <c r="F379" t="s">
        <v>92</v>
      </c>
      <c r="G379" t="s">
        <v>92</v>
      </c>
      <c r="H379" t="s">
        <v>92</v>
      </c>
      <c r="I379" s="12" t="s">
        <v>268</v>
      </c>
      <c r="J379" t="s">
        <v>278</v>
      </c>
      <c r="L379" t="s">
        <v>92</v>
      </c>
      <c r="N379" s="14">
        <v>1</v>
      </c>
      <c r="P379" s="12" t="s">
        <v>268</v>
      </c>
      <c r="W379" s="9" t="str">
        <f t="shared" ca="1" si="26"/>
        <v>18.5%</v>
      </c>
      <c r="X379" t="s">
        <v>321</v>
      </c>
      <c r="Y379" s="9" t="str">
        <f t="shared" ca="1" si="27"/>
        <v>Sin costo</v>
      </c>
      <c r="Z379" t="s">
        <v>327</v>
      </c>
      <c r="AA379" t="s">
        <v>329</v>
      </c>
      <c r="AB379" t="s">
        <v>334</v>
      </c>
      <c r="AC379" s="12" t="s">
        <v>339</v>
      </c>
      <c r="AE379" t="s">
        <v>268</v>
      </c>
      <c r="AG379" s="12" t="s">
        <v>268</v>
      </c>
      <c r="AH379" t="s">
        <v>92</v>
      </c>
      <c r="AI379" s="12" t="s">
        <v>268</v>
      </c>
      <c r="AJ379" t="s">
        <v>92</v>
      </c>
      <c r="AK379" t="s">
        <v>92</v>
      </c>
      <c r="AL379" t="s">
        <v>92</v>
      </c>
      <c r="AM379" s="12" t="s">
        <v>268</v>
      </c>
      <c r="AN379" s="12" t="s">
        <v>268</v>
      </c>
      <c r="AO379" s="12" t="s">
        <v>268</v>
      </c>
      <c r="AP379" s="12" t="s">
        <v>268</v>
      </c>
      <c r="AQ379" s="12" t="s">
        <v>268</v>
      </c>
      <c r="AR379" s="28" t="str">
        <f t="shared" ca="1" si="28"/>
        <v/>
      </c>
      <c r="AS379" s="28" t="str">
        <f t="shared" ca="1" si="29"/>
        <v/>
      </c>
    </row>
    <row r="380" spans="2:45" ht="27.6" customHeight="1">
      <c r="B380">
        <f t="shared" ca="1" si="25"/>
        <v>0</v>
      </c>
      <c r="C380" t="s">
        <v>85</v>
      </c>
      <c r="D380" t="s">
        <v>92</v>
      </c>
      <c r="E380" t="s">
        <v>92</v>
      </c>
      <c r="F380" t="s">
        <v>92</v>
      </c>
      <c r="G380" t="s">
        <v>92</v>
      </c>
      <c r="H380" t="s">
        <v>92</v>
      </c>
      <c r="I380" s="12" t="s">
        <v>268</v>
      </c>
      <c r="J380" t="s">
        <v>278</v>
      </c>
      <c r="L380" t="s">
        <v>92</v>
      </c>
      <c r="N380" s="14">
        <v>1</v>
      </c>
      <c r="P380" s="12" t="s">
        <v>268</v>
      </c>
      <c r="W380" s="9" t="str">
        <f t="shared" ca="1" si="26"/>
        <v>18.5%</v>
      </c>
      <c r="X380" t="s">
        <v>321</v>
      </c>
      <c r="Y380" s="9" t="str">
        <f t="shared" ca="1" si="27"/>
        <v>Sin costo</v>
      </c>
      <c r="Z380" t="s">
        <v>327</v>
      </c>
      <c r="AA380" t="s">
        <v>329</v>
      </c>
      <c r="AB380" t="s">
        <v>334</v>
      </c>
      <c r="AC380" s="12" t="s">
        <v>339</v>
      </c>
      <c r="AE380" t="s">
        <v>268</v>
      </c>
      <c r="AG380" s="12" t="s">
        <v>268</v>
      </c>
      <c r="AH380" t="s">
        <v>92</v>
      </c>
      <c r="AI380" s="12" t="s">
        <v>268</v>
      </c>
      <c r="AJ380" t="s">
        <v>92</v>
      </c>
      <c r="AK380" t="s">
        <v>92</v>
      </c>
      <c r="AL380" t="s">
        <v>92</v>
      </c>
      <c r="AM380" s="12" t="s">
        <v>268</v>
      </c>
      <c r="AN380" s="12" t="s">
        <v>268</v>
      </c>
      <c r="AO380" s="12" t="s">
        <v>268</v>
      </c>
      <c r="AP380" s="12" t="s">
        <v>268</v>
      </c>
      <c r="AQ380" s="12" t="s">
        <v>268</v>
      </c>
      <c r="AR380" s="28" t="str">
        <f t="shared" ca="1" si="28"/>
        <v/>
      </c>
      <c r="AS380" s="28" t="str">
        <f t="shared" ca="1" si="29"/>
        <v/>
      </c>
    </row>
    <row r="381" spans="2:45" ht="27.6" customHeight="1">
      <c r="B381">
        <f t="shared" ca="1" si="25"/>
        <v>0</v>
      </c>
      <c r="C381" t="s">
        <v>85</v>
      </c>
      <c r="D381" t="s">
        <v>92</v>
      </c>
      <c r="E381" t="s">
        <v>92</v>
      </c>
      <c r="F381" t="s">
        <v>92</v>
      </c>
      <c r="G381" t="s">
        <v>92</v>
      </c>
      <c r="H381" t="s">
        <v>92</v>
      </c>
      <c r="I381" s="12" t="s">
        <v>268</v>
      </c>
      <c r="J381" t="s">
        <v>278</v>
      </c>
      <c r="L381" t="s">
        <v>92</v>
      </c>
      <c r="N381" s="14">
        <v>1</v>
      </c>
      <c r="P381" s="12" t="s">
        <v>268</v>
      </c>
      <c r="W381" s="9" t="str">
        <f t="shared" ca="1" si="26"/>
        <v>18.5%</v>
      </c>
      <c r="X381" t="s">
        <v>321</v>
      </c>
      <c r="Y381" s="9" t="str">
        <f t="shared" ca="1" si="27"/>
        <v>Sin costo</v>
      </c>
      <c r="Z381" t="s">
        <v>327</v>
      </c>
      <c r="AA381" t="s">
        <v>329</v>
      </c>
      <c r="AB381" t="s">
        <v>334</v>
      </c>
      <c r="AC381" s="12" t="s">
        <v>339</v>
      </c>
      <c r="AE381" t="s">
        <v>268</v>
      </c>
      <c r="AG381" s="12" t="s">
        <v>268</v>
      </c>
      <c r="AH381" t="s">
        <v>92</v>
      </c>
      <c r="AI381" s="12" t="s">
        <v>268</v>
      </c>
      <c r="AJ381" t="s">
        <v>92</v>
      </c>
      <c r="AK381" t="s">
        <v>92</v>
      </c>
      <c r="AL381" t="s">
        <v>92</v>
      </c>
      <c r="AM381" s="12" t="s">
        <v>268</v>
      </c>
      <c r="AN381" s="12" t="s">
        <v>268</v>
      </c>
      <c r="AO381" s="12" t="s">
        <v>268</v>
      </c>
      <c r="AP381" s="12" t="s">
        <v>268</v>
      </c>
      <c r="AQ381" s="12" t="s">
        <v>268</v>
      </c>
      <c r="AR381" s="28" t="str">
        <f t="shared" ca="1" si="28"/>
        <v/>
      </c>
      <c r="AS381" s="28" t="str">
        <f t="shared" ca="1" si="29"/>
        <v/>
      </c>
    </row>
    <row r="382" spans="2:45" ht="27.6" customHeight="1">
      <c r="B382">
        <f t="shared" ca="1" si="25"/>
        <v>0</v>
      </c>
      <c r="C382" t="s">
        <v>85</v>
      </c>
      <c r="D382" t="s">
        <v>92</v>
      </c>
      <c r="E382" t="s">
        <v>92</v>
      </c>
      <c r="F382" t="s">
        <v>92</v>
      </c>
      <c r="G382" t="s">
        <v>92</v>
      </c>
      <c r="H382" t="s">
        <v>92</v>
      </c>
      <c r="I382" s="12" t="s">
        <v>268</v>
      </c>
      <c r="J382" t="s">
        <v>278</v>
      </c>
      <c r="L382" t="s">
        <v>92</v>
      </c>
      <c r="N382" s="14">
        <v>1</v>
      </c>
      <c r="P382" s="12" t="s">
        <v>268</v>
      </c>
      <c r="W382" s="9" t="str">
        <f t="shared" ca="1" si="26"/>
        <v>18.5%</v>
      </c>
      <c r="X382" t="s">
        <v>321</v>
      </c>
      <c r="Y382" s="9" t="str">
        <f t="shared" ca="1" si="27"/>
        <v>Sin costo</v>
      </c>
      <c r="Z382" t="s">
        <v>327</v>
      </c>
      <c r="AA382" t="s">
        <v>329</v>
      </c>
      <c r="AB382" t="s">
        <v>334</v>
      </c>
      <c r="AC382" s="12" t="s">
        <v>339</v>
      </c>
      <c r="AE382" t="s">
        <v>268</v>
      </c>
      <c r="AG382" s="12" t="s">
        <v>268</v>
      </c>
      <c r="AH382" t="s">
        <v>92</v>
      </c>
      <c r="AI382" s="12" t="s">
        <v>268</v>
      </c>
      <c r="AJ382" t="s">
        <v>92</v>
      </c>
      <c r="AK382" t="s">
        <v>92</v>
      </c>
      <c r="AL382" t="s">
        <v>92</v>
      </c>
      <c r="AM382" s="12" t="s">
        <v>268</v>
      </c>
      <c r="AN382" s="12" t="s">
        <v>268</v>
      </c>
      <c r="AO382" s="12" t="s">
        <v>268</v>
      </c>
      <c r="AP382" s="12" t="s">
        <v>268</v>
      </c>
      <c r="AQ382" s="12" t="s">
        <v>268</v>
      </c>
      <c r="AR382" s="28" t="str">
        <f t="shared" ca="1" si="28"/>
        <v/>
      </c>
      <c r="AS382" s="28" t="str">
        <f t="shared" ca="1" si="29"/>
        <v/>
      </c>
    </row>
    <row r="383" spans="2:45" ht="27.6" customHeight="1">
      <c r="B383">
        <f t="shared" ca="1" si="25"/>
        <v>0</v>
      </c>
      <c r="C383" t="s">
        <v>85</v>
      </c>
      <c r="D383" t="s">
        <v>92</v>
      </c>
      <c r="E383" t="s">
        <v>92</v>
      </c>
      <c r="F383" t="s">
        <v>92</v>
      </c>
      <c r="G383" t="s">
        <v>92</v>
      </c>
      <c r="H383" t="s">
        <v>92</v>
      </c>
      <c r="I383" s="12" t="s">
        <v>268</v>
      </c>
      <c r="J383" t="s">
        <v>278</v>
      </c>
      <c r="L383" t="s">
        <v>92</v>
      </c>
      <c r="N383" s="14">
        <v>1</v>
      </c>
      <c r="P383" s="12" t="s">
        <v>268</v>
      </c>
      <c r="W383" s="9" t="str">
        <f t="shared" ca="1" si="26"/>
        <v>18.5%</v>
      </c>
      <c r="X383" t="s">
        <v>321</v>
      </c>
      <c r="Y383" s="9" t="str">
        <f t="shared" ca="1" si="27"/>
        <v>Sin costo</v>
      </c>
      <c r="Z383" t="s">
        <v>327</v>
      </c>
      <c r="AA383" t="s">
        <v>329</v>
      </c>
      <c r="AB383" t="s">
        <v>334</v>
      </c>
      <c r="AC383" s="12" t="s">
        <v>339</v>
      </c>
      <c r="AE383" t="s">
        <v>268</v>
      </c>
      <c r="AG383" s="12" t="s">
        <v>268</v>
      </c>
      <c r="AH383" t="s">
        <v>92</v>
      </c>
      <c r="AI383" s="12" t="s">
        <v>268</v>
      </c>
      <c r="AJ383" t="s">
        <v>92</v>
      </c>
      <c r="AK383" t="s">
        <v>92</v>
      </c>
      <c r="AL383" t="s">
        <v>92</v>
      </c>
      <c r="AM383" s="12" t="s">
        <v>268</v>
      </c>
      <c r="AN383" s="12" t="s">
        <v>268</v>
      </c>
      <c r="AO383" s="12" t="s">
        <v>268</v>
      </c>
      <c r="AP383" s="12" t="s">
        <v>268</v>
      </c>
      <c r="AQ383" s="12" t="s">
        <v>268</v>
      </c>
      <c r="AR383" s="28" t="str">
        <f t="shared" ca="1" si="28"/>
        <v/>
      </c>
      <c r="AS383" s="28" t="str">
        <f t="shared" ca="1" si="29"/>
        <v/>
      </c>
    </row>
    <row r="384" spans="2:45" ht="27.6" customHeight="1">
      <c r="B384">
        <f t="shared" ca="1" si="25"/>
        <v>0</v>
      </c>
      <c r="C384" t="s">
        <v>85</v>
      </c>
      <c r="D384" t="s">
        <v>92</v>
      </c>
      <c r="E384" t="s">
        <v>92</v>
      </c>
      <c r="F384" t="s">
        <v>92</v>
      </c>
      <c r="G384" t="s">
        <v>92</v>
      </c>
      <c r="H384" t="s">
        <v>92</v>
      </c>
      <c r="I384" s="12" t="s">
        <v>268</v>
      </c>
      <c r="J384" t="s">
        <v>278</v>
      </c>
      <c r="L384" t="s">
        <v>92</v>
      </c>
      <c r="N384" s="14">
        <v>1</v>
      </c>
      <c r="P384" s="12" t="s">
        <v>268</v>
      </c>
      <c r="W384" s="9" t="str">
        <f t="shared" ca="1" si="26"/>
        <v>18.5%</v>
      </c>
      <c r="X384" t="s">
        <v>321</v>
      </c>
      <c r="Y384" s="9" t="str">
        <f t="shared" ca="1" si="27"/>
        <v>Sin costo</v>
      </c>
      <c r="Z384" t="s">
        <v>327</v>
      </c>
      <c r="AA384" t="s">
        <v>329</v>
      </c>
      <c r="AB384" t="s">
        <v>334</v>
      </c>
      <c r="AC384" s="12" t="s">
        <v>339</v>
      </c>
      <c r="AE384" t="s">
        <v>268</v>
      </c>
      <c r="AG384" s="12" t="s">
        <v>268</v>
      </c>
      <c r="AH384" t="s">
        <v>92</v>
      </c>
      <c r="AI384" s="12" t="s">
        <v>268</v>
      </c>
      <c r="AJ384" t="s">
        <v>92</v>
      </c>
      <c r="AK384" t="s">
        <v>92</v>
      </c>
      <c r="AL384" t="s">
        <v>92</v>
      </c>
      <c r="AM384" s="12" t="s">
        <v>268</v>
      </c>
      <c r="AN384" s="12" t="s">
        <v>268</v>
      </c>
      <c r="AO384" s="12" t="s">
        <v>268</v>
      </c>
      <c r="AP384" s="12" t="s">
        <v>268</v>
      </c>
      <c r="AQ384" s="12" t="s">
        <v>268</v>
      </c>
      <c r="AR384" s="28" t="str">
        <f t="shared" ca="1" si="28"/>
        <v/>
      </c>
      <c r="AS384" s="28" t="str">
        <f t="shared" ca="1" si="29"/>
        <v/>
      </c>
    </row>
    <row r="385" spans="2:45" ht="27.6" customHeight="1">
      <c r="B385">
        <f t="shared" ca="1" si="25"/>
        <v>0</v>
      </c>
      <c r="C385" t="s">
        <v>85</v>
      </c>
      <c r="D385" t="s">
        <v>92</v>
      </c>
      <c r="E385" t="s">
        <v>92</v>
      </c>
      <c r="F385" t="s">
        <v>92</v>
      </c>
      <c r="G385" t="s">
        <v>92</v>
      </c>
      <c r="H385" t="s">
        <v>92</v>
      </c>
      <c r="I385" s="12" t="s">
        <v>268</v>
      </c>
      <c r="J385" t="s">
        <v>278</v>
      </c>
      <c r="L385" t="s">
        <v>92</v>
      </c>
      <c r="N385" s="14">
        <v>1</v>
      </c>
      <c r="P385" s="12" t="s">
        <v>268</v>
      </c>
      <c r="W385" s="9" t="str">
        <f t="shared" ca="1" si="26"/>
        <v>18.5%</v>
      </c>
      <c r="X385" t="s">
        <v>321</v>
      </c>
      <c r="Y385" s="9" t="str">
        <f t="shared" ca="1" si="27"/>
        <v>Sin costo</v>
      </c>
      <c r="Z385" t="s">
        <v>327</v>
      </c>
      <c r="AA385" t="s">
        <v>329</v>
      </c>
      <c r="AB385" t="s">
        <v>334</v>
      </c>
      <c r="AC385" s="12" t="s">
        <v>339</v>
      </c>
      <c r="AE385" t="s">
        <v>268</v>
      </c>
      <c r="AG385" s="12" t="s">
        <v>268</v>
      </c>
      <c r="AH385" t="s">
        <v>92</v>
      </c>
      <c r="AI385" s="12" t="s">
        <v>268</v>
      </c>
      <c r="AJ385" t="s">
        <v>92</v>
      </c>
      <c r="AK385" t="s">
        <v>92</v>
      </c>
      <c r="AL385" t="s">
        <v>92</v>
      </c>
      <c r="AM385" s="12" t="s">
        <v>268</v>
      </c>
      <c r="AN385" s="12" t="s">
        <v>268</v>
      </c>
      <c r="AO385" s="12" t="s">
        <v>268</v>
      </c>
      <c r="AP385" s="12" t="s">
        <v>268</v>
      </c>
      <c r="AQ385" s="12" t="s">
        <v>268</v>
      </c>
      <c r="AR385" s="28" t="str">
        <f t="shared" ca="1" si="28"/>
        <v/>
      </c>
      <c r="AS385" s="28" t="str">
        <f t="shared" ca="1" si="29"/>
        <v/>
      </c>
    </row>
    <row r="386" spans="2:45" ht="27.6" customHeight="1">
      <c r="B386">
        <f t="shared" ca="1" si="25"/>
        <v>0</v>
      </c>
      <c r="C386" t="s">
        <v>85</v>
      </c>
      <c r="D386" t="s">
        <v>92</v>
      </c>
      <c r="E386" t="s">
        <v>92</v>
      </c>
      <c r="F386" t="s">
        <v>92</v>
      </c>
      <c r="G386" t="s">
        <v>92</v>
      </c>
      <c r="H386" t="s">
        <v>92</v>
      </c>
      <c r="I386" s="12" t="s">
        <v>268</v>
      </c>
      <c r="J386" t="s">
        <v>278</v>
      </c>
      <c r="L386" t="s">
        <v>92</v>
      </c>
      <c r="N386" s="14">
        <v>1</v>
      </c>
      <c r="P386" s="12" t="s">
        <v>268</v>
      </c>
      <c r="W386" s="9" t="str">
        <f t="shared" ca="1" si="26"/>
        <v>18.5%</v>
      </c>
      <c r="X386" t="s">
        <v>321</v>
      </c>
      <c r="Y386" s="9" t="str">
        <f t="shared" ca="1" si="27"/>
        <v>Sin costo</v>
      </c>
      <c r="Z386" t="s">
        <v>327</v>
      </c>
      <c r="AA386" t="s">
        <v>329</v>
      </c>
      <c r="AB386" t="s">
        <v>334</v>
      </c>
      <c r="AC386" s="12" t="s">
        <v>339</v>
      </c>
      <c r="AE386" t="s">
        <v>268</v>
      </c>
      <c r="AG386" s="12" t="s">
        <v>268</v>
      </c>
      <c r="AH386" t="s">
        <v>92</v>
      </c>
      <c r="AI386" s="12" t="s">
        <v>268</v>
      </c>
      <c r="AJ386" t="s">
        <v>92</v>
      </c>
      <c r="AK386" t="s">
        <v>92</v>
      </c>
      <c r="AL386" t="s">
        <v>92</v>
      </c>
      <c r="AM386" s="12" t="s">
        <v>268</v>
      </c>
      <c r="AN386" s="12" t="s">
        <v>268</v>
      </c>
      <c r="AO386" s="12" t="s">
        <v>268</v>
      </c>
      <c r="AP386" s="12" t="s">
        <v>268</v>
      </c>
      <c r="AQ386" s="12" t="s">
        <v>268</v>
      </c>
      <c r="AR386" s="28" t="str">
        <f t="shared" ca="1" si="28"/>
        <v/>
      </c>
      <c r="AS386" s="28" t="str">
        <f t="shared" ca="1" si="29"/>
        <v/>
      </c>
    </row>
    <row r="387" spans="2:45" ht="27.6" customHeight="1">
      <c r="B387">
        <f t="shared" ca="1" si="25"/>
        <v>0</v>
      </c>
      <c r="C387" t="s">
        <v>85</v>
      </c>
      <c r="D387" t="s">
        <v>92</v>
      </c>
      <c r="E387" t="s">
        <v>92</v>
      </c>
      <c r="F387" t="s">
        <v>92</v>
      </c>
      <c r="G387" t="s">
        <v>92</v>
      </c>
      <c r="H387" t="s">
        <v>92</v>
      </c>
      <c r="I387" s="12" t="s">
        <v>268</v>
      </c>
      <c r="J387" t="s">
        <v>278</v>
      </c>
      <c r="L387" t="s">
        <v>92</v>
      </c>
      <c r="N387" s="14">
        <v>1</v>
      </c>
      <c r="P387" s="12" t="s">
        <v>268</v>
      </c>
      <c r="W387" s="9" t="str">
        <f t="shared" ca="1" si="26"/>
        <v>18.5%</v>
      </c>
      <c r="X387" t="s">
        <v>321</v>
      </c>
      <c r="Y387" s="9" t="str">
        <f t="shared" ca="1" si="27"/>
        <v>Sin costo</v>
      </c>
      <c r="Z387" t="s">
        <v>327</v>
      </c>
      <c r="AA387" t="s">
        <v>329</v>
      </c>
      <c r="AB387" t="s">
        <v>334</v>
      </c>
      <c r="AC387" s="12" t="s">
        <v>339</v>
      </c>
      <c r="AE387" t="s">
        <v>268</v>
      </c>
      <c r="AG387" s="12" t="s">
        <v>268</v>
      </c>
      <c r="AH387" t="s">
        <v>92</v>
      </c>
      <c r="AI387" s="12" t="s">
        <v>268</v>
      </c>
      <c r="AJ387" t="s">
        <v>92</v>
      </c>
      <c r="AK387" t="s">
        <v>92</v>
      </c>
      <c r="AL387" t="s">
        <v>92</v>
      </c>
      <c r="AM387" s="12" t="s">
        <v>268</v>
      </c>
      <c r="AN387" s="12" t="s">
        <v>268</v>
      </c>
      <c r="AO387" s="12" t="s">
        <v>268</v>
      </c>
      <c r="AP387" s="12" t="s">
        <v>268</v>
      </c>
      <c r="AQ387" s="12" t="s">
        <v>268</v>
      </c>
      <c r="AR387" s="28" t="str">
        <f t="shared" ca="1" si="28"/>
        <v/>
      </c>
      <c r="AS387" s="28" t="str">
        <f t="shared" ca="1" si="29"/>
        <v/>
      </c>
    </row>
    <row r="388" spans="2:45" ht="27.6" customHeight="1">
      <c r="B388">
        <f t="shared" ca="1" si="25"/>
        <v>0</v>
      </c>
      <c r="C388" t="s">
        <v>85</v>
      </c>
      <c r="D388" t="s">
        <v>92</v>
      </c>
      <c r="E388" t="s">
        <v>92</v>
      </c>
      <c r="F388" t="s">
        <v>92</v>
      </c>
      <c r="G388" t="s">
        <v>92</v>
      </c>
      <c r="H388" t="s">
        <v>92</v>
      </c>
      <c r="I388" s="12" t="s">
        <v>268</v>
      </c>
      <c r="J388" t="s">
        <v>278</v>
      </c>
      <c r="L388" t="s">
        <v>92</v>
      </c>
      <c r="N388" s="14">
        <v>1</v>
      </c>
      <c r="P388" s="12" t="s">
        <v>268</v>
      </c>
      <c r="W388" s="9" t="str">
        <f t="shared" ca="1" si="26"/>
        <v>18.5%</v>
      </c>
      <c r="X388" t="s">
        <v>321</v>
      </c>
      <c r="Y388" s="9" t="str">
        <f t="shared" ca="1" si="27"/>
        <v>Sin costo</v>
      </c>
      <c r="Z388" t="s">
        <v>327</v>
      </c>
      <c r="AA388" t="s">
        <v>329</v>
      </c>
      <c r="AB388" t="s">
        <v>334</v>
      </c>
      <c r="AC388" s="12" t="s">
        <v>339</v>
      </c>
      <c r="AE388" t="s">
        <v>268</v>
      </c>
      <c r="AG388" s="12" t="s">
        <v>268</v>
      </c>
      <c r="AH388" t="s">
        <v>92</v>
      </c>
      <c r="AI388" s="12" t="s">
        <v>268</v>
      </c>
      <c r="AJ388" t="s">
        <v>92</v>
      </c>
      <c r="AK388" t="s">
        <v>92</v>
      </c>
      <c r="AL388" t="s">
        <v>92</v>
      </c>
      <c r="AM388" s="12" t="s">
        <v>268</v>
      </c>
      <c r="AN388" s="12" t="s">
        <v>268</v>
      </c>
      <c r="AO388" s="12" t="s">
        <v>268</v>
      </c>
      <c r="AP388" s="12" t="s">
        <v>268</v>
      </c>
      <c r="AQ388" s="12" t="s">
        <v>268</v>
      </c>
      <c r="AR388" s="28" t="str">
        <f t="shared" ca="1" si="28"/>
        <v/>
      </c>
      <c r="AS388" s="28" t="str">
        <f t="shared" ca="1" si="29"/>
        <v/>
      </c>
    </row>
    <row r="389" spans="2:45" ht="27.6" customHeight="1">
      <c r="B389">
        <f t="shared" ca="1" si="25"/>
        <v>0</v>
      </c>
      <c r="C389" t="s">
        <v>85</v>
      </c>
      <c r="D389" t="s">
        <v>92</v>
      </c>
      <c r="E389" t="s">
        <v>92</v>
      </c>
      <c r="F389" t="s">
        <v>92</v>
      </c>
      <c r="G389" t="s">
        <v>92</v>
      </c>
      <c r="H389" t="s">
        <v>92</v>
      </c>
      <c r="I389" s="12" t="s">
        <v>268</v>
      </c>
      <c r="J389" t="s">
        <v>278</v>
      </c>
      <c r="L389" t="s">
        <v>92</v>
      </c>
      <c r="N389" s="14">
        <v>1</v>
      </c>
      <c r="P389" s="12" t="s">
        <v>268</v>
      </c>
      <c r="W389" s="9" t="str">
        <f t="shared" ca="1" si="26"/>
        <v>18.5%</v>
      </c>
      <c r="X389" t="s">
        <v>321</v>
      </c>
      <c r="Y389" s="9" t="str">
        <f t="shared" ca="1" si="27"/>
        <v>Sin costo</v>
      </c>
      <c r="Z389" t="s">
        <v>327</v>
      </c>
      <c r="AA389" t="s">
        <v>329</v>
      </c>
      <c r="AB389" t="s">
        <v>334</v>
      </c>
      <c r="AC389" s="12" t="s">
        <v>339</v>
      </c>
      <c r="AE389" t="s">
        <v>268</v>
      </c>
      <c r="AG389" s="12" t="s">
        <v>268</v>
      </c>
      <c r="AH389" t="s">
        <v>92</v>
      </c>
      <c r="AI389" s="12" t="s">
        <v>268</v>
      </c>
      <c r="AJ389" t="s">
        <v>92</v>
      </c>
      <c r="AK389" t="s">
        <v>92</v>
      </c>
      <c r="AL389" t="s">
        <v>92</v>
      </c>
      <c r="AM389" s="12" t="s">
        <v>268</v>
      </c>
      <c r="AN389" s="12" t="s">
        <v>268</v>
      </c>
      <c r="AO389" s="12" t="s">
        <v>268</v>
      </c>
      <c r="AP389" s="12" t="s">
        <v>268</v>
      </c>
      <c r="AQ389" s="12" t="s">
        <v>268</v>
      </c>
      <c r="AR389" s="28" t="str">
        <f t="shared" ca="1" si="28"/>
        <v/>
      </c>
      <c r="AS389" s="28" t="str">
        <f t="shared" ca="1" si="29"/>
        <v/>
      </c>
    </row>
    <row r="390" spans="2:45" ht="27.6" customHeight="1">
      <c r="B390">
        <f t="shared" ca="1" si="25"/>
        <v>0</v>
      </c>
      <c r="C390" t="s">
        <v>85</v>
      </c>
      <c r="D390" t="s">
        <v>92</v>
      </c>
      <c r="E390" t="s">
        <v>92</v>
      </c>
      <c r="F390" t="s">
        <v>92</v>
      </c>
      <c r="G390" t="s">
        <v>92</v>
      </c>
      <c r="H390" t="s">
        <v>92</v>
      </c>
      <c r="I390" s="12" t="s">
        <v>268</v>
      </c>
      <c r="J390" t="s">
        <v>278</v>
      </c>
      <c r="L390" t="s">
        <v>92</v>
      </c>
      <c r="N390" s="14">
        <v>1</v>
      </c>
      <c r="P390" s="12" t="s">
        <v>268</v>
      </c>
      <c r="W390" s="9" t="str">
        <f t="shared" ca="1" si="26"/>
        <v>18.5%</v>
      </c>
      <c r="X390" t="s">
        <v>321</v>
      </c>
      <c r="Y390" s="9" t="str">
        <f t="shared" ca="1" si="27"/>
        <v>Sin costo</v>
      </c>
      <c r="Z390" t="s">
        <v>327</v>
      </c>
      <c r="AA390" t="s">
        <v>329</v>
      </c>
      <c r="AB390" t="s">
        <v>334</v>
      </c>
      <c r="AC390" s="12" t="s">
        <v>339</v>
      </c>
      <c r="AE390" t="s">
        <v>268</v>
      </c>
      <c r="AG390" s="12" t="s">
        <v>268</v>
      </c>
      <c r="AH390" t="s">
        <v>92</v>
      </c>
      <c r="AI390" s="12" t="s">
        <v>268</v>
      </c>
      <c r="AJ390" t="s">
        <v>92</v>
      </c>
      <c r="AK390" t="s">
        <v>92</v>
      </c>
      <c r="AL390" t="s">
        <v>92</v>
      </c>
      <c r="AM390" s="12" t="s">
        <v>268</v>
      </c>
      <c r="AN390" s="12" t="s">
        <v>268</v>
      </c>
      <c r="AO390" s="12" t="s">
        <v>268</v>
      </c>
      <c r="AP390" s="12" t="s">
        <v>268</v>
      </c>
      <c r="AQ390" s="12" t="s">
        <v>268</v>
      </c>
      <c r="AR390" s="28" t="str">
        <f t="shared" ca="1" si="28"/>
        <v/>
      </c>
      <c r="AS390" s="28" t="str">
        <f t="shared" ca="1" si="29"/>
        <v/>
      </c>
    </row>
    <row r="391" spans="2:45" ht="27.6" customHeight="1">
      <c r="B391">
        <f t="shared" ref="B391:B454" ca="1" si="30">LEN(INDIRECT(ADDRESS(ROW() + (0),COLUMN() + (-1))))</f>
        <v>0</v>
      </c>
      <c r="C391" t="s">
        <v>85</v>
      </c>
      <c r="D391" t="s">
        <v>92</v>
      </c>
      <c r="E391" t="s">
        <v>92</v>
      </c>
      <c r="F391" t="s">
        <v>92</v>
      </c>
      <c r="G391" t="s">
        <v>92</v>
      </c>
      <c r="H391" t="s">
        <v>92</v>
      </c>
      <c r="I391" s="12" t="s">
        <v>268</v>
      </c>
      <c r="J391" t="s">
        <v>278</v>
      </c>
      <c r="L391" t="s">
        <v>92</v>
      </c>
      <c r="N391" s="14">
        <v>1</v>
      </c>
      <c r="P391" s="12" t="s">
        <v>268</v>
      </c>
      <c r="W391" s="9" t="str">
        <f t="shared" ref="W391:W454" ca="1" si="31">IF(INDIRECT(ADDRESS(ROW() + (0),COLUMN() + (1)))="Cuotas extra", IF(("21.5%")="", "-", "21.5%"), IF(INDIRECT(ADDRESS(ROW() + (0),COLUMN() + (1)))="Cuotas", IF(("18.5%")="", "-", "18.5%"), "-"))</f>
        <v>18.5%</v>
      </c>
      <c r="X391" t="s">
        <v>321</v>
      </c>
      <c r="Y391" s="9" t="str">
        <f t="shared" ref="Y391:Y454" ca="1" si="32">IF(INDIRECT(ADDRESS(ROW() + (0),COLUMN() + (-1)))="Cuotas extra", IF(("")="", "Sin costo", ""), IF(INDIRECT(ADDRESS(ROW() + (0),COLUMN() + (-1)))="Cuotas", IF(("")="", "Sin costo", ""), "-"))</f>
        <v>Sin costo</v>
      </c>
      <c r="Z391" t="s">
        <v>327</v>
      </c>
      <c r="AA391" t="s">
        <v>329</v>
      </c>
      <c r="AB391" t="s">
        <v>334</v>
      </c>
      <c r="AC391" s="12" t="s">
        <v>339</v>
      </c>
      <c r="AE391" t="s">
        <v>268</v>
      </c>
      <c r="AG391" s="12" t="s">
        <v>268</v>
      </c>
      <c r="AH391" t="s">
        <v>92</v>
      </c>
      <c r="AI391" s="12" t="s">
        <v>268</v>
      </c>
      <c r="AJ391" t="s">
        <v>92</v>
      </c>
      <c r="AK391" t="s">
        <v>92</v>
      </c>
      <c r="AL391" t="s">
        <v>92</v>
      </c>
      <c r="AM391" s="12" t="s">
        <v>268</v>
      </c>
      <c r="AN391" s="12" t="s">
        <v>268</v>
      </c>
      <c r="AO391" s="12" t="s">
        <v>268</v>
      </c>
      <c r="AP391" s="12" t="s">
        <v>268</v>
      </c>
      <c r="AQ391" s="12" t="s">
        <v>268</v>
      </c>
      <c r="AR391" s="28" t="str">
        <f t="shared" ref="AR391:AR454" ca="1" si="3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391" s="28" t="str">
        <f t="shared" ref="AS391:AS454" ca="1" si="34">IF(TRIM(INDIRECT("A"&amp;ROW())) &lt;&gt; "",FALSE,"")</f>
        <v/>
      </c>
    </row>
    <row r="392" spans="2:45" ht="27.6" customHeight="1">
      <c r="B392">
        <f t="shared" ca="1" si="30"/>
        <v>0</v>
      </c>
      <c r="C392" t="s">
        <v>85</v>
      </c>
      <c r="D392" t="s">
        <v>92</v>
      </c>
      <c r="E392" t="s">
        <v>92</v>
      </c>
      <c r="F392" t="s">
        <v>92</v>
      </c>
      <c r="G392" t="s">
        <v>92</v>
      </c>
      <c r="H392" t="s">
        <v>92</v>
      </c>
      <c r="I392" s="12" t="s">
        <v>268</v>
      </c>
      <c r="J392" t="s">
        <v>278</v>
      </c>
      <c r="L392" t="s">
        <v>92</v>
      </c>
      <c r="N392" s="14">
        <v>1</v>
      </c>
      <c r="P392" s="12" t="s">
        <v>268</v>
      </c>
      <c r="W392" s="9" t="str">
        <f t="shared" ca="1" si="31"/>
        <v>18.5%</v>
      </c>
      <c r="X392" t="s">
        <v>321</v>
      </c>
      <c r="Y392" s="9" t="str">
        <f t="shared" ca="1" si="32"/>
        <v>Sin costo</v>
      </c>
      <c r="Z392" t="s">
        <v>327</v>
      </c>
      <c r="AA392" t="s">
        <v>329</v>
      </c>
      <c r="AB392" t="s">
        <v>334</v>
      </c>
      <c r="AC392" s="12" t="s">
        <v>339</v>
      </c>
      <c r="AE392" t="s">
        <v>268</v>
      </c>
      <c r="AG392" s="12" t="s">
        <v>268</v>
      </c>
      <c r="AH392" t="s">
        <v>92</v>
      </c>
      <c r="AI392" s="12" t="s">
        <v>268</v>
      </c>
      <c r="AJ392" t="s">
        <v>92</v>
      </c>
      <c r="AK392" t="s">
        <v>92</v>
      </c>
      <c r="AL392" t="s">
        <v>92</v>
      </c>
      <c r="AM392" s="12" t="s">
        <v>268</v>
      </c>
      <c r="AN392" s="12" t="s">
        <v>268</v>
      </c>
      <c r="AO392" s="12" t="s">
        <v>268</v>
      </c>
      <c r="AP392" s="12" t="s">
        <v>268</v>
      </c>
      <c r="AQ392" s="12" t="s">
        <v>268</v>
      </c>
      <c r="AR392" s="28" t="str">
        <f t="shared" ca="1" si="33"/>
        <v/>
      </c>
      <c r="AS392" s="28" t="str">
        <f t="shared" ca="1" si="34"/>
        <v/>
      </c>
    </row>
    <row r="393" spans="2:45" ht="27.6" customHeight="1">
      <c r="B393">
        <f t="shared" ca="1" si="30"/>
        <v>0</v>
      </c>
      <c r="C393" t="s">
        <v>85</v>
      </c>
      <c r="D393" t="s">
        <v>92</v>
      </c>
      <c r="E393" t="s">
        <v>92</v>
      </c>
      <c r="F393" t="s">
        <v>92</v>
      </c>
      <c r="G393" t="s">
        <v>92</v>
      </c>
      <c r="H393" t="s">
        <v>92</v>
      </c>
      <c r="I393" s="12" t="s">
        <v>268</v>
      </c>
      <c r="J393" t="s">
        <v>278</v>
      </c>
      <c r="L393" t="s">
        <v>92</v>
      </c>
      <c r="N393" s="14">
        <v>1</v>
      </c>
      <c r="P393" s="12" t="s">
        <v>268</v>
      </c>
      <c r="W393" s="9" t="str">
        <f t="shared" ca="1" si="31"/>
        <v>18.5%</v>
      </c>
      <c r="X393" t="s">
        <v>321</v>
      </c>
      <c r="Y393" s="9" t="str">
        <f t="shared" ca="1" si="32"/>
        <v>Sin costo</v>
      </c>
      <c r="Z393" t="s">
        <v>327</v>
      </c>
      <c r="AA393" t="s">
        <v>329</v>
      </c>
      <c r="AB393" t="s">
        <v>334</v>
      </c>
      <c r="AC393" s="12" t="s">
        <v>339</v>
      </c>
      <c r="AE393" t="s">
        <v>268</v>
      </c>
      <c r="AG393" s="12" t="s">
        <v>268</v>
      </c>
      <c r="AH393" t="s">
        <v>92</v>
      </c>
      <c r="AI393" s="12" t="s">
        <v>268</v>
      </c>
      <c r="AJ393" t="s">
        <v>92</v>
      </c>
      <c r="AK393" t="s">
        <v>92</v>
      </c>
      <c r="AL393" t="s">
        <v>92</v>
      </c>
      <c r="AM393" s="12" t="s">
        <v>268</v>
      </c>
      <c r="AN393" s="12" t="s">
        <v>268</v>
      </c>
      <c r="AO393" s="12" t="s">
        <v>268</v>
      </c>
      <c r="AP393" s="12" t="s">
        <v>268</v>
      </c>
      <c r="AQ393" s="12" t="s">
        <v>268</v>
      </c>
      <c r="AR393" s="28" t="str">
        <f t="shared" ca="1" si="33"/>
        <v/>
      </c>
      <c r="AS393" s="28" t="str">
        <f t="shared" ca="1" si="34"/>
        <v/>
      </c>
    </row>
    <row r="394" spans="2:45" ht="27.6" customHeight="1">
      <c r="B394">
        <f t="shared" ca="1" si="30"/>
        <v>0</v>
      </c>
      <c r="C394" t="s">
        <v>85</v>
      </c>
      <c r="D394" t="s">
        <v>92</v>
      </c>
      <c r="E394" t="s">
        <v>92</v>
      </c>
      <c r="F394" t="s">
        <v>92</v>
      </c>
      <c r="G394" t="s">
        <v>92</v>
      </c>
      <c r="H394" t="s">
        <v>92</v>
      </c>
      <c r="I394" s="12" t="s">
        <v>268</v>
      </c>
      <c r="J394" t="s">
        <v>278</v>
      </c>
      <c r="L394" t="s">
        <v>92</v>
      </c>
      <c r="N394" s="14">
        <v>1</v>
      </c>
      <c r="P394" s="12" t="s">
        <v>268</v>
      </c>
      <c r="W394" s="9" t="str">
        <f t="shared" ca="1" si="31"/>
        <v>18.5%</v>
      </c>
      <c r="X394" t="s">
        <v>321</v>
      </c>
      <c r="Y394" s="9" t="str">
        <f t="shared" ca="1" si="32"/>
        <v>Sin costo</v>
      </c>
      <c r="Z394" t="s">
        <v>327</v>
      </c>
      <c r="AA394" t="s">
        <v>329</v>
      </c>
      <c r="AB394" t="s">
        <v>334</v>
      </c>
      <c r="AC394" s="12" t="s">
        <v>339</v>
      </c>
      <c r="AE394" t="s">
        <v>268</v>
      </c>
      <c r="AG394" s="12" t="s">
        <v>268</v>
      </c>
      <c r="AH394" t="s">
        <v>92</v>
      </c>
      <c r="AI394" s="12" t="s">
        <v>268</v>
      </c>
      <c r="AJ394" t="s">
        <v>92</v>
      </c>
      <c r="AK394" t="s">
        <v>92</v>
      </c>
      <c r="AL394" t="s">
        <v>92</v>
      </c>
      <c r="AM394" s="12" t="s">
        <v>268</v>
      </c>
      <c r="AN394" s="12" t="s">
        <v>268</v>
      </c>
      <c r="AO394" s="12" t="s">
        <v>268</v>
      </c>
      <c r="AP394" s="12" t="s">
        <v>268</v>
      </c>
      <c r="AQ394" s="12" t="s">
        <v>268</v>
      </c>
      <c r="AR394" s="28" t="str">
        <f t="shared" ca="1" si="33"/>
        <v/>
      </c>
      <c r="AS394" s="28" t="str">
        <f t="shared" ca="1" si="34"/>
        <v/>
      </c>
    </row>
    <row r="395" spans="2:45" ht="27.6" customHeight="1">
      <c r="B395">
        <f t="shared" ca="1" si="30"/>
        <v>0</v>
      </c>
      <c r="C395" t="s">
        <v>85</v>
      </c>
      <c r="D395" t="s">
        <v>92</v>
      </c>
      <c r="E395" t="s">
        <v>92</v>
      </c>
      <c r="F395" t="s">
        <v>92</v>
      </c>
      <c r="G395" t="s">
        <v>92</v>
      </c>
      <c r="H395" t="s">
        <v>92</v>
      </c>
      <c r="I395" s="12" t="s">
        <v>268</v>
      </c>
      <c r="J395" t="s">
        <v>278</v>
      </c>
      <c r="L395" t="s">
        <v>92</v>
      </c>
      <c r="N395" s="14">
        <v>1</v>
      </c>
      <c r="P395" s="12" t="s">
        <v>268</v>
      </c>
      <c r="W395" s="9" t="str">
        <f t="shared" ca="1" si="31"/>
        <v>18.5%</v>
      </c>
      <c r="X395" t="s">
        <v>321</v>
      </c>
      <c r="Y395" s="9" t="str">
        <f t="shared" ca="1" si="32"/>
        <v>Sin costo</v>
      </c>
      <c r="Z395" t="s">
        <v>327</v>
      </c>
      <c r="AA395" t="s">
        <v>329</v>
      </c>
      <c r="AB395" t="s">
        <v>334</v>
      </c>
      <c r="AC395" s="12" t="s">
        <v>339</v>
      </c>
      <c r="AE395" t="s">
        <v>268</v>
      </c>
      <c r="AG395" s="12" t="s">
        <v>268</v>
      </c>
      <c r="AH395" t="s">
        <v>92</v>
      </c>
      <c r="AI395" s="12" t="s">
        <v>268</v>
      </c>
      <c r="AJ395" t="s">
        <v>92</v>
      </c>
      <c r="AK395" t="s">
        <v>92</v>
      </c>
      <c r="AL395" t="s">
        <v>92</v>
      </c>
      <c r="AM395" s="12" t="s">
        <v>268</v>
      </c>
      <c r="AN395" s="12" t="s">
        <v>268</v>
      </c>
      <c r="AO395" s="12" t="s">
        <v>268</v>
      </c>
      <c r="AP395" s="12" t="s">
        <v>268</v>
      </c>
      <c r="AQ395" s="12" t="s">
        <v>268</v>
      </c>
      <c r="AR395" s="28" t="str">
        <f t="shared" ca="1" si="33"/>
        <v/>
      </c>
      <c r="AS395" s="28" t="str">
        <f t="shared" ca="1" si="34"/>
        <v/>
      </c>
    </row>
    <row r="396" spans="2:45" ht="27.6" customHeight="1">
      <c r="B396">
        <f t="shared" ca="1" si="30"/>
        <v>0</v>
      </c>
      <c r="C396" t="s">
        <v>85</v>
      </c>
      <c r="D396" t="s">
        <v>92</v>
      </c>
      <c r="E396" t="s">
        <v>92</v>
      </c>
      <c r="F396" t="s">
        <v>92</v>
      </c>
      <c r="G396" t="s">
        <v>92</v>
      </c>
      <c r="H396" t="s">
        <v>92</v>
      </c>
      <c r="I396" s="12" t="s">
        <v>268</v>
      </c>
      <c r="J396" t="s">
        <v>278</v>
      </c>
      <c r="L396" t="s">
        <v>92</v>
      </c>
      <c r="N396" s="14">
        <v>1</v>
      </c>
      <c r="P396" s="12" t="s">
        <v>268</v>
      </c>
      <c r="W396" s="9" t="str">
        <f t="shared" ca="1" si="31"/>
        <v>18.5%</v>
      </c>
      <c r="X396" t="s">
        <v>321</v>
      </c>
      <c r="Y396" s="9" t="str">
        <f t="shared" ca="1" si="32"/>
        <v>Sin costo</v>
      </c>
      <c r="Z396" t="s">
        <v>327</v>
      </c>
      <c r="AA396" t="s">
        <v>329</v>
      </c>
      <c r="AB396" t="s">
        <v>334</v>
      </c>
      <c r="AC396" s="12" t="s">
        <v>339</v>
      </c>
      <c r="AE396" t="s">
        <v>268</v>
      </c>
      <c r="AG396" s="12" t="s">
        <v>268</v>
      </c>
      <c r="AH396" t="s">
        <v>92</v>
      </c>
      <c r="AI396" s="12" t="s">
        <v>268</v>
      </c>
      <c r="AJ396" t="s">
        <v>92</v>
      </c>
      <c r="AK396" t="s">
        <v>92</v>
      </c>
      <c r="AL396" t="s">
        <v>92</v>
      </c>
      <c r="AM396" s="12" t="s">
        <v>268</v>
      </c>
      <c r="AN396" s="12" t="s">
        <v>268</v>
      </c>
      <c r="AO396" s="12" t="s">
        <v>268</v>
      </c>
      <c r="AP396" s="12" t="s">
        <v>268</v>
      </c>
      <c r="AQ396" s="12" t="s">
        <v>268</v>
      </c>
      <c r="AR396" s="28" t="str">
        <f t="shared" ca="1" si="33"/>
        <v/>
      </c>
      <c r="AS396" s="28" t="str">
        <f t="shared" ca="1" si="34"/>
        <v/>
      </c>
    </row>
    <row r="397" spans="2:45" ht="27.6" customHeight="1">
      <c r="B397">
        <f t="shared" ca="1" si="30"/>
        <v>0</v>
      </c>
      <c r="C397" t="s">
        <v>85</v>
      </c>
      <c r="D397" t="s">
        <v>92</v>
      </c>
      <c r="E397" t="s">
        <v>92</v>
      </c>
      <c r="F397" t="s">
        <v>92</v>
      </c>
      <c r="G397" t="s">
        <v>92</v>
      </c>
      <c r="H397" t="s">
        <v>92</v>
      </c>
      <c r="I397" s="12" t="s">
        <v>268</v>
      </c>
      <c r="J397" t="s">
        <v>278</v>
      </c>
      <c r="L397" t="s">
        <v>92</v>
      </c>
      <c r="N397" s="14">
        <v>1</v>
      </c>
      <c r="P397" s="12" t="s">
        <v>268</v>
      </c>
      <c r="W397" s="9" t="str">
        <f t="shared" ca="1" si="31"/>
        <v>18.5%</v>
      </c>
      <c r="X397" t="s">
        <v>321</v>
      </c>
      <c r="Y397" s="9" t="str">
        <f t="shared" ca="1" si="32"/>
        <v>Sin costo</v>
      </c>
      <c r="Z397" t="s">
        <v>327</v>
      </c>
      <c r="AA397" t="s">
        <v>329</v>
      </c>
      <c r="AB397" t="s">
        <v>334</v>
      </c>
      <c r="AC397" s="12" t="s">
        <v>339</v>
      </c>
      <c r="AE397" t="s">
        <v>268</v>
      </c>
      <c r="AG397" s="12" t="s">
        <v>268</v>
      </c>
      <c r="AH397" t="s">
        <v>92</v>
      </c>
      <c r="AI397" s="12" t="s">
        <v>268</v>
      </c>
      <c r="AJ397" t="s">
        <v>92</v>
      </c>
      <c r="AK397" t="s">
        <v>92</v>
      </c>
      <c r="AL397" t="s">
        <v>92</v>
      </c>
      <c r="AM397" s="12" t="s">
        <v>268</v>
      </c>
      <c r="AN397" s="12" t="s">
        <v>268</v>
      </c>
      <c r="AO397" s="12" t="s">
        <v>268</v>
      </c>
      <c r="AP397" s="12" t="s">
        <v>268</v>
      </c>
      <c r="AQ397" s="12" t="s">
        <v>268</v>
      </c>
      <c r="AR397" s="28" t="str">
        <f t="shared" ca="1" si="33"/>
        <v/>
      </c>
      <c r="AS397" s="28" t="str">
        <f t="shared" ca="1" si="34"/>
        <v/>
      </c>
    </row>
    <row r="398" spans="2:45" ht="27.6" customHeight="1">
      <c r="B398">
        <f t="shared" ca="1" si="30"/>
        <v>0</v>
      </c>
      <c r="C398" t="s">
        <v>85</v>
      </c>
      <c r="D398" t="s">
        <v>92</v>
      </c>
      <c r="E398" t="s">
        <v>92</v>
      </c>
      <c r="F398" t="s">
        <v>92</v>
      </c>
      <c r="G398" t="s">
        <v>92</v>
      </c>
      <c r="H398" t="s">
        <v>92</v>
      </c>
      <c r="I398" s="12" t="s">
        <v>268</v>
      </c>
      <c r="J398" t="s">
        <v>278</v>
      </c>
      <c r="L398" t="s">
        <v>92</v>
      </c>
      <c r="N398" s="14">
        <v>1</v>
      </c>
      <c r="P398" s="12" t="s">
        <v>268</v>
      </c>
      <c r="W398" s="9" t="str">
        <f t="shared" ca="1" si="31"/>
        <v>18.5%</v>
      </c>
      <c r="X398" t="s">
        <v>321</v>
      </c>
      <c r="Y398" s="9" t="str">
        <f t="shared" ca="1" si="32"/>
        <v>Sin costo</v>
      </c>
      <c r="Z398" t="s">
        <v>327</v>
      </c>
      <c r="AA398" t="s">
        <v>329</v>
      </c>
      <c r="AB398" t="s">
        <v>334</v>
      </c>
      <c r="AC398" s="12" t="s">
        <v>339</v>
      </c>
      <c r="AE398" t="s">
        <v>268</v>
      </c>
      <c r="AG398" s="12" t="s">
        <v>268</v>
      </c>
      <c r="AH398" t="s">
        <v>92</v>
      </c>
      <c r="AI398" s="12" t="s">
        <v>268</v>
      </c>
      <c r="AJ398" t="s">
        <v>92</v>
      </c>
      <c r="AK398" t="s">
        <v>92</v>
      </c>
      <c r="AL398" t="s">
        <v>92</v>
      </c>
      <c r="AM398" s="12" t="s">
        <v>268</v>
      </c>
      <c r="AN398" s="12" t="s">
        <v>268</v>
      </c>
      <c r="AO398" s="12" t="s">
        <v>268</v>
      </c>
      <c r="AP398" s="12" t="s">
        <v>268</v>
      </c>
      <c r="AQ398" s="12" t="s">
        <v>268</v>
      </c>
      <c r="AR398" s="28" t="str">
        <f t="shared" ca="1" si="33"/>
        <v/>
      </c>
      <c r="AS398" s="28" t="str">
        <f t="shared" ca="1" si="34"/>
        <v/>
      </c>
    </row>
    <row r="399" spans="2:45" ht="27.6" customHeight="1">
      <c r="B399">
        <f t="shared" ca="1" si="30"/>
        <v>0</v>
      </c>
      <c r="C399" t="s">
        <v>85</v>
      </c>
      <c r="D399" t="s">
        <v>92</v>
      </c>
      <c r="E399" t="s">
        <v>92</v>
      </c>
      <c r="F399" t="s">
        <v>92</v>
      </c>
      <c r="G399" t="s">
        <v>92</v>
      </c>
      <c r="H399" t="s">
        <v>92</v>
      </c>
      <c r="I399" s="12" t="s">
        <v>268</v>
      </c>
      <c r="J399" t="s">
        <v>278</v>
      </c>
      <c r="L399" t="s">
        <v>92</v>
      </c>
      <c r="N399" s="14">
        <v>1</v>
      </c>
      <c r="P399" s="12" t="s">
        <v>268</v>
      </c>
      <c r="W399" s="9" t="str">
        <f t="shared" ca="1" si="31"/>
        <v>18.5%</v>
      </c>
      <c r="X399" t="s">
        <v>321</v>
      </c>
      <c r="Y399" s="9" t="str">
        <f t="shared" ca="1" si="32"/>
        <v>Sin costo</v>
      </c>
      <c r="Z399" t="s">
        <v>327</v>
      </c>
      <c r="AA399" t="s">
        <v>329</v>
      </c>
      <c r="AB399" t="s">
        <v>334</v>
      </c>
      <c r="AC399" s="12" t="s">
        <v>339</v>
      </c>
      <c r="AE399" t="s">
        <v>268</v>
      </c>
      <c r="AG399" s="12" t="s">
        <v>268</v>
      </c>
      <c r="AH399" t="s">
        <v>92</v>
      </c>
      <c r="AI399" s="12" t="s">
        <v>268</v>
      </c>
      <c r="AJ399" t="s">
        <v>92</v>
      </c>
      <c r="AK399" t="s">
        <v>92</v>
      </c>
      <c r="AL399" t="s">
        <v>92</v>
      </c>
      <c r="AM399" s="12" t="s">
        <v>268</v>
      </c>
      <c r="AN399" s="12" t="s">
        <v>268</v>
      </c>
      <c r="AO399" s="12" t="s">
        <v>268</v>
      </c>
      <c r="AP399" s="12" t="s">
        <v>268</v>
      </c>
      <c r="AQ399" s="12" t="s">
        <v>268</v>
      </c>
      <c r="AR399" s="28" t="str">
        <f t="shared" ca="1" si="33"/>
        <v/>
      </c>
      <c r="AS399" s="28" t="str">
        <f t="shared" ca="1" si="34"/>
        <v/>
      </c>
    </row>
    <row r="400" spans="2:45" ht="27.6" customHeight="1">
      <c r="B400">
        <f t="shared" ca="1" si="30"/>
        <v>0</v>
      </c>
      <c r="C400" t="s">
        <v>85</v>
      </c>
      <c r="D400" t="s">
        <v>92</v>
      </c>
      <c r="E400" t="s">
        <v>92</v>
      </c>
      <c r="F400" t="s">
        <v>92</v>
      </c>
      <c r="G400" t="s">
        <v>92</v>
      </c>
      <c r="H400" t="s">
        <v>92</v>
      </c>
      <c r="I400" s="12" t="s">
        <v>268</v>
      </c>
      <c r="J400" t="s">
        <v>278</v>
      </c>
      <c r="L400" t="s">
        <v>92</v>
      </c>
      <c r="N400" s="14">
        <v>1</v>
      </c>
      <c r="P400" s="12" t="s">
        <v>268</v>
      </c>
      <c r="W400" s="9" t="str">
        <f t="shared" ca="1" si="31"/>
        <v>18.5%</v>
      </c>
      <c r="X400" t="s">
        <v>321</v>
      </c>
      <c r="Y400" s="9" t="str">
        <f t="shared" ca="1" si="32"/>
        <v>Sin costo</v>
      </c>
      <c r="Z400" t="s">
        <v>327</v>
      </c>
      <c r="AA400" t="s">
        <v>329</v>
      </c>
      <c r="AB400" t="s">
        <v>334</v>
      </c>
      <c r="AC400" s="12" t="s">
        <v>339</v>
      </c>
      <c r="AE400" t="s">
        <v>268</v>
      </c>
      <c r="AG400" s="12" t="s">
        <v>268</v>
      </c>
      <c r="AH400" t="s">
        <v>92</v>
      </c>
      <c r="AI400" s="12" t="s">
        <v>268</v>
      </c>
      <c r="AJ400" t="s">
        <v>92</v>
      </c>
      <c r="AK400" t="s">
        <v>92</v>
      </c>
      <c r="AL400" t="s">
        <v>92</v>
      </c>
      <c r="AM400" s="12" t="s">
        <v>268</v>
      </c>
      <c r="AN400" s="12" t="s">
        <v>268</v>
      </c>
      <c r="AO400" s="12" t="s">
        <v>268</v>
      </c>
      <c r="AP400" s="12" t="s">
        <v>268</v>
      </c>
      <c r="AQ400" s="12" t="s">
        <v>268</v>
      </c>
      <c r="AR400" s="28" t="str">
        <f t="shared" ca="1" si="33"/>
        <v/>
      </c>
      <c r="AS400" s="28" t="str">
        <f t="shared" ca="1" si="34"/>
        <v/>
      </c>
    </row>
    <row r="401" spans="2:45" ht="27.6" customHeight="1">
      <c r="B401">
        <f t="shared" ca="1" si="30"/>
        <v>0</v>
      </c>
      <c r="C401" t="s">
        <v>85</v>
      </c>
      <c r="D401" t="s">
        <v>92</v>
      </c>
      <c r="E401" t="s">
        <v>92</v>
      </c>
      <c r="F401" t="s">
        <v>92</v>
      </c>
      <c r="G401" t="s">
        <v>92</v>
      </c>
      <c r="H401" t="s">
        <v>92</v>
      </c>
      <c r="I401" s="12" t="s">
        <v>268</v>
      </c>
      <c r="J401" t="s">
        <v>278</v>
      </c>
      <c r="L401" t="s">
        <v>92</v>
      </c>
      <c r="N401" s="14">
        <v>1</v>
      </c>
      <c r="P401" s="12" t="s">
        <v>268</v>
      </c>
      <c r="W401" s="9" t="str">
        <f t="shared" ca="1" si="31"/>
        <v>18.5%</v>
      </c>
      <c r="X401" t="s">
        <v>321</v>
      </c>
      <c r="Y401" s="9" t="str">
        <f t="shared" ca="1" si="32"/>
        <v>Sin costo</v>
      </c>
      <c r="Z401" t="s">
        <v>327</v>
      </c>
      <c r="AA401" t="s">
        <v>329</v>
      </c>
      <c r="AB401" t="s">
        <v>334</v>
      </c>
      <c r="AC401" s="12" t="s">
        <v>339</v>
      </c>
      <c r="AE401" t="s">
        <v>268</v>
      </c>
      <c r="AG401" s="12" t="s">
        <v>268</v>
      </c>
      <c r="AH401" t="s">
        <v>92</v>
      </c>
      <c r="AI401" s="12" t="s">
        <v>268</v>
      </c>
      <c r="AJ401" t="s">
        <v>92</v>
      </c>
      <c r="AK401" t="s">
        <v>92</v>
      </c>
      <c r="AL401" t="s">
        <v>92</v>
      </c>
      <c r="AM401" s="12" t="s">
        <v>268</v>
      </c>
      <c r="AN401" s="12" t="s">
        <v>268</v>
      </c>
      <c r="AO401" s="12" t="s">
        <v>268</v>
      </c>
      <c r="AP401" s="12" t="s">
        <v>268</v>
      </c>
      <c r="AQ401" s="12" t="s">
        <v>268</v>
      </c>
      <c r="AR401" s="28" t="str">
        <f t="shared" ca="1" si="33"/>
        <v/>
      </c>
      <c r="AS401" s="28" t="str">
        <f t="shared" ca="1" si="34"/>
        <v/>
      </c>
    </row>
    <row r="402" spans="2:45" ht="27.6" customHeight="1">
      <c r="B402">
        <f t="shared" ca="1" si="30"/>
        <v>0</v>
      </c>
      <c r="C402" t="s">
        <v>85</v>
      </c>
      <c r="D402" t="s">
        <v>92</v>
      </c>
      <c r="E402" t="s">
        <v>92</v>
      </c>
      <c r="F402" t="s">
        <v>92</v>
      </c>
      <c r="G402" t="s">
        <v>92</v>
      </c>
      <c r="H402" t="s">
        <v>92</v>
      </c>
      <c r="I402" s="12" t="s">
        <v>268</v>
      </c>
      <c r="J402" t="s">
        <v>278</v>
      </c>
      <c r="L402" t="s">
        <v>92</v>
      </c>
      <c r="N402" s="14">
        <v>1</v>
      </c>
      <c r="P402" s="12" t="s">
        <v>268</v>
      </c>
      <c r="W402" s="9" t="str">
        <f t="shared" ca="1" si="31"/>
        <v>18.5%</v>
      </c>
      <c r="X402" t="s">
        <v>321</v>
      </c>
      <c r="Y402" s="9" t="str">
        <f t="shared" ca="1" si="32"/>
        <v>Sin costo</v>
      </c>
      <c r="Z402" t="s">
        <v>327</v>
      </c>
      <c r="AA402" t="s">
        <v>329</v>
      </c>
      <c r="AB402" t="s">
        <v>334</v>
      </c>
      <c r="AC402" s="12" t="s">
        <v>339</v>
      </c>
      <c r="AE402" t="s">
        <v>268</v>
      </c>
      <c r="AG402" s="12" t="s">
        <v>268</v>
      </c>
      <c r="AH402" t="s">
        <v>92</v>
      </c>
      <c r="AI402" s="12" t="s">
        <v>268</v>
      </c>
      <c r="AJ402" t="s">
        <v>92</v>
      </c>
      <c r="AK402" t="s">
        <v>92</v>
      </c>
      <c r="AL402" t="s">
        <v>92</v>
      </c>
      <c r="AM402" s="12" t="s">
        <v>268</v>
      </c>
      <c r="AN402" s="12" t="s">
        <v>268</v>
      </c>
      <c r="AO402" s="12" t="s">
        <v>268</v>
      </c>
      <c r="AP402" s="12" t="s">
        <v>268</v>
      </c>
      <c r="AQ402" s="12" t="s">
        <v>268</v>
      </c>
      <c r="AR402" s="28" t="str">
        <f t="shared" ca="1" si="33"/>
        <v/>
      </c>
      <c r="AS402" s="28" t="str">
        <f t="shared" ca="1" si="34"/>
        <v/>
      </c>
    </row>
    <row r="403" spans="2:45" ht="27.6" customHeight="1">
      <c r="B403">
        <f t="shared" ca="1" si="30"/>
        <v>0</v>
      </c>
      <c r="C403" t="s">
        <v>85</v>
      </c>
      <c r="D403" t="s">
        <v>92</v>
      </c>
      <c r="E403" t="s">
        <v>92</v>
      </c>
      <c r="F403" t="s">
        <v>92</v>
      </c>
      <c r="G403" t="s">
        <v>92</v>
      </c>
      <c r="H403" t="s">
        <v>92</v>
      </c>
      <c r="I403" s="12" t="s">
        <v>268</v>
      </c>
      <c r="J403" t="s">
        <v>278</v>
      </c>
      <c r="L403" t="s">
        <v>92</v>
      </c>
      <c r="N403" s="14">
        <v>1</v>
      </c>
      <c r="P403" s="12" t="s">
        <v>268</v>
      </c>
      <c r="W403" s="9" t="str">
        <f t="shared" ca="1" si="31"/>
        <v>18.5%</v>
      </c>
      <c r="X403" t="s">
        <v>321</v>
      </c>
      <c r="Y403" s="9" t="str">
        <f t="shared" ca="1" si="32"/>
        <v>Sin costo</v>
      </c>
      <c r="Z403" t="s">
        <v>327</v>
      </c>
      <c r="AA403" t="s">
        <v>329</v>
      </c>
      <c r="AB403" t="s">
        <v>334</v>
      </c>
      <c r="AC403" s="12" t="s">
        <v>339</v>
      </c>
      <c r="AE403" t="s">
        <v>268</v>
      </c>
      <c r="AG403" s="12" t="s">
        <v>268</v>
      </c>
      <c r="AH403" t="s">
        <v>92</v>
      </c>
      <c r="AI403" s="12" t="s">
        <v>268</v>
      </c>
      <c r="AJ403" t="s">
        <v>92</v>
      </c>
      <c r="AK403" t="s">
        <v>92</v>
      </c>
      <c r="AL403" t="s">
        <v>92</v>
      </c>
      <c r="AM403" s="12" t="s">
        <v>268</v>
      </c>
      <c r="AN403" s="12" t="s">
        <v>268</v>
      </c>
      <c r="AO403" s="12" t="s">
        <v>268</v>
      </c>
      <c r="AP403" s="12" t="s">
        <v>268</v>
      </c>
      <c r="AQ403" s="12" t="s">
        <v>268</v>
      </c>
      <c r="AR403" s="28" t="str">
        <f t="shared" ca="1" si="33"/>
        <v/>
      </c>
      <c r="AS403" s="28" t="str">
        <f t="shared" ca="1" si="34"/>
        <v/>
      </c>
    </row>
    <row r="404" spans="2:45" ht="27.6" customHeight="1">
      <c r="B404">
        <f t="shared" ca="1" si="30"/>
        <v>0</v>
      </c>
      <c r="C404" t="s">
        <v>85</v>
      </c>
      <c r="D404" t="s">
        <v>92</v>
      </c>
      <c r="E404" t="s">
        <v>92</v>
      </c>
      <c r="F404" t="s">
        <v>92</v>
      </c>
      <c r="G404" t="s">
        <v>92</v>
      </c>
      <c r="H404" t="s">
        <v>92</v>
      </c>
      <c r="I404" s="12" t="s">
        <v>268</v>
      </c>
      <c r="J404" t="s">
        <v>278</v>
      </c>
      <c r="L404" t="s">
        <v>92</v>
      </c>
      <c r="N404" s="14">
        <v>1</v>
      </c>
      <c r="P404" s="12" t="s">
        <v>268</v>
      </c>
      <c r="W404" s="9" t="str">
        <f t="shared" ca="1" si="31"/>
        <v>18.5%</v>
      </c>
      <c r="X404" t="s">
        <v>321</v>
      </c>
      <c r="Y404" s="9" t="str">
        <f t="shared" ca="1" si="32"/>
        <v>Sin costo</v>
      </c>
      <c r="Z404" t="s">
        <v>327</v>
      </c>
      <c r="AA404" t="s">
        <v>329</v>
      </c>
      <c r="AB404" t="s">
        <v>334</v>
      </c>
      <c r="AC404" s="12" t="s">
        <v>339</v>
      </c>
      <c r="AE404" t="s">
        <v>268</v>
      </c>
      <c r="AG404" s="12" t="s">
        <v>268</v>
      </c>
      <c r="AH404" t="s">
        <v>92</v>
      </c>
      <c r="AI404" s="12" t="s">
        <v>268</v>
      </c>
      <c r="AJ404" t="s">
        <v>92</v>
      </c>
      <c r="AK404" t="s">
        <v>92</v>
      </c>
      <c r="AL404" t="s">
        <v>92</v>
      </c>
      <c r="AM404" s="12" t="s">
        <v>268</v>
      </c>
      <c r="AN404" s="12" t="s">
        <v>268</v>
      </c>
      <c r="AO404" s="12" t="s">
        <v>268</v>
      </c>
      <c r="AP404" s="12" t="s">
        <v>268</v>
      </c>
      <c r="AQ404" s="12" t="s">
        <v>268</v>
      </c>
      <c r="AR404" s="28" t="str">
        <f t="shared" ca="1" si="33"/>
        <v/>
      </c>
      <c r="AS404" s="28" t="str">
        <f t="shared" ca="1" si="34"/>
        <v/>
      </c>
    </row>
    <row r="405" spans="2:45" ht="27.6" customHeight="1">
      <c r="B405">
        <f t="shared" ca="1" si="30"/>
        <v>0</v>
      </c>
      <c r="C405" t="s">
        <v>85</v>
      </c>
      <c r="D405" t="s">
        <v>92</v>
      </c>
      <c r="E405" t="s">
        <v>92</v>
      </c>
      <c r="F405" t="s">
        <v>92</v>
      </c>
      <c r="G405" t="s">
        <v>92</v>
      </c>
      <c r="H405" t="s">
        <v>92</v>
      </c>
      <c r="I405" s="12" t="s">
        <v>268</v>
      </c>
      <c r="J405" t="s">
        <v>278</v>
      </c>
      <c r="L405" t="s">
        <v>92</v>
      </c>
      <c r="N405" s="14">
        <v>1</v>
      </c>
      <c r="P405" s="12" t="s">
        <v>268</v>
      </c>
      <c r="W405" s="9" t="str">
        <f t="shared" ca="1" si="31"/>
        <v>18.5%</v>
      </c>
      <c r="X405" t="s">
        <v>321</v>
      </c>
      <c r="Y405" s="9" t="str">
        <f t="shared" ca="1" si="32"/>
        <v>Sin costo</v>
      </c>
      <c r="Z405" t="s">
        <v>327</v>
      </c>
      <c r="AA405" t="s">
        <v>329</v>
      </c>
      <c r="AB405" t="s">
        <v>334</v>
      </c>
      <c r="AC405" s="12" t="s">
        <v>339</v>
      </c>
      <c r="AE405" t="s">
        <v>268</v>
      </c>
      <c r="AG405" s="12" t="s">
        <v>268</v>
      </c>
      <c r="AH405" t="s">
        <v>92</v>
      </c>
      <c r="AI405" s="12" t="s">
        <v>268</v>
      </c>
      <c r="AJ405" t="s">
        <v>92</v>
      </c>
      <c r="AK405" t="s">
        <v>92</v>
      </c>
      <c r="AL405" t="s">
        <v>92</v>
      </c>
      <c r="AM405" s="12" t="s">
        <v>268</v>
      </c>
      <c r="AN405" s="12" t="s">
        <v>268</v>
      </c>
      <c r="AO405" s="12" t="s">
        <v>268</v>
      </c>
      <c r="AP405" s="12" t="s">
        <v>268</v>
      </c>
      <c r="AQ405" s="12" t="s">
        <v>268</v>
      </c>
      <c r="AR405" s="28" t="str">
        <f t="shared" ca="1" si="33"/>
        <v/>
      </c>
      <c r="AS405" s="28" t="str">
        <f t="shared" ca="1" si="34"/>
        <v/>
      </c>
    </row>
    <row r="406" spans="2:45" ht="27.6" customHeight="1">
      <c r="B406">
        <f t="shared" ca="1" si="30"/>
        <v>0</v>
      </c>
      <c r="C406" t="s">
        <v>85</v>
      </c>
      <c r="D406" t="s">
        <v>92</v>
      </c>
      <c r="E406" t="s">
        <v>92</v>
      </c>
      <c r="F406" t="s">
        <v>92</v>
      </c>
      <c r="G406" t="s">
        <v>92</v>
      </c>
      <c r="H406" t="s">
        <v>92</v>
      </c>
      <c r="I406" s="12" t="s">
        <v>268</v>
      </c>
      <c r="J406" t="s">
        <v>278</v>
      </c>
      <c r="L406" t="s">
        <v>92</v>
      </c>
      <c r="N406" s="14">
        <v>1</v>
      </c>
      <c r="P406" s="12" t="s">
        <v>268</v>
      </c>
      <c r="W406" s="9" t="str">
        <f t="shared" ca="1" si="31"/>
        <v>18.5%</v>
      </c>
      <c r="X406" t="s">
        <v>321</v>
      </c>
      <c r="Y406" s="9" t="str">
        <f t="shared" ca="1" si="32"/>
        <v>Sin costo</v>
      </c>
      <c r="Z406" t="s">
        <v>327</v>
      </c>
      <c r="AA406" t="s">
        <v>329</v>
      </c>
      <c r="AB406" t="s">
        <v>334</v>
      </c>
      <c r="AC406" s="12" t="s">
        <v>339</v>
      </c>
      <c r="AE406" t="s">
        <v>268</v>
      </c>
      <c r="AG406" s="12" t="s">
        <v>268</v>
      </c>
      <c r="AH406" t="s">
        <v>92</v>
      </c>
      <c r="AI406" s="12" t="s">
        <v>268</v>
      </c>
      <c r="AJ406" t="s">
        <v>92</v>
      </c>
      <c r="AK406" t="s">
        <v>92</v>
      </c>
      <c r="AL406" t="s">
        <v>92</v>
      </c>
      <c r="AM406" s="12" t="s">
        <v>268</v>
      </c>
      <c r="AN406" s="12" t="s">
        <v>268</v>
      </c>
      <c r="AO406" s="12" t="s">
        <v>268</v>
      </c>
      <c r="AP406" s="12" t="s">
        <v>268</v>
      </c>
      <c r="AQ406" s="12" t="s">
        <v>268</v>
      </c>
      <c r="AR406" s="28" t="str">
        <f t="shared" ca="1" si="33"/>
        <v/>
      </c>
      <c r="AS406" s="28" t="str">
        <f t="shared" ca="1" si="34"/>
        <v/>
      </c>
    </row>
    <row r="407" spans="2:45" ht="27.6" customHeight="1">
      <c r="B407">
        <f t="shared" ca="1" si="30"/>
        <v>0</v>
      </c>
      <c r="C407" t="s">
        <v>85</v>
      </c>
      <c r="D407" t="s">
        <v>92</v>
      </c>
      <c r="E407" t="s">
        <v>92</v>
      </c>
      <c r="F407" t="s">
        <v>92</v>
      </c>
      <c r="G407" t="s">
        <v>92</v>
      </c>
      <c r="H407" t="s">
        <v>92</v>
      </c>
      <c r="I407" s="12" t="s">
        <v>268</v>
      </c>
      <c r="J407" t="s">
        <v>278</v>
      </c>
      <c r="L407" t="s">
        <v>92</v>
      </c>
      <c r="N407" s="14">
        <v>1</v>
      </c>
      <c r="P407" s="12" t="s">
        <v>268</v>
      </c>
      <c r="W407" s="9" t="str">
        <f t="shared" ca="1" si="31"/>
        <v>18.5%</v>
      </c>
      <c r="X407" t="s">
        <v>321</v>
      </c>
      <c r="Y407" s="9" t="str">
        <f t="shared" ca="1" si="32"/>
        <v>Sin costo</v>
      </c>
      <c r="Z407" t="s">
        <v>327</v>
      </c>
      <c r="AA407" t="s">
        <v>329</v>
      </c>
      <c r="AB407" t="s">
        <v>334</v>
      </c>
      <c r="AC407" s="12" t="s">
        <v>339</v>
      </c>
      <c r="AE407" t="s">
        <v>268</v>
      </c>
      <c r="AG407" s="12" t="s">
        <v>268</v>
      </c>
      <c r="AH407" t="s">
        <v>92</v>
      </c>
      <c r="AI407" s="12" t="s">
        <v>268</v>
      </c>
      <c r="AJ407" t="s">
        <v>92</v>
      </c>
      <c r="AK407" t="s">
        <v>92</v>
      </c>
      <c r="AL407" t="s">
        <v>92</v>
      </c>
      <c r="AM407" s="12" t="s">
        <v>268</v>
      </c>
      <c r="AN407" s="12" t="s">
        <v>268</v>
      </c>
      <c r="AO407" s="12" t="s">
        <v>268</v>
      </c>
      <c r="AP407" s="12" t="s">
        <v>268</v>
      </c>
      <c r="AQ407" s="12" t="s">
        <v>268</v>
      </c>
      <c r="AR407" s="28" t="str">
        <f t="shared" ca="1" si="33"/>
        <v/>
      </c>
      <c r="AS407" s="28" t="str">
        <f t="shared" ca="1" si="34"/>
        <v/>
      </c>
    </row>
    <row r="408" spans="2:45" ht="27.6" customHeight="1">
      <c r="B408">
        <f t="shared" ca="1" si="30"/>
        <v>0</v>
      </c>
      <c r="C408" t="s">
        <v>85</v>
      </c>
      <c r="D408" t="s">
        <v>92</v>
      </c>
      <c r="E408" t="s">
        <v>92</v>
      </c>
      <c r="F408" t="s">
        <v>92</v>
      </c>
      <c r="G408" t="s">
        <v>92</v>
      </c>
      <c r="H408" t="s">
        <v>92</v>
      </c>
      <c r="I408" s="12" t="s">
        <v>268</v>
      </c>
      <c r="J408" t="s">
        <v>278</v>
      </c>
      <c r="L408" t="s">
        <v>92</v>
      </c>
      <c r="N408" s="14">
        <v>1</v>
      </c>
      <c r="P408" s="12" t="s">
        <v>268</v>
      </c>
      <c r="W408" s="9" t="str">
        <f t="shared" ca="1" si="31"/>
        <v>18.5%</v>
      </c>
      <c r="X408" t="s">
        <v>321</v>
      </c>
      <c r="Y408" s="9" t="str">
        <f t="shared" ca="1" si="32"/>
        <v>Sin costo</v>
      </c>
      <c r="Z408" t="s">
        <v>327</v>
      </c>
      <c r="AA408" t="s">
        <v>329</v>
      </c>
      <c r="AB408" t="s">
        <v>334</v>
      </c>
      <c r="AC408" s="12" t="s">
        <v>339</v>
      </c>
      <c r="AE408" t="s">
        <v>268</v>
      </c>
      <c r="AG408" s="12" t="s">
        <v>268</v>
      </c>
      <c r="AH408" t="s">
        <v>92</v>
      </c>
      <c r="AI408" s="12" t="s">
        <v>268</v>
      </c>
      <c r="AJ408" t="s">
        <v>92</v>
      </c>
      <c r="AK408" t="s">
        <v>92</v>
      </c>
      <c r="AL408" t="s">
        <v>92</v>
      </c>
      <c r="AM408" s="12" t="s">
        <v>268</v>
      </c>
      <c r="AN408" s="12" t="s">
        <v>268</v>
      </c>
      <c r="AO408" s="12" t="s">
        <v>268</v>
      </c>
      <c r="AP408" s="12" t="s">
        <v>268</v>
      </c>
      <c r="AQ408" s="12" t="s">
        <v>268</v>
      </c>
      <c r="AR408" s="28" t="str">
        <f t="shared" ca="1" si="33"/>
        <v/>
      </c>
      <c r="AS408" s="28" t="str">
        <f t="shared" ca="1" si="34"/>
        <v/>
      </c>
    </row>
    <row r="409" spans="2:45" ht="27.6" customHeight="1">
      <c r="B409">
        <f t="shared" ca="1" si="30"/>
        <v>0</v>
      </c>
      <c r="C409" t="s">
        <v>85</v>
      </c>
      <c r="D409" t="s">
        <v>92</v>
      </c>
      <c r="E409" t="s">
        <v>92</v>
      </c>
      <c r="F409" t="s">
        <v>92</v>
      </c>
      <c r="G409" t="s">
        <v>92</v>
      </c>
      <c r="H409" t="s">
        <v>92</v>
      </c>
      <c r="I409" s="12" t="s">
        <v>268</v>
      </c>
      <c r="J409" t="s">
        <v>278</v>
      </c>
      <c r="L409" t="s">
        <v>92</v>
      </c>
      <c r="N409" s="14">
        <v>1</v>
      </c>
      <c r="P409" s="12" t="s">
        <v>268</v>
      </c>
      <c r="W409" s="9" t="str">
        <f t="shared" ca="1" si="31"/>
        <v>18.5%</v>
      </c>
      <c r="X409" t="s">
        <v>321</v>
      </c>
      <c r="Y409" s="9" t="str">
        <f t="shared" ca="1" si="32"/>
        <v>Sin costo</v>
      </c>
      <c r="Z409" t="s">
        <v>327</v>
      </c>
      <c r="AA409" t="s">
        <v>329</v>
      </c>
      <c r="AB409" t="s">
        <v>334</v>
      </c>
      <c r="AC409" s="12" t="s">
        <v>339</v>
      </c>
      <c r="AE409" t="s">
        <v>268</v>
      </c>
      <c r="AG409" s="12" t="s">
        <v>268</v>
      </c>
      <c r="AH409" t="s">
        <v>92</v>
      </c>
      <c r="AI409" s="12" t="s">
        <v>268</v>
      </c>
      <c r="AJ409" t="s">
        <v>92</v>
      </c>
      <c r="AK409" t="s">
        <v>92</v>
      </c>
      <c r="AL409" t="s">
        <v>92</v>
      </c>
      <c r="AM409" s="12" t="s">
        <v>268</v>
      </c>
      <c r="AN409" s="12" t="s">
        <v>268</v>
      </c>
      <c r="AO409" s="12" t="s">
        <v>268</v>
      </c>
      <c r="AP409" s="12" t="s">
        <v>268</v>
      </c>
      <c r="AQ409" s="12" t="s">
        <v>268</v>
      </c>
      <c r="AR409" s="28" t="str">
        <f t="shared" ca="1" si="33"/>
        <v/>
      </c>
      <c r="AS409" s="28" t="str">
        <f t="shared" ca="1" si="34"/>
        <v/>
      </c>
    </row>
    <row r="410" spans="2:45" ht="27.6" customHeight="1">
      <c r="B410">
        <f t="shared" ca="1" si="30"/>
        <v>0</v>
      </c>
      <c r="C410" t="s">
        <v>85</v>
      </c>
      <c r="D410" t="s">
        <v>92</v>
      </c>
      <c r="E410" t="s">
        <v>92</v>
      </c>
      <c r="F410" t="s">
        <v>92</v>
      </c>
      <c r="G410" t="s">
        <v>92</v>
      </c>
      <c r="H410" t="s">
        <v>92</v>
      </c>
      <c r="I410" s="12" t="s">
        <v>268</v>
      </c>
      <c r="J410" t="s">
        <v>278</v>
      </c>
      <c r="L410" t="s">
        <v>92</v>
      </c>
      <c r="N410" s="14">
        <v>1</v>
      </c>
      <c r="P410" s="12" t="s">
        <v>268</v>
      </c>
      <c r="W410" s="9" t="str">
        <f t="shared" ca="1" si="31"/>
        <v>18.5%</v>
      </c>
      <c r="X410" t="s">
        <v>321</v>
      </c>
      <c r="Y410" s="9" t="str">
        <f t="shared" ca="1" si="32"/>
        <v>Sin costo</v>
      </c>
      <c r="Z410" t="s">
        <v>327</v>
      </c>
      <c r="AA410" t="s">
        <v>329</v>
      </c>
      <c r="AB410" t="s">
        <v>334</v>
      </c>
      <c r="AC410" s="12" t="s">
        <v>339</v>
      </c>
      <c r="AE410" t="s">
        <v>268</v>
      </c>
      <c r="AG410" s="12" t="s">
        <v>268</v>
      </c>
      <c r="AH410" t="s">
        <v>92</v>
      </c>
      <c r="AI410" s="12" t="s">
        <v>268</v>
      </c>
      <c r="AJ410" t="s">
        <v>92</v>
      </c>
      <c r="AK410" t="s">
        <v>92</v>
      </c>
      <c r="AL410" t="s">
        <v>92</v>
      </c>
      <c r="AM410" s="12" t="s">
        <v>268</v>
      </c>
      <c r="AN410" s="12" t="s">
        <v>268</v>
      </c>
      <c r="AO410" s="12" t="s">
        <v>268</v>
      </c>
      <c r="AP410" s="12" t="s">
        <v>268</v>
      </c>
      <c r="AQ410" s="12" t="s">
        <v>268</v>
      </c>
      <c r="AR410" s="28" t="str">
        <f t="shared" ca="1" si="33"/>
        <v/>
      </c>
      <c r="AS410" s="28" t="str">
        <f t="shared" ca="1" si="34"/>
        <v/>
      </c>
    </row>
    <row r="411" spans="2:45" ht="27.6" customHeight="1">
      <c r="B411">
        <f t="shared" ca="1" si="30"/>
        <v>0</v>
      </c>
      <c r="C411" t="s">
        <v>85</v>
      </c>
      <c r="D411" t="s">
        <v>92</v>
      </c>
      <c r="E411" t="s">
        <v>92</v>
      </c>
      <c r="F411" t="s">
        <v>92</v>
      </c>
      <c r="G411" t="s">
        <v>92</v>
      </c>
      <c r="H411" t="s">
        <v>92</v>
      </c>
      <c r="I411" s="12" t="s">
        <v>268</v>
      </c>
      <c r="J411" t="s">
        <v>278</v>
      </c>
      <c r="L411" t="s">
        <v>92</v>
      </c>
      <c r="N411" s="14">
        <v>1</v>
      </c>
      <c r="P411" s="12" t="s">
        <v>268</v>
      </c>
      <c r="W411" s="9" t="str">
        <f t="shared" ca="1" si="31"/>
        <v>18.5%</v>
      </c>
      <c r="X411" t="s">
        <v>321</v>
      </c>
      <c r="Y411" s="9" t="str">
        <f t="shared" ca="1" si="32"/>
        <v>Sin costo</v>
      </c>
      <c r="Z411" t="s">
        <v>327</v>
      </c>
      <c r="AA411" t="s">
        <v>329</v>
      </c>
      <c r="AB411" t="s">
        <v>334</v>
      </c>
      <c r="AC411" s="12" t="s">
        <v>339</v>
      </c>
      <c r="AE411" t="s">
        <v>268</v>
      </c>
      <c r="AG411" s="12" t="s">
        <v>268</v>
      </c>
      <c r="AH411" t="s">
        <v>92</v>
      </c>
      <c r="AI411" s="12" t="s">
        <v>268</v>
      </c>
      <c r="AJ411" t="s">
        <v>92</v>
      </c>
      <c r="AK411" t="s">
        <v>92</v>
      </c>
      <c r="AL411" t="s">
        <v>92</v>
      </c>
      <c r="AM411" s="12" t="s">
        <v>268</v>
      </c>
      <c r="AN411" s="12" t="s">
        <v>268</v>
      </c>
      <c r="AO411" s="12" t="s">
        <v>268</v>
      </c>
      <c r="AP411" s="12" t="s">
        <v>268</v>
      </c>
      <c r="AQ411" s="12" t="s">
        <v>268</v>
      </c>
      <c r="AR411" s="28" t="str">
        <f t="shared" ca="1" si="33"/>
        <v/>
      </c>
      <c r="AS411" s="28" t="str">
        <f t="shared" ca="1" si="34"/>
        <v/>
      </c>
    </row>
    <row r="412" spans="2:45" ht="27.6" customHeight="1">
      <c r="B412">
        <f t="shared" ca="1" si="30"/>
        <v>0</v>
      </c>
      <c r="C412" t="s">
        <v>85</v>
      </c>
      <c r="D412" t="s">
        <v>92</v>
      </c>
      <c r="E412" t="s">
        <v>92</v>
      </c>
      <c r="F412" t="s">
        <v>92</v>
      </c>
      <c r="G412" t="s">
        <v>92</v>
      </c>
      <c r="H412" t="s">
        <v>92</v>
      </c>
      <c r="I412" s="12" t="s">
        <v>268</v>
      </c>
      <c r="J412" t="s">
        <v>278</v>
      </c>
      <c r="L412" t="s">
        <v>92</v>
      </c>
      <c r="N412" s="14">
        <v>1</v>
      </c>
      <c r="P412" s="12" t="s">
        <v>268</v>
      </c>
      <c r="W412" s="9" t="str">
        <f t="shared" ca="1" si="31"/>
        <v>18.5%</v>
      </c>
      <c r="X412" t="s">
        <v>321</v>
      </c>
      <c r="Y412" s="9" t="str">
        <f t="shared" ca="1" si="32"/>
        <v>Sin costo</v>
      </c>
      <c r="Z412" t="s">
        <v>327</v>
      </c>
      <c r="AA412" t="s">
        <v>329</v>
      </c>
      <c r="AB412" t="s">
        <v>334</v>
      </c>
      <c r="AC412" s="12" t="s">
        <v>339</v>
      </c>
      <c r="AE412" t="s">
        <v>268</v>
      </c>
      <c r="AG412" s="12" t="s">
        <v>268</v>
      </c>
      <c r="AH412" t="s">
        <v>92</v>
      </c>
      <c r="AI412" s="12" t="s">
        <v>268</v>
      </c>
      <c r="AJ412" t="s">
        <v>92</v>
      </c>
      <c r="AK412" t="s">
        <v>92</v>
      </c>
      <c r="AL412" t="s">
        <v>92</v>
      </c>
      <c r="AM412" s="12" t="s">
        <v>268</v>
      </c>
      <c r="AN412" s="12" t="s">
        <v>268</v>
      </c>
      <c r="AO412" s="12" t="s">
        <v>268</v>
      </c>
      <c r="AP412" s="12" t="s">
        <v>268</v>
      </c>
      <c r="AQ412" s="12" t="s">
        <v>268</v>
      </c>
      <c r="AR412" s="28" t="str">
        <f t="shared" ca="1" si="33"/>
        <v/>
      </c>
      <c r="AS412" s="28" t="str">
        <f t="shared" ca="1" si="34"/>
        <v/>
      </c>
    </row>
    <row r="413" spans="2:45" ht="27.6" customHeight="1">
      <c r="B413">
        <f t="shared" ca="1" si="30"/>
        <v>0</v>
      </c>
      <c r="C413" t="s">
        <v>85</v>
      </c>
      <c r="D413" t="s">
        <v>92</v>
      </c>
      <c r="E413" t="s">
        <v>92</v>
      </c>
      <c r="F413" t="s">
        <v>92</v>
      </c>
      <c r="G413" t="s">
        <v>92</v>
      </c>
      <c r="H413" t="s">
        <v>92</v>
      </c>
      <c r="I413" s="12" t="s">
        <v>268</v>
      </c>
      <c r="J413" t="s">
        <v>278</v>
      </c>
      <c r="L413" t="s">
        <v>92</v>
      </c>
      <c r="N413" s="14">
        <v>1</v>
      </c>
      <c r="P413" s="12" t="s">
        <v>268</v>
      </c>
      <c r="W413" s="9" t="str">
        <f t="shared" ca="1" si="31"/>
        <v>18.5%</v>
      </c>
      <c r="X413" t="s">
        <v>321</v>
      </c>
      <c r="Y413" s="9" t="str">
        <f t="shared" ca="1" si="32"/>
        <v>Sin costo</v>
      </c>
      <c r="Z413" t="s">
        <v>327</v>
      </c>
      <c r="AA413" t="s">
        <v>329</v>
      </c>
      <c r="AB413" t="s">
        <v>334</v>
      </c>
      <c r="AC413" s="12" t="s">
        <v>339</v>
      </c>
      <c r="AE413" t="s">
        <v>268</v>
      </c>
      <c r="AG413" s="12" t="s">
        <v>268</v>
      </c>
      <c r="AH413" t="s">
        <v>92</v>
      </c>
      <c r="AI413" s="12" t="s">
        <v>268</v>
      </c>
      <c r="AJ413" t="s">
        <v>92</v>
      </c>
      <c r="AK413" t="s">
        <v>92</v>
      </c>
      <c r="AL413" t="s">
        <v>92</v>
      </c>
      <c r="AM413" s="12" t="s">
        <v>268</v>
      </c>
      <c r="AN413" s="12" t="s">
        <v>268</v>
      </c>
      <c r="AO413" s="12" t="s">
        <v>268</v>
      </c>
      <c r="AP413" s="12" t="s">
        <v>268</v>
      </c>
      <c r="AQ413" s="12" t="s">
        <v>268</v>
      </c>
      <c r="AR413" s="28" t="str">
        <f t="shared" ca="1" si="33"/>
        <v/>
      </c>
      <c r="AS413" s="28" t="str">
        <f t="shared" ca="1" si="34"/>
        <v/>
      </c>
    </row>
    <row r="414" spans="2:45" ht="27.6" customHeight="1">
      <c r="B414">
        <f t="shared" ca="1" si="30"/>
        <v>0</v>
      </c>
      <c r="C414" t="s">
        <v>85</v>
      </c>
      <c r="D414" t="s">
        <v>92</v>
      </c>
      <c r="E414" t="s">
        <v>92</v>
      </c>
      <c r="F414" t="s">
        <v>92</v>
      </c>
      <c r="G414" t="s">
        <v>92</v>
      </c>
      <c r="H414" t="s">
        <v>92</v>
      </c>
      <c r="I414" s="12" t="s">
        <v>268</v>
      </c>
      <c r="J414" t="s">
        <v>278</v>
      </c>
      <c r="L414" t="s">
        <v>92</v>
      </c>
      <c r="N414" s="14">
        <v>1</v>
      </c>
      <c r="P414" s="12" t="s">
        <v>268</v>
      </c>
      <c r="W414" s="9" t="str">
        <f t="shared" ca="1" si="31"/>
        <v>18.5%</v>
      </c>
      <c r="X414" t="s">
        <v>321</v>
      </c>
      <c r="Y414" s="9" t="str">
        <f t="shared" ca="1" si="32"/>
        <v>Sin costo</v>
      </c>
      <c r="Z414" t="s">
        <v>327</v>
      </c>
      <c r="AA414" t="s">
        <v>329</v>
      </c>
      <c r="AB414" t="s">
        <v>334</v>
      </c>
      <c r="AC414" s="12" t="s">
        <v>339</v>
      </c>
      <c r="AE414" t="s">
        <v>268</v>
      </c>
      <c r="AG414" s="12" t="s">
        <v>268</v>
      </c>
      <c r="AH414" t="s">
        <v>92</v>
      </c>
      <c r="AI414" s="12" t="s">
        <v>268</v>
      </c>
      <c r="AJ414" t="s">
        <v>92</v>
      </c>
      <c r="AK414" t="s">
        <v>92</v>
      </c>
      <c r="AL414" t="s">
        <v>92</v>
      </c>
      <c r="AM414" s="12" t="s">
        <v>268</v>
      </c>
      <c r="AN414" s="12" t="s">
        <v>268</v>
      </c>
      <c r="AO414" s="12" t="s">
        <v>268</v>
      </c>
      <c r="AP414" s="12" t="s">
        <v>268</v>
      </c>
      <c r="AQ414" s="12" t="s">
        <v>268</v>
      </c>
      <c r="AR414" s="28" t="str">
        <f t="shared" ca="1" si="33"/>
        <v/>
      </c>
      <c r="AS414" s="28" t="str">
        <f t="shared" ca="1" si="34"/>
        <v/>
      </c>
    </row>
    <row r="415" spans="2:45" ht="27.6" customHeight="1">
      <c r="B415">
        <f t="shared" ca="1" si="30"/>
        <v>0</v>
      </c>
      <c r="C415" t="s">
        <v>85</v>
      </c>
      <c r="D415" t="s">
        <v>92</v>
      </c>
      <c r="E415" t="s">
        <v>92</v>
      </c>
      <c r="F415" t="s">
        <v>92</v>
      </c>
      <c r="G415" t="s">
        <v>92</v>
      </c>
      <c r="H415" t="s">
        <v>92</v>
      </c>
      <c r="I415" s="12" t="s">
        <v>268</v>
      </c>
      <c r="J415" t="s">
        <v>278</v>
      </c>
      <c r="L415" t="s">
        <v>92</v>
      </c>
      <c r="N415" s="14">
        <v>1</v>
      </c>
      <c r="P415" s="12" t="s">
        <v>268</v>
      </c>
      <c r="W415" s="9" t="str">
        <f t="shared" ca="1" si="31"/>
        <v>18.5%</v>
      </c>
      <c r="X415" t="s">
        <v>321</v>
      </c>
      <c r="Y415" s="9" t="str">
        <f t="shared" ca="1" si="32"/>
        <v>Sin costo</v>
      </c>
      <c r="Z415" t="s">
        <v>327</v>
      </c>
      <c r="AA415" t="s">
        <v>329</v>
      </c>
      <c r="AB415" t="s">
        <v>334</v>
      </c>
      <c r="AC415" s="12" t="s">
        <v>339</v>
      </c>
      <c r="AE415" t="s">
        <v>268</v>
      </c>
      <c r="AG415" s="12" t="s">
        <v>268</v>
      </c>
      <c r="AH415" t="s">
        <v>92</v>
      </c>
      <c r="AI415" s="12" t="s">
        <v>268</v>
      </c>
      <c r="AJ415" t="s">
        <v>92</v>
      </c>
      <c r="AK415" t="s">
        <v>92</v>
      </c>
      <c r="AL415" t="s">
        <v>92</v>
      </c>
      <c r="AM415" s="12" t="s">
        <v>268</v>
      </c>
      <c r="AN415" s="12" t="s">
        <v>268</v>
      </c>
      <c r="AO415" s="12" t="s">
        <v>268</v>
      </c>
      <c r="AP415" s="12" t="s">
        <v>268</v>
      </c>
      <c r="AQ415" s="12" t="s">
        <v>268</v>
      </c>
      <c r="AR415" s="28" t="str">
        <f t="shared" ca="1" si="33"/>
        <v/>
      </c>
      <c r="AS415" s="28" t="str">
        <f t="shared" ca="1" si="34"/>
        <v/>
      </c>
    </row>
    <row r="416" spans="2:45" ht="27.6" customHeight="1">
      <c r="B416">
        <f t="shared" ca="1" si="30"/>
        <v>0</v>
      </c>
      <c r="C416" t="s">
        <v>85</v>
      </c>
      <c r="D416" t="s">
        <v>92</v>
      </c>
      <c r="E416" t="s">
        <v>92</v>
      </c>
      <c r="F416" t="s">
        <v>92</v>
      </c>
      <c r="G416" t="s">
        <v>92</v>
      </c>
      <c r="H416" t="s">
        <v>92</v>
      </c>
      <c r="I416" s="12" t="s">
        <v>268</v>
      </c>
      <c r="J416" t="s">
        <v>278</v>
      </c>
      <c r="L416" t="s">
        <v>92</v>
      </c>
      <c r="N416" s="14">
        <v>1</v>
      </c>
      <c r="P416" s="12" t="s">
        <v>268</v>
      </c>
      <c r="W416" s="9" t="str">
        <f t="shared" ca="1" si="31"/>
        <v>18.5%</v>
      </c>
      <c r="X416" t="s">
        <v>321</v>
      </c>
      <c r="Y416" s="9" t="str">
        <f t="shared" ca="1" si="32"/>
        <v>Sin costo</v>
      </c>
      <c r="Z416" t="s">
        <v>327</v>
      </c>
      <c r="AA416" t="s">
        <v>329</v>
      </c>
      <c r="AB416" t="s">
        <v>334</v>
      </c>
      <c r="AC416" s="12" t="s">
        <v>339</v>
      </c>
      <c r="AE416" t="s">
        <v>268</v>
      </c>
      <c r="AG416" s="12" t="s">
        <v>268</v>
      </c>
      <c r="AH416" t="s">
        <v>92</v>
      </c>
      <c r="AI416" s="12" t="s">
        <v>268</v>
      </c>
      <c r="AJ416" t="s">
        <v>92</v>
      </c>
      <c r="AK416" t="s">
        <v>92</v>
      </c>
      <c r="AL416" t="s">
        <v>92</v>
      </c>
      <c r="AM416" s="12" t="s">
        <v>268</v>
      </c>
      <c r="AN416" s="12" t="s">
        <v>268</v>
      </c>
      <c r="AO416" s="12" t="s">
        <v>268</v>
      </c>
      <c r="AP416" s="12" t="s">
        <v>268</v>
      </c>
      <c r="AQ416" s="12" t="s">
        <v>268</v>
      </c>
      <c r="AR416" s="28" t="str">
        <f t="shared" ca="1" si="33"/>
        <v/>
      </c>
      <c r="AS416" s="28" t="str">
        <f t="shared" ca="1" si="34"/>
        <v/>
      </c>
    </row>
    <row r="417" spans="2:45" ht="27.6" customHeight="1">
      <c r="B417">
        <f t="shared" ca="1" si="30"/>
        <v>0</v>
      </c>
      <c r="C417" t="s">
        <v>85</v>
      </c>
      <c r="D417" t="s">
        <v>92</v>
      </c>
      <c r="E417" t="s">
        <v>92</v>
      </c>
      <c r="F417" t="s">
        <v>92</v>
      </c>
      <c r="G417" t="s">
        <v>92</v>
      </c>
      <c r="H417" t="s">
        <v>92</v>
      </c>
      <c r="I417" s="12" t="s">
        <v>268</v>
      </c>
      <c r="J417" t="s">
        <v>278</v>
      </c>
      <c r="L417" t="s">
        <v>92</v>
      </c>
      <c r="N417" s="14">
        <v>1</v>
      </c>
      <c r="P417" s="12" t="s">
        <v>268</v>
      </c>
      <c r="W417" s="9" t="str">
        <f t="shared" ca="1" si="31"/>
        <v>18.5%</v>
      </c>
      <c r="X417" t="s">
        <v>321</v>
      </c>
      <c r="Y417" s="9" t="str">
        <f t="shared" ca="1" si="32"/>
        <v>Sin costo</v>
      </c>
      <c r="Z417" t="s">
        <v>327</v>
      </c>
      <c r="AA417" t="s">
        <v>329</v>
      </c>
      <c r="AB417" t="s">
        <v>334</v>
      </c>
      <c r="AC417" s="12" t="s">
        <v>339</v>
      </c>
      <c r="AE417" t="s">
        <v>268</v>
      </c>
      <c r="AG417" s="12" t="s">
        <v>268</v>
      </c>
      <c r="AH417" t="s">
        <v>92</v>
      </c>
      <c r="AI417" s="12" t="s">
        <v>268</v>
      </c>
      <c r="AJ417" t="s">
        <v>92</v>
      </c>
      <c r="AK417" t="s">
        <v>92</v>
      </c>
      <c r="AL417" t="s">
        <v>92</v>
      </c>
      <c r="AM417" s="12" t="s">
        <v>268</v>
      </c>
      <c r="AN417" s="12" t="s">
        <v>268</v>
      </c>
      <c r="AO417" s="12" t="s">
        <v>268</v>
      </c>
      <c r="AP417" s="12" t="s">
        <v>268</v>
      </c>
      <c r="AQ417" s="12" t="s">
        <v>268</v>
      </c>
      <c r="AR417" s="28" t="str">
        <f t="shared" ca="1" si="33"/>
        <v/>
      </c>
      <c r="AS417" s="28" t="str">
        <f t="shared" ca="1" si="34"/>
        <v/>
      </c>
    </row>
    <row r="418" spans="2:45" ht="27.6" customHeight="1">
      <c r="B418">
        <f t="shared" ca="1" si="30"/>
        <v>0</v>
      </c>
      <c r="C418" t="s">
        <v>85</v>
      </c>
      <c r="D418" t="s">
        <v>92</v>
      </c>
      <c r="E418" t="s">
        <v>92</v>
      </c>
      <c r="F418" t="s">
        <v>92</v>
      </c>
      <c r="G418" t="s">
        <v>92</v>
      </c>
      <c r="H418" t="s">
        <v>92</v>
      </c>
      <c r="I418" s="12" t="s">
        <v>268</v>
      </c>
      <c r="J418" t="s">
        <v>278</v>
      </c>
      <c r="L418" t="s">
        <v>92</v>
      </c>
      <c r="N418" s="14">
        <v>1</v>
      </c>
      <c r="P418" s="12" t="s">
        <v>268</v>
      </c>
      <c r="W418" s="9" t="str">
        <f t="shared" ca="1" si="31"/>
        <v>18.5%</v>
      </c>
      <c r="X418" t="s">
        <v>321</v>
      </c>
      <c r="Y418" s="9" t="str">
        <f t="shared" ca="1" si="32"/>
        <v>Sin costo</v>
      </c>
      <c r="Z418" t="s">
        <v>327</v>
      </c>
      <c r="AA418" t="s">
        <v>329</v>
      </c>
      <c r="AB418" t="s">
        <v>334</v>
      </c>
      <c r="AC418" s="12" t="s">
        <v>339</v>
      </c>
      <c r="AE418" t="s">
        <v>268</v>
      </c>
      <c r="AG418" s="12" t="s">
        <v>268</v>
      </c>
      <c r="AH418" t="s">
        <v>92</v>
      </c>
      <c r="AI418" s="12" t="s">
        <v>268</v>
      </c>
      <c r="AJ418" t="s">
        <v>92</v>
      </c>
      <c r="AK418" t="s">
        <v>92</v>
      </c>
      <c r="AL418" t="s">
        <v>92</v>
      </c>
      <c r="AM418" s="12" t="s">
        <v>268</v>
      </c>
      <c r="AN418" s="12" t="s">
        <v>268</v>
      </c>
      <c r="AO418" s="12" t="s">
        <v>268</v>
      </c>
      <c r="AP418" s="12" t="s">
        <v>268</v>
      </c>
      <c r="AQ418" s="12" t="s">
        <v>268</v>
      </c>
      <c r="AR418" s="28" t="str">
        <f t="shared" ca="1" si="33"/>
        <v/>
      </c>
      <c r="AS418" s="28" t="str">
        <f t="shared" ca="1" si="34"/>
        <v/>
      </c>
    </row>
    <row r="419" spans="2:45" ht="27.6" customHeight="1">
      <c r="B419">
        <f t="shared" ca="1" si="30"/>
        <v>0</v>
      </c>
      <c r="C419" t="s">
        <v>85</v>
      </c>
      <c r="D419" t="s">
        <v>92</v>
      </c>
      <c r="E419" t="s">
        <v>92</v>
      </c>
      <c r="F419" t="s">
        <v>92</v>
      </c>
      <c r="G419" t="s">
        <v>92</v>
      </c>
      <c r="H419" t="s">
        <v>92</v>
      </c>
      <c r="I419" s="12" t="s">
        <v>268</v>
      </c>
      <c r="J419" t="s">
        <v>278</v>
      </c>
      <c r="L419" t="s">
        <v>92</v>
      </c>
      <c r="N419" s="14">
        <v>1</v>
      </c>
      <c r="P419" s="12" t="s">
        <v>268</v>
      </c>
      <c r="W419" s="9" t="str">
        <f t="shared" ca="1" si="31"/>
        <v>18.5%</v>
      </c>
      <c r="X419" t="s">
        <v>321</v>
      </c>
      <c r="Y419" s="9" t="str">
        <f t="shared" ca="1" si="32"/>
        <v>Sin costo</v>
      </c>
      <c r="Z419" t="s">
        <v>327</v>
      </c>
      <c r="AA419" t="s">
        <v>329</v>
      </c>
      <c r="AB419" t="s">
        <v>334</v>
      </c>
      <c r="AC419" s="12" t="s">
        <v>339</v>
      </c>
      <c r="AE419" t="s">
        <v>268</v>
      </c>
      <c r="AG419" s="12" t="s">
        <v>268</v>
      </c>
      <c r="AH419" t="s">
        <v>92</v>
      </c>
      <c r="AI419" s="12" t="s">
        <v>268</v>
      </c>
      <c r="AJ419" t="s">
        <v>92</v>
      </c>
      <c r="AK419" t="s">
        <v>92</v>
      </c>
      <c r="AL419" t="s">
        <v>92</v>
      </c>
      <c r="AM419" s="12" t="s">
        <v>268</v>
      </c>
      <c r="AN419" s="12" t="s">
        <v>268</v>
      </c>
      <c r="AO419" s="12" t="s">
        <v>268</v>
      </c>
      <c r="AP419" s="12" t="s">
        <v>268</v>
      </c>
      <c r="AQ419" s="12" t="s">
        <v>268</v>
      </c>
      <c r="AR419" s="28" t="str">
        <f t="shared" ca="1" si="33"/>
        <v/>
      </c>
      <c r="AS419" s="28" t="str">
        <f t="shared" ca="1" si="34"/>
        <v/>
      </c>
    </row>
    <row r="420" spans="2:45" ht="27.6" customHeight="1">
      <c r="B420">
        <f t="shared" ca="1" si="30"/>
        <v>0</v>
      </c>
      <c r="C420" t="s">
        <v>85</v>
      </c>
      <c r="D420" t="s">
        <v>92</v>
      </c>
      <c r="E420" t="s">
        <v>92</v>
      </c>
      <c r="F420" t="s">
        <v>92</v>
      </c>
      <c r="G420" t="s">
        <v>92</v>
      </c>
      <c r="H420" t="s">
        <v>92</v>
      </c>
      <c r="I420" s="12" t="s">
        <v>268</v>
      </c>
      <c r="J420" t="s">
        <v>278</v>
      </c>
      <c r="L420" t="s">
        <v>92</v>
      </c>
      <c r="N420" s="14">
        <v>1</v>
      </c>
      <c r="P420" s="12" t="s">
        <v>268</v>
      </c>
      <c r="W420" s="9" t="str">
        <f t="shared" ca="1" si="31"/>
        <v>18.5%</v>
      </c>
      <c r="X420" t="s">
        <v>321</v>
      </c>
      <c r="Y420" s="9" t="str">
        <f t="shared" ca="1" si="32"/>
        <v>Sin costo</v>
      </c>
      <c r="Z420" t="s">
        <v>327</v>
      </c>
      <c r="AA420" t="s">
        <v>329</v>
      </c>
      <c r="AB420" t="s">
        <v>334</v>
      </c>
      <c r="AC420" s="12" t="s">
        <v>339</v>
      </c>
      <c r="AE420" t="s">
        <v>268</v>
      </c>
      <c r="AG420" s="12" t="s">
        <v>268</v>
      </c>
      <c r="AH420" t="s">
        <v>92</v>
      </c>
      <c r="AI420" s="12" t="s">
        <v>268</v>
      </c>
      <c r="AJ420" t="s">
        <v>92</v>
      </c>
      <c r="AK420" t="s">
        <v>92</v>
      </c>
      <c r="AL420" t="s">
        <v>92</v>
      </c>
      <c r="AM420" s="12" t="s">
        <v>268</v>
      </c>
      <c r="AN420" s="12" t="s">
        <v>268</v>
      </c>
      <c r="AO420" s="12" t="s">
        <v>268</v>
      </c>
      <c r="AP420" s="12" t="s">
        <v>268</v>
      </c>
      <c r="AQ420" s="12" t="s">
        <v>268</v>
      </c>
      <c r="AR420" s="28" t="str">
        <f t="shared" ca="1" si="33"/>
        <v/>
      </c>
      <c r="AS420" s="28" t="str">
        <f t="shared" ca="1" si="34"/>
        <v/>
      </c>
    </row>
    <row r="421" spans="2:45" ht="27.6" customHeight="1">
      <c r="B421">
        <f t="shared" ca="1" si="30"/>
        <v>0</v>
      </c>
      <c r="C421" t="s">
        <v>85</v>
      </c>
      <c r="D421" t="s">
        <v>92</v>
      </c>
      <c r="E421" t="s">
        <v>92</v>
      </c>
      <c r="F421" t="s">
        <v>92</v>
      </c>
      <c r="G421" t="s">
        <v>92</v>
      </c>
      <c r="H421" t="s">
        <v>92</v>
      </c>
      <c r="I421" s="12" t="s">
        <v>268</v>
      </c>
      <c r="J421" t="s">
        <v>278</v>
      </c>
      <c r="L421" t="s">
        <v>92</v>
      </c>
      <c r="N421" s="14">
        <v>1</v>
      </c>
      <c r="P421" s="12" t="s">
        <v>268</v>
      </c>
      <c r="W421" s="9" t="str">
        <f t="shared" ca="1" si="31"/>
        <v>18.5%</v>
      </c>
      <c r="X421" t="s">
        <v>321</v>
      </c>
      <c r="Y421" s="9" t="str">
        <f t="shared" ca="1" si="32"/>
        <v>Sin costo</v>
      </c>
      <c r="Z421" t="s">
        <v>327</v>
      </c>
      <c r="AA421" t="s">
        <v>329</v>
      </c>
      <c r="AB421" t="s">
        <v>334</v>
      </c>
      <c r="AC421" s="12" t="s">
        <v>339</v>
      </c>
      <c r="AE421" t="s">
        <v>268</v>
      </c>
      <c r="AG421" s="12" t="s">
        <v>268</v>
      </c>
      <c r="AH421" t="s">
        <v>92</v>
      </c>
      <c r="AI421" s="12" t="s">
        <v>268</v>
      </c>
      <c r="AJ421" t="s">
        <v>92</v>
      </c>
      <c r="AK421" t="s">
        <v>92</v>
      </c>
      <c r="AL421" t="s">
        <v>92</v>
      </c>
      <c r="AM421" s="12" t="s">
        <v>268</v>
      </c>
      <c r="AN421" s="12" t="s">
        <v>268</v>
      </c>
      <c r="AO421" s="12" t="s">
        <v>268</v>
      </c>
      <c r="AP421" s="12" t="s">
        <v>268</v>
      </c>
      <c r="AQ421" s="12" t="s">
        <v>268</v>
      </c>
      <c r="AR421" s="28" t="str">
        <f t="shared" ca="1" si="33"/>
        <v/>
      </c>
      <c r="AS421" s="28" t="str">
        <f t="shared" ca="1" si="34"/>
        <v/>
      </c>
    </row>
    <row r="422" spans="2:45" ht="27.6" customHeight="1">
      <c r="B422">
        <f t="shared" ca="1" si="30"/>
        <v>0</v>
      </c>
      <c r="C422" t="s">
        <v>85</v>
      </c>
      <c r="D422" t="s">
        <v>92</v>
      </c>
      <c r="E422" t="s">
        <v>92</v>
      </c>
      <c r="F422" t="s">
        <v>92</v>
      </c>
      <c r="G422" t="s">
        <v>92</v>
      </c>
      <c r="H422" t="s">
        <v>92</v>
      </c>
      <c r="I422" s="12" t="s">
        <v>268</v>
      </c>
      <c r="J422" t="s">
        <v>278</v>
      </c>
      <c r="L422" t="s">
        <v>92</v>
      </c>
      <c r="N422" s="14">
        <v>1</v>
      </c>
      <c r="P422" s="12" t="s">
        <v>268</v>
      </c>
      <c r="W422" s="9" t="str">
        <f t="shared" ca="1" si="31"/>
        <v>18.5%</v>
      </c>
      <c r="X422" t="s">
        <v>321</v>
      </c>
      <c r="Y422" s="9" t="str">
        <f t="shared" ca="1" si="32"/>
        <v>Sin costo</v>
      </c>
      <c r="Z422" t="s">
        <v>327</v>
      </c>
      <c r="AA422" t="s">
        <v>329</v>
      </c>
      <c r="AB422" t="s">
        <v>334</v>
      </c>
      <c r="AC422" s="12" t="s">
        <v>339</v>
      </c>
      <c r="AE422" t="s">
        <v>268</v>
      </c>
      <c r="AG422" s="12" t="s">
        <v>268</v>
      </c>
      <c r="AH422" t="s">
        <v>92</v>
      </c>
      <c r="AI422" s="12" t="s">
        <v>268</v>
      </c>
      <c r="AJ422" t="s">
        <v>92</v>
      </c>
      <c r="AK422" t="s">
        <v>92</v>
      </c>
      <c r="AL422" t="s">
        <v>92</v>
      </c>
      <c r="AM422" s="12" t="s">
        <v>268</v>
      </c>
      <c r="AN422" s="12" t="s">
        <v>268</v>
      </c>
      <c r="AO422" s="12" t="s">
        <v>268</v>
      </c>
      <c r="AP422" s="12" t="s">
        <v>268</v>
      </c>
      <c r="AQ422" s="12" t="s">
        <v>268</v>
      </c>
      <c r="AR422" s="28" t="str">
        <f t="shared" ca="1" si="33"/>
        <v/>
      </c>
      <c r="AS422" s="28" t="str">
        <f t="shared" ca="1" si="34"/>
        <v/>
      </c>
    </row>
    <row r="423" spans="2:45" ht="27.6" customHeight="1">
      <c r="B423">
        <f t="shared" ca="1" si="30"/>
        <v>0</v>
      </c>
      <c r="C423" t="s">
        <v>85</v>
      </c>
      <c r="D423" t="s">
        <v>92</v>
      </c>
      <c r="E423" t="s">
        <v>92</v>
      </c>
      <c r="F423" t="s">
        <v>92</v>
      </c>
      <c r="G423" t="s">
        <v>92</v>
      </c>
      <c r="H423" t="s">
        <v>92</v>
      </c>
      <c r="I423" s="12" t="s">
        <v>268</v>
      </c>
      <c r="J423" t="s">
        <v>278</v>
      </c>
      <c r="L423" t="s">
        <v>92</v>
      </c>
      <c r="N423" s="14">
        <v>1</v>
      </c>
      <c r="P423" s="12" t="s">
        <v>268</v>
      </c>
      <c r="W423" s="9" t="str">
        <f t="shared" ca="1" si="31"/>
        <v>18.5%</v>
      </c>
      <c r="X423" t="s">
        <v>321</v>
      </c>
      <c r="Y423" s="9" t="str">
        <f t="shared" ca="1" si="32"/>
        <v>Sin costo</v>
      </c>
      <c r="Z423" t="s">
        <v>327</v>
      </c>
      <c r="AA423" t="s">
        <v>329</v>
      </c>
      <c r="AB423" t="s">
        <v>334</v>
      </c>
      <c r="AC423" s="12" t="s">
        <v>339</v>
      </c>
      <c r="AE423" t="s">
        <v>268</v>
      </c>
      <c r="AG423" s="12" t="s">
        <v>268</v>
      </c>
      <c r="AH423" t="s">
        <v>92</v>
      </c>
      <c r="AI423" s="12" t="s">
        <v>268</v>
      </c>
      <c r="AJ423" t="s">
        <v>92</v>
      </c>
      <c r="AK423" t="s">
        <v>92</v>
      </c>
      <c r="AL423" t="s">
        <v>92</v>
      </c>
      <c r="AM423" s="12" t="s">
        <v>268</v>
      </c>
      <c r="AN423" s="12" t="s">
        <v>268</v>
      </c>
      <c r="AO423" s="12" t="s">
        <v>268</v>
      </c>
      <c r="AP423" s="12" t="s">
        <v>268</v>
      </c>
      <c r="AQ423" s="12" t="s">
        <v>268</v>
      </c>
      <c r="AR423" s="28" t="str">
        <f t="shared" ca="1" si="33"/>
        <v/>
      </c>
      <c r="AS423" s="28" t="str">
        <f t="shared" ca="1" si="34"/>
        <v/>
      </c>
    </row>
    <row r="424" spans="2:45" ht="27.6" customHeight="1">
      <c r="B424">
        <f t="shared" ca="1" si="30"/>
        <v>0</v>
      </c>
      <c r="C424" t="s">
        <v>85</v>
      </c>
      <c r="D424" t="s">
        <v>92</v>
      </c>
      <c r="E424" t="s">
        <v>92</v>
      </c>
      <c r="F424" t="s">
        <v>92</v>
      </c>
      <c r="G424" t="s">
        <v>92</v>
      </c>
      <c r="H424" t="s">
        <v>92</v>
      </c>
      <c r="I424" s="12" t="s">
        <v>268</v>
      </c>
      <c r="J424" t="s">
        <v>278</v>
      </c>
      <c r="L424" t="s">
        <v>92</v>
      </c>
      <c r="N424" s="14">
        <v>1</v>
      </c>
      <c r="P424" s="12" t="s">
        <v>268</v>
      </c>
      <c r="W424" s="9" t="str">
        <f t="shared" ca="1" si="31"/>
        <v>18.5%</v>
      </c>
      <c r="X424" t="s">
        <v>321</v>
      </c>
      <c r="Y424" s="9" t="str">
        <f t="shared" ca="1" si="32"/>
        <v>Sin costo</v>
      </c>
      <c r="Z424" t="s">
        <v>327</v>
      </c>
      <c r="AA424" t="s">
        <v>329</v>
      </c>
      <c r="AB424" t="s">
        <v>334</v>
      </c>
      <c r="AC424" s="12" t="s">
        <v>339</v>
      </c>
      <c r="AE424" t="s">
        <v>268</v>
      </c>
      <c r="AG424" s="12" t="s">
        <v>268</v>
      </c>
      <c r="AH424" t="s">
        <v>92</v>
      </c>
      <c r="AI424" s="12" t="s">
        <v>268</v>
      </c>
      <c r="AJ424" t="s">
        <v>92</v>
      </c>
      <c r="AK424" t="s">
        <v>92</v>
      </c>
      <c r="AL424" t="s">
        <v>92</v>
      </c>
      <c r="AM424" s="12" t="s">
        <v>268</v>
      </c>
      <c r="AN424" s="12" t="s">
        <v>268</v>
      </c>
      <c r="AO424" s="12" t="s">
        <v>268</v>
      </c>
      <c r="AP424" s="12" t="s">
        <v>268</v>
      </c>
      <c r="AQ424" s="12" t="s">
        <v>268</v>
      </c>
      <c r="AR424" s="28" t="str">
        <f t="shared" ca="1" si="33"/>
        <v/>
      </c>
      <c r="AS424" s="28" t="str">
        <f t="shared" ca="1" si="34"/>
        <v/>
      </c>
    </row>
    <row r="425" spans="2:45" ht="27.6" customHeight="1">
      <c r="B425">
        <f t="shared" ca="1" si="30"/>
        <v>0</v>
      </c>
      <c r="C425" t="s">
        <v>85</v>
      </c>
      <c r="D425" t="s">
        <v>92</v>
      </c>
      <c r="E425" t="s">
        <v>92</v>
      </c>
      <c r="F425" t="s">
        <v>92</v>
      </c>
      <c r="G425" t="s">
        <v>92</v>
      </c>
      <c r="H425" t="s">
        <v>92</v>
      </c>
      <c r="I425" s="12" t="s">
        <v>268</v>
      </c>
      <c r="J425" t="s">
        <v>278</v>
      </c>
      <c r="L425" t="s">
        <v>92</v>
      </c>
      <c r="N425" s="14">
        <v>1</v>
      </c>
      <c r="P425" s="12" t="s">
        <v>268</v>
      </c>
      <c r="W425" s="9" t="str">
        <f t="shared" ca="1" si="31"/>
        <v>18.5%</v>
      </c>
      <c r="X425" t="s">
        <v>321</v>
      </c>
      <c r="Y425" s="9" t="str">
        <f t="shared" ca="1" si="32"/>
        <v>Sin costo</v>
      </c>
      <c r="Z425" t="s">
        <v>327</v>
      </c>
      <c r="AA425" t="s">
        <v>329</v>
      </c>
      <c r="AB425" t="s">
        <v>334</v>
      </c>
      <c r="AC425" s="12" t="s">
        <v>339</v>
      </c>
      <c r="AE425" t="s">
        <v>268</v>
      </c>
      <c r="AG425" s="12" t="s">
        <v>268</v>
      </c>
      <c r="AH425" t="s">
        <v>92</v>
      </c>
      <c r="AI425" s="12" t="s">
        <v>268</v>
      </c>
      <c r="AJ425" t="s">
        <v>92</v>
      </c>
      <c r="AK425" t="s">
        <v>92</v>
      </c>
      <c r="AL425" t="s">
        <v>92</v>
      </c>
      <c r="AM425" s="12" t="s">
        <v>268</v>
      </c>
      <c r="AN425" s="12" t="s">
        <v>268</v>
      </c>
      <c r="AO425" s="12" t="s">
        <v>268</v>
      </c>
      <c r="AP425" s="12" t="s">
        <v>268</v>
      </c>
      <c r="AQ425" s="12" t="s">
        <v>268</v>
      </c>
      <c r="AR425" s="28" t="str">
        <f t="shared" ca="1" si="33"/>
        <v/>
      </c>
      <c r="AS425" s="28" t="str">
        <f t="shared" ca="1" si="34"/>
        <v/>
      </c>
    </row>
    <row r="426" spans="2:45" ht="27.6" customHeight="1">
      <c r="B426">
        <f t="shared" ca="1" si="30"/>
        <v>0</v>
      </c>
      <c r="C426" t="s">
        <v>85</v>
      </c>
      <c r="D426" t="s">
        <v>92</v>
      </c>
      <c r="E426" t="s">
        <v>92</v>
      </c>
      <c r="F426" t="s">
        <v>92</v>
      </c>
      <c r="G426" t="s">
        <v>92</v>
      </c>
      <c r="H426" t="s">
        <v>92</v>
      </c>
      <c r="I426" s="12" t="s">
        <v>268</v>
      </c>
      <c r="J426" t="s">
        <v>278</v>
      </c>
      <c r="L426" t="s">
        <v>92</v>
      </c>
      <c r="N426" s="14">
        <v>1</v>
      </c>
      <c r="P426" s="12" t="s">
        <v>268</v>
      </c>
      <c r="W426" s="9" t="str">
        <f t="shared" ca="1" si="31"/>
        <v>18.5%</v>
      </c>
      <c r="X426" t="s">
        <v>321</v>
      </c>
      <c r="Y426" s="9" t="str">
        <f t="shared" ca="1" si="32"/>
        <v>Sin costo</v>
      </c>
      <c r="Z426" t="s">
        <v>327</v>
      </c>
      <c r="AA426" t="s">
        <v>329</v>
      </c>
      <c r="AB426" t="s">
        <v>334</v>
      </c>
      <c r="AC426" s="12" t="s">
        <v>339</v>
      </c>
      <c r="AE426" t="s">
        <v>268</v>
      </c>
      <c r="AG426" s="12" t="s">
        <v>268</v>
      </c>
      <c r="AH426" t="s">
        <v>92</v>
      </c>
      <c r="AI426" s="12" t="s">
        <v>268</v>
      </c>
      <c r="AJ426" t="s">
        <v>92</v>
      </c>
      <c r="AK426" t="s">
        <v>92</v>
      </c>
      <c r="AL426" t="s">
        <v>92</v>
      </c>
      <c r="AM426" s="12" t="s">
        <v>268</v>
      </c>
      <c r="AN426" s="12" t="s">
        <v>268</v>
      </c>
      <c r="AO426" s="12" t="s">
        <v>268</v>
      </c>
      <c r="AP426" s="12" t="s">
        <v>268</v>
      </c>
      <c r="AQ426" s="12" t="s">
        <v>268</v>
      </c>
      <c r="AR426" s="28" t="str">
        <f t="shared" ca="1" si="33"/>
        <v/>
      </c>
      <c r="AS426" s="28" t="str">
        <f t="shared" ca="1" si="34"/>
        <v/>
      </c>
    </row>
    <row r="427" spans="2:45" ht="27.6" customHeight="1">
      <c r="B427">
        <f t="shared" ca="1" si="30"/>
        <v>0</v>
      </c>
      <c r="C427" t="s">
        <v>85</v>
      </c>
      <c r="D427" t="s">
        <v>92</v>
      </c>
      <c r="E427" t="s">
        <v>92</v>
      </c>
      <c r="F427" t="s">
        <v>92</v>
      </c>
      <c r="G427" t="s">
        <v>92</v>
      </c>
      <c r="H427" t="s">
        <v>92</v>
      </c>
      <c r="I427" s="12" t="s">
        <v>268</v>
      </c>
      <c r="J427" t="s">
        <v>278</v>
      </c>
      <c r="L427" t="s">
        <v>92</v>
      </c>
      <c r="N427" s="14">
        <v>1</v>
      </c>
      <c r="P427" s="12" t="s">
        <v>268</v>
      </c>
      <c r="W427" s="9" t="str">
        <f t="shared" ca="1" si="31"/>
        <v>18.5%</v>
      </c>
      <c r="X427" t="s">
        <v>321</v>
      </c>
      <c r="Y427" s="9" t="str">
        <f t="shared" ca="1" si="32"/>
        <v>Sin costo</v>
      </c>
      <c r="Z427" t="s">
        <v>327</v>
      </c>
      <c r="AA427" t="s">
        <v>329</v>
      </c>
      <c r="AB427" t="s">
        <v>334</v>
      </c>
      <c r="AC427" s="12" t="s">
        <v>339</v>
      </c>
      <c r="AE427" t="s">
        <v>268</v>
      </c>
      <c r="AG427" s="12" t="s">
        <v>268</v>
      </c>
      <c r="AH427" t="s">
        <v>92</v>
      </c>
      <c r="AI427" s="12" t="s">
        <v>268</v>
      </c>
      <c r="AJ427" t="s">
        <v>92</v>
      </c>
      <c r="AK427" t="s">
        <v>92</v>
      </c>
      <c r="AL427" t="s">
        <v>92</v>
      </c>
      <c r="AM427" s="12" t="s">
        <v>268</v>
      </c>
      <c r="AN427" s="12" t="s">
        <v>268</v>
      </c>
      <c r="AO427" s="12" t="s">
        <v>268</v>
      </c>
      <c r="AP427" s="12" t="s">
        <v>268</v>
      </c>
      <c r="AQ427" s="12" t="s">
        <v>268</v>
      </c>
      <c r="AR427" s="28" t="str">
        <f t="shared" ca="1" si="33"/>
        <v/>
      </c>
      <c r="AS427" s="28" t="str">
        <f t="shared" ca="1" si="34"/>
        <v/>
      </c>
    </row>
    <row r="428" spans="2:45" ht="27.6" customHeight="1">
      <c r="B428">
        <f t="shared" ca="1" si="30"/>
        <v>0</v>
      </c>
      <c r="C428" t="s">
        <v>85</v>
      </c>
      <c r="D428" t="s">
        <v>92</v>
      </c>
      <c r="E428" t="s">
        <v>92</v>
      </c>
      <c r="F428" t="s">
        <v>92</v>
      </c>
      <c r="G428" t="s">
        <v>92</v>
      </c>
      <c r="H428" t="s">
        <v>92</v>
      </c>
      <c r="I428" s="12" t="s">
        <v>268</v>
      </c>
      <c r="J428" t="s">
        <v>278</v>
      </c>
      <c r="L428" t="s">
        <v>92</v>
      </c>
      <c r="N428" s="14">
        <v>1</v>
      </c>
      <c r="P428" s="12" t="s">
        <v>268</v>
      </c>
      <c r="W428" s="9" t="str">
        <f t="shared" ca="1" si="31"/>
        <v>18.5%</v>
      </c>
      <c r="X428" t="s">
        <v>321</v>
      </c>
      <c r="Y428" s="9" t="str">
        <f t="shared" ca="1" si="32"/>
        <v>Sin costo</v>
      </c>
      <c r="Z428" t="s">
        <v>327</v>
      </c>
      <c r="AA428" t="s">
        <v>329</v>
      </c>
      <c r="AB428" t="s">
        <v>334</v>
      </c>
      <c r="AC428" s="12" t="s">
        <v>339</v>
      </c>
      <c r="AE428" t="s">
        <v>268</v>
      </c>
      <c r="AG428" s="12" t="s">
        <v>268</v>
      </c>
      <c r="AH428" t="s">
        <v>92</v>
      </c>
      <c r="AI428" s="12" t="s">
        <v>268</v>
      </c>
      <c r="AJ428" t="s">
        <v>92</v>
      </c>
      <c r="AK428" t="s">
        <v>92</v>
      </c>
      <c r="AL428" t="s">
        <v>92</v>
      </c>
      <c r="AM428" s="12" t="s">
        <v>268</v>
      </c>
      <c r="AN428" s="12" t="s">
        <v>268</v>
      </c>
      <c r="AO428" s="12" t="s">
        <v>268</v>
      </c>
      <c r="AP428" s="12" t="s">
        <v>268</v>
      </c>
      <c r="AQ428" s="12" t="s">
        <v>268</v>
      </c>
      <c r="AR428" s="28" t="str">
        <f t="shared" ca="1" si="33"/>
        <v/>
      </c>
      <c r="AS428" s="28" t="str">
        <f t="shared" ca="1" si="34"/>
        <v/>
      </c>
    </row>
    <row r="429" spans="2:45" ht="27.6" customHeight="1">
      <c r="B429">
        <f t="shared" ca="1" si="30"/>
        <v>0</v>
      </c>
      <c r="C429" t="s">
        <v>85</v>
      </c>
      <c r="D429" t="s">
        <v>92</v>
      </c>
      <c r="E429" t="s">
        <v>92</v>
      </c>
      <c r="F429" t="s">
        <v>92</v>
      </c>
      <c r="G429" t="s">
        <v>92</v>
      </c>
      <c r="H429" t="s">
        <v>92</v>
      </c>
      <c r="I429" s="12" t="s">
        <v>268</v>
      </c>
      <c r="J429" t="s">
        <v>278</v>
      </c>
      <c r="L429" t="s">
        <v>92</v>
      </c>
      <c r="N429" s="14">
        <v>1</v>
      </c>
      <c r="P429" s="12" t="s">
        <v>268</v>
      </c>
      <c r="W429" s="9" t="str">
        <f t="shared" ca="1" si="31"/>
        <v>18.5%</v>
      </c>
      <c r="X429" t="s">
        <v>321</v>
      </c>
      <c r="Y429" s="9" t="str">
        <f t="shared" ca="1" si="32"/>
        <v>Sin costo</v>
      </c>
      <c r="Z429" t="s">
        <v>327</v>
      </c>
      <c r="AA429" t="s">
        <v>329</v>
      </c>
      <c r="AB429" t="s">
        <v>334</v>
      </c>
      <c r="AC429" s="12" t="s">
        <v>339</v>
      </c>
      <c r="AE429" t="s">
        <v>268</v>
      </c>
      <c r="AG429" s="12" t="s">
        <v>268</v>
      </c>
      <c r="AH429" t="s">
        <v>92</v>
      </c>
      <c r="AI429" s="12" t="s">
        <v>268</v>
      </c>
      <c r="AJ429" t="s">
        <v>92</v>
      </c>
      <c r="AK429" t="s">
        <v>92</v>
      </c>
      <c r="AL429" t="s">
        <v>92</v>
      </c>
      <c r="AM429" s="12" t="s">
        <v>268</v>
      </c>
      <c r="AN429" s="12" t="s">
        <v>268</v>
      </c>
      <c r="AO429" s="12" t="s">
        <v>268</v>
      </c>
      <c r="AP429" s="12" t="s">
        <v>268</v>
      </c>
      <c r="AQ429" s="12" t="s">
        <v>268</v>
      </c>
      <c r="AR429" s="28" t="str">
        <f t="shared" ca="1" si="33"/>
        <v/>
      </c>
      <c r="AS429" s="28" t="str">
        <f t="shared" ca="1" si="34"/>
        <v/>
      </c>
    </row>
    <row r="430" spans="2:45" ht="27.6" customHeight="1">
      <c r="B430">
        <f t="shared" ca="1" si="30"/>
        <v>0</v>
      </c>
      <c r="C430" t="s">
        <v>85</v>
      </c>
      <c r="D430" t="s">
        <v>92</v>
      </c>
      <c r="E430" t="s">
        <v>92</v>
      </c>
      <c r="F430" t="s">
        <v>92</v>
      </c>
      <c r="G430" t="s">
        <v>92</v>
      </c>
      <c r="H430" t="s">
        <v>92</v>
      </c>
      <c r="I430" s="12" t="s">
        <v>268</v>
      </c>
      <c r="J430" t="s">
        <v>278</v>
      </c>
      <c r="L430" t="s">
        <v>92</v>
      </c>
      <c r="N430" s="14">
        <v>1</v>
      </c>
      <c r="P430" s="12" t="s">
        <v>268</v>
      </c>
      <c r="W430" s="9" t="str">
        <f t="shared" ca="1" si="31"/>
        <v>18.5%</v>
      </c>
      <c r="X430" t="s">
        <v>321</v>
      </c>
      <c r="Y430" s="9" t="str">
        <f t="shared" ca="1" si="32"/>
        <v>Sin costo</v>
      </c>
      <c r="Z430" t="s">
        <v>327</v>
      </c>
      <c r="AA430" t="s">
        <v>329</v>
      </c>
      <c r="AB430" t="s">
        <v>334</v>
      </c>
      <c r="AC430" s="12" t="s">
        <v>339</v>
      </c>
      <c r="AE430" t="s">
        <v>268</v>
      </c>
      <c r="AG430" s="12" t="s">
        <v>268</v>
      </c>
      <c r="AH430" t="s">
        <v>92</v>
      </c>
      <c r="AI430" s="12" t="s">
        <v>268</v>
      </c>
      <c r="AJ430" t="s">
        <v>92</v>
      </c>
      <c r="AK430" t="s">
        <v>92</v>
      </c>
      <c r="AL430" t="s">
        <v>92</v>
      </c>
      <c r="AM430" s="12" t="s">
        <v>268</v>
      </c>
      <c r="AN430" s="12" t="s">
        <v>268</v>
      </c>
      <c r="AO430" s="12" t="s">
        <v>268</v>
      </c>
      <c r="AP430" s="12" t="s">
        <v>268</v>
      </c>
      <c r="AQ430" s="12" t="s">
        <v>268</v>
      </c>
      <c r="AR430" s="28" t="str">
        <f t="shared" ca="1" si="33"/>
        <v/>
      </c>
      <c r="AS430" s="28" t="str">
        <f t="shared" ca="1" si="34"/>
        <v/>
      </c>
    </row>
    <row r="431" spans="2:45" ht="27.6" customHeight="1">
      <c r="B431">
        <f t="shared" ca="1" si="30"/>
        <v>0</v>
      </c>
      <c r="C431" t="s">
        <v>85</v>
      </c>
      <c r="D431" t="s">
        <v>92</v>
      </c>
      <c r="E431" t="s">
        <v>92</v>
      </c>
      <c r="F431" t="s">
        <v>92</v>
      </c>
      <c r="G431" t="s">
        <v>92</v>
      </c>
      <c r="H431" t="s">
        <v>92</v>
      </c>
      <c r="I431" s="12" t="s">
        <v>268</v>
      </c>
      <c r="J431" t="s">
        <v>278</v>
      </c>
      <c r="L431" t="s">
        <v>92</v>
      </c>
      <c r="N431" s="14">
        <v>1</v>
      </c>
      <c r="P431" s="12" t="s">
        <v>268</v>
      </c>
      <c r="W431" s="9" t="str">
        <f t="shared" ca="1" si="31"/>
        <v>18.5%</v>
      </c>
      <c r="X431" t="s">
        <v>321</v>
      </c>
      <c r="Y431" s="9" t="str">
        <f t="shared" ca="1" si="32"/>
        <v>Sin costo</v>
      </c>
      <c r="Z431" t="s">
        <v>327</v>
      </c>
      <c r="AA431" t="s">
        <v>329</v>
      </c>
      <c r="AB431" t="s">
        <v>334</v>
      </c>
      <c r="AC431" s="12" t="s">
        <v>339</v>
      </c>
      <c r="AE431" t="s">
        <v>268</v>
      </c>
      <c r="AG431" s="12" t="s">
        <v>268</v>
      </c>
      <c r="AH431" t="s">
        <v>92</v>
      </c>
      <c r="AI431" s="12" t="s">
        <v>268</v>
      </c>
      <c r="AJ431" t="s">
        <v>92</v>
      </c>
      <c r="AK431" t="s">
        <v>92</v>
      </c>
      <c r="AL431" t="s">
        <v>92</v>
      </c>
      <c r="AM431" s="12" t="s">
        <v>268</v>
      </c>
      <c r="AN431" s="12" t="s">
        <v>268</v>
      </c>
      <c r="AO431" s="12" t="s">
        <v>268</v>
      </c>
      <c r="AP431" s="12" t="s">
        <v>268</v>
      </c>
      <c r="AQ431" s="12" t="s">
        <v>268</v>
      </c>
      <c r="AR431" s="28" t="str">
        <f t="shared" ca="1" si="33"/>
        <v/>
      </c>
      <c r="AS431" s="28" t="str">
        <f t="shared" ca="1" si="34"/>
        <v/>
      </c>
    </row>
    <row r="432" spans="2:45" ht="27.6" customHeight="1">
      <c r="B432">
        <f t="shared" ca="1" si="30"/>
        <v>0</v>
      </c>
      <c r="C432" t="s">
        <v>85</v>
      </c>
      <c r="D432" t="s">
        <v>92</v>
      </c>
      <c r="E432" t="s">
        <v>92</v>
      </c>
      <c r="F432" t="s">
        <v>92</v>
      </c>
      <c r="G432" t="s">
        <v>92</v>
      </c>
      <c r="H432" t="s">
        <v>92</v>
      </c>
      <c r="I432" s="12" t="s">
        <v>268</v>
      </c>
      <c r="J432" t="s">
        <v>278</v>
      </c>
      <c r="L432" t="s">
        <v>92</v>
      </c>
      <c r="N432" s="14">
        <v>1</v>
      </c>
      <c r="P432" s="12" t="s">
        <v>268</v>
      </c>
      <c r="W432" s="9" t="str">
        <f t="shared" ca="1" si="31"/>
        <v>18.5%</v>
      </c>
      <c r="X432" t="s">
        <v>321</v>
      </c>
      <c r="Y432" s="9" t="str">
        <f t="shared" ca="1" si="32"/>
        <v>Sin costo</v>
      </c>
      <c r="Z432" t="s">
        <v>327</v>
      </c>
      <c r="AA432" t="s">
        <v>329</v>
      </c>
      <c r="AB432" t="s">
        <v>334</v>
      </c>
      <c r="AC432" s="12" t="s">
        <v>339</v>
      </c>
      <c r="AE432" t="s">
        <v>268</v>
      </c>
      <c r="AG432" s="12" t="s">
        <v>268</v>
      </c>
      <c r="AH432" t="s">
        <v>92</v>
      </c>
      <c r="AI432" s="12" t="s">
        <v>268</v>
      </c>
      <c r="AJ432" t="s">
        <v>92</v>
      </c>
      <c r="AK432" t="s">
        <v>92</v>
      </c>
      <c r="AL432" t="s">
        <v>92</v>
      </c>
      <c r="AM432" s="12" t="s">
        <v>268</v>
      </c>
      <c r="AN432" s="12" t="s">
        <v>268</v>
      </c>
      <c r="AO432" s="12" t="s">
        <v>268</v>
      </c>
      <c r="AP432" s="12" t="s">
        <v>268</v>
      </c>
      <c r="AQ432" s="12" t="s">
        <v>268</v>
      </c>
      <c r="AR432" s="28" t="str">
        <f t="shared" ca="1" si="33"/>
        <v/>
      </c>
      <c r="AS432" s="28" t="str">
        <f t="shared" ca="1" si="34"/>
        <v/>
      </c>
    </row>
    <row r="433" spans="2:45" ht="27.6" customHeight="1">
      <c r="B433">
        <f t="shared" ca="1" si="30"/>
        <v>0</v>
      </c>
      <c r="C433" t="s">
        <v>85</v>
      </c>
      <c r="D433" t="s">
        <v>92</v>
      </c>
      <c r="E433" t="s">
        <v>92</v>
      </c>
      <c r="F433" t="s">
        <v>92</v>
      </c>
      <c r="G433" t="s">
        <v>92</v>
      </c>
      <c r="H433" t="s">
        <v>92</v>
      </c>
      <c r="I433" s="12" t="s">
        <v>268</v>
      </c>
      <c r="J433" t="s">
        <v>278</v>
      </c>
      <c r="L433" t="s">
        <v>92</v>
      </c>
      <c r="N433" s="14">
        <v>1</v>
      </c>
      <c r="P433" s="12" t="s">
        <v>268</v>
      </c>
      <c r="W433" s="9" t="str">
        <f t="shared" ca="1" si="31"/>
        <v>18.5%</v>
      </c>
      <c r="X433" t="s">
        <v>321</v>
      </c>
      <c r="Y433" s="9" t="str">
        <f t="shared" ca="1" si="32"/>
        <v>Sin costo</v>
      </c>
      <c r="Z433" t="s">
        <v>327</v>
      </c>
      <c r="AA433" t="s">
        <v>329</v>
      </c>
      <c r="AB433" t="s">
        <v>334</v>
      </c>
      <c r="AC433" s="12" t="s">
        <v>339</v>
      </c>
      <c r="AE433" t="s">
        <v>268</v>
      </c>
      <c r="AG433" s="12" t="s">
        <v>268</v>
      </c>
      <c r="AH433" t="s">
        <v>92</v>
      </c>
      <c r="AI433" s="12" t="s">
        <v>268</v>
      </c>
      <c r="AJ433" t="s">
        <v>92</v>
      </c>
      <c r="AK433" t="s">
        <v>92</v>
      </c>
      <c r="AL433" t="s">
        <v>92</v>
      </c>
      <c r="AM433" s="12" t="s">
        <v>268</v>
      </c>
      <c r="AN433" s="12" t="s">
        <v>268</v>
      </c>
      <c r="AO433" s="12" t="s">
        <v>268</v>
      </c>
      <c r="AP433" s="12" t="s">
        <v>268</v>
      </c>
      <c r="AQ433" s="12" t="s">
        <v>268</v>
      </c>
      <c r="AR433" s="28" t="str">
        <f t="shared" ca="1" si="33"/>
        <v/>
      </c>
      <c r="AS433" s="28" t="str">
        <f t="shared" ca="1" si="34"/>
        <v/>
      </c>
    </row>
    <row r="434" spans="2:45" ht="27.6" customHeight="1">
      <c r="B434">
        <f t="shared" ca="1" si="30"/>
        <v>0</v>
      </c>
      <c r="C434" t="s">
        <v>85</v>
      </c>
      <c r="D434" t="s">
        <v>92</v>
      </c>
      <c r="E434" t="s">
        <v>92</v>
      </c>
      <c r="F434" t="s">
        <v>92</v>
      </c>
      <c r="G434" t="s">
        <v>92</v>
      </c>
      <c r="H434" t="s">
        <v>92</v>
      </c>
      <c r="I434" s="12" t="s">
        <v>268</v>
      </c>
      <c r="J434" t="s">
        <v>278</v>
      </c>
      <c r="L434" t="s">
        <v>92</v>
      </c>
      <c r="N434" s="14">
        <v>1</v>
      </c>
      <c r="P434" s="12" t="s">
        <v>268</v>
      </c>
      <c r="W434" s="9" t="str">
        <f t="shared" ca="1" si="31"/>
        <v>18.5%</v>
      </c>
      <c r="X434" t="s">
        <v>321</v>
      </c>
      <c r="Y434" s="9" t="str">
        <f t="shared" ca="1" si="32"/>
        <v>Sin costo</v>
      </c>
      <c r="Z434" t="s">
        <v>327</v>
      </c>
      <c r="AA434" t="s">
        <v>329</v>
      </c>
      <c r="AB434" t="s">
        <v>334</v>
      </c>
      <c r="AC434" s="12" t="s">
        <v>339</v>
      </c>
      <c r="AE434" t="s">
        <v>268</v>
      </c>
      <c r="AG434" s="12" t="s">
        <v>268</v>
      </c>
      <c r="AH434" t="s">
        <v>92</v>
      </c>
      <c r="AI434" s="12" t="s">
        <v>268</v>
      </c>
      <c r="AJ434" t="s">
        <v>92</v>
      </c>
      <c r="AK434" t="s">
        <v>92</v>
      </c>
      <c r="AL434" t="s">
        <v>92</v>
      </c>
      <c r="AM434" s="12" t="s">
        <v>268</v>
      </c>
      <c r="AN434" s="12" t="s">
        <v>268</v>
      </c>
      <c r="AO434" s="12" t="s">
        <v>268</v>
      </c>
      <c r="AP434" s="12" t="s">
        <v>268</v>
      </c>
      <c r="AQ434" s="12" t="s">
        <v>268</v>
      </c>
      <c r="AR434" s="28" t="str">
        <f t="shared" ca="1" si="33"/>
        <v/>
      </c>
      <c r="AS434" s="28" t="str">
        <f t="shared" ca="1" si="34"/>
        <v/>
      </c>
    </row>
    <row r="435" spans="2:45" ht="27.6" customHeight="1">
      <c r="B435">
        <f t="shared" ca="1" si="30"/>
        <v>0</v>
      </c>
      <c r="C435" t="s">
        <v>85</v>
      </c>
      <c r="D435" t="s">
        <v>92</v>
      </c>
      <c r="E435" t="s">
        <v>92</v>
      </c>
      <c r="F435" t="s">
        <v>92</v>
      </c>
      <c r="G435" t="s">
        <v>92</v>
      </c>
      <c r="H435" t="s">
        <v>92</v>
      </c>
      <c r="I435" s="12" t="s">
        <v>268</v>
      </c>
      <c r="J435" t="s">
        <v>278</v>
      </c>
      <c r="L435" t="s">
        <v>92</v>
      </c>
      <c r="N435" s="14">
        <v>1</v>
      </c>
      <c r="P435" s="12" t="s">
        <v>268</v>
      </c>
      <c r="W435" s="9" t="str">
        <f t="shared" ca="1" si="31"/>
        <v>18.5%</v>
      </c>
      <c r="X435" t="s">
        <v>321</v>
      </c>
      <c r="Y435" s="9" t="str">
        <f t="shared" ca="1" si="32"/>
        <v>Sin costo</v>
      </c>
      <c r="Z435" t="s">
        <v>327</v>
      </c>
      <c r="AA435" t="s">
        <v>329</v>
      </c>
      <c r="AB435" t="s">
        <v>334</v>
      </c>
      <c r="AC435" s="12" t="s">
        <v>339</v>
      </c>
      <c r="AE435" t="s">
        <v>268</v>
      </c>
      <c r="AG435" s="12" t="s">
        <v>268</v>
      </c>
      <c r="AH435" t="s">
        <v>92</v>
      </c>
      <c r="AI435" s="12" t="s">
        <v>268</v>
      </c>
      <c r="AJ435" t="s">
        <v>92</v>
      </c>
      <c r="AK435" t="s">
        <v>92</v>
      </c>
      <c r="AL435" t="s">
        <v>92</v>
      </c>
      <c r="AM435" s="12" t="s">
        <v>268</v>
      </c>
      <c r="AN435" s="12" t="s">
        <v>268</v>
      </c>
      <c r="AO435" s="12" t="s">
        <v>268</v>
      </c>
      <c r="AP435" s="12" t="s">
        <v>268</v>
      </c>
      <c r="AQ435" s="12" t="s">
        <v>268</v>
      </c>
      <c r="AR435" s="28" t="str">
        <f t="shared" ca="1" si="33"/>
        <v/>
      </c>
      <c r="AS435" s="28" t="str">
        <f t="shared" ca="1" si="34"/>
        <v/>
      </c>
    </row>
    <row r="436" spans="2:45" ht="27.6" customHeight="1">
      <c r="B436">
        <f t="shared" ca="1" si="30"/>
        <v>0</v>
      </c>
      <c r="C436" t="s">
        <v>85</v>
      </c>
      <c r="D436" t="s">
        <v>92</v>
      </c>
      <c r="E436" t="s">
        <v>92</v>
      </c>
      <c r="F436" t="s">
        <v>92</v>
      </c>
      <c r="G436" t="s">
        <v>92</v>
      </c>
      <c r="H436" t="s">
        <v>92</v>
      </c>
      <c r="I436" s="12" t="s">
        <v>268</v>
      </c>
      <c r="J436" t="s">
        <v>278</v>
      </c>
      <c r="L436" t="s">
        <v>92</v>
      </c>
      <c r="N436" s="14">
        <v>1</v>
      </c>
      <c r="P436" s="12" t="s">
        <v>268</v>
      </c>
      <c r="W436" s="9" t="str">
        <f t="shared" ca="1" si="31"/>
        <v>18.5%</v>
      </c>
      <c r="X436" t="s">
        <v>321</v>
      </c>
      <c r="Y436" s="9" t="str">
        <f t="shared" ca="1" si="32"/>
        <v>Sin costo</v>
      </c>
      <c r="Z436" t="s">
        <v>327</v>
      </c>
      <c r="AA436" t="s">
        <v>329</v>
      </c>
      <c r="AB436" t="s">
        <v>334</v>
      </c>
      <c r="AC436" s="12" t="s">
        <v>339</v>
      </c>
      <c r="AE436" t="s">
        <v>268</v>
      </c>
      <c r="AG436" s="12" t="s">
        <v>268</v>
      </c>
      <c r="AH436" t="s">
        <v>92</v>
      </c>
      <c r="AI436" s="12" t="s">
        <v>268</v>
      </c>
      <c r="AJ436" t="s">
        <v>92</v>
      </c>
      <c r="AK436" t="s">
        <v>92</v>
      </c>
      <c r="AL436" t="s">
        <v>92</v>
      </c>
      <c r="AM436" s="12" t="s">
        <v>268</v>
      </c>
      <c r="AN436" s="12" t="s">
        <v>268</v>
      </c>
      <c r="AO436" s="12" t="s">
        <v>268</v>
      </c>
      <c r="AP436" s="12" t="s">
        <v>268</v>
      </c>
      <c r="AQ436" s="12" t="s">
        <v>268</v>
      </c>
      <c r="AR436" s="28" t="str">
        <f t="shared" ca="1" si="33"/>
        <v/>
      </c>
      <c r="AS436" s="28" t="str">
        <f t="shared" ca="1" si="34"/>
        <v/>
      </c>
    </row>
    <row r="437" spans="2:45" ht="27.6" customHeight="1">
      <c r="B437">
        <f t="shared" ca="1" si="30"/>
        <v>0</v>
      </c>
      <c r="C437" t="s">
        <v>85</v>
      </c>
      <c r="D437" t="s">
        <v>92</v>
      </c>
      <c r="E437" t="s">
        <v>92</v>
      </c>
      <c r="F437" t="s">
        <v>92</v>
      </c>
      <c r="G437" t="s">
        <v>92</v>
      </c>
      <c r="H437" t="s">
        <v>92</v>
      </c>
      <c r="I437" s="12" t="s">
        <v>268</v>
      </c>
      <c r="J437" t="s">
        <v>278</v>
      </c>
      <c r="L437" t="s">
        <v>92</v>
      </c>
      <c r="N437" s="14">
        <v>1</v>
      </c>
      <c r="P437" s="12" t="s">
        <v>268</v>
      </c>
      <c r="W437" s="9" t="str">
        <f t="shared" ca="1" si="31"/>
        <v>18.5%</v>
      </c>
      <c r="X437" t="s">
        <v>321</v>
      </c>
      <c r="Y437" s="9" t="str">
        <f t="shared" ca="1" si="32"/>
        <v>Sin costo</v>
      </c>
      <c r="Z437" t="s">
        <v>327</v>
      </c>
      <c r="AA437" t="s">
        <v>329</v>
      </c>
      <c r="AB437" t="s">
        <v>334</v>
      </c>
      <c r="AC437" s="12" t="s">
        <v>339</v>
      </c>
      <c r="AE437" t="s">
        <v>268</v>
      </c>
      <c r="AG437" s="12" t="s">
        <v>268</v>
      </c>
      <c r="AH437" t="s">
        <v>92</v>
      </c>
      <c r="AI437" s="12" t="s">
        <v>268</v>
      </c>
      <c r="AJ437" t="s">
        <v>92</v>
      </c>
      <c r="AK437" t="s">
        <v>92</v>
      </c>
      <c r="AL437" t="s">
        <v>92</v>
      </c>
      <c r="AM437" s="12" t="s">
        <v>268</v>
      </c>
      <c r="AN437" s="12" t="s">
        <v>268</v>
      </c>
      <c r="AO437" s="12" t="s">
        <v>268</v>
      </c>
      <c r="AP437" s="12" t="s">
        <v>268</v>
      </c>
      <c r="AQ437" s="12" t="s">
        <v>268</v>
      </c>
      <c r="AR437" s="28" t="str">
        <f t="shared" ca="1" si="33"/>
        <v/>
      </c>
      <c r="AS437" s="28" t="str">
        <f t="shared" ca="1" si="34"/>
        <v/>
      </c>
    </row>
    <row r="438" spans="2:45" ht="27.6" customHeight="1">
      <c r="B438">
        <f t="shared" ca="1" si="30"/>
        <v>0</v>
      </c>
      <c r="C438" t="s">
        <v>85</v>
      </c>
      <c r="D438" t="s">
        <v>92</v>
      </c>
      <c r="E438" t="s">
        <v>92</v>
      </c>
      <c r="F438" t="s">
        <v>92</v>
      </c>
      <c r="G438" t="s">
        <v>92</v>
      </c>
      <c r="H438" t="s">
        <v>92</v>
      </c>
      <c r="I438" s="12" t="s">
        <v>268</v>
      </c>
      <c r="J438" t="s">
        <v>278</v>
      </c>
      <c r="L438" t="s">
        <v>92</v>
      </c>
      <c r="N438" s="14">
        <v>1</v>
      </c>
      <c r="P438" s="12" t="s">
        <v>268</v>
      </c>
      <c r="W438" s="9" t="str">
        <f t="shared" ca="1" si="31"/>
        <v>18.5%</v>
      </c>
      <c r="X438" t="s">
        <v>321</v>
      </c>
      <c r="Y438" s="9" t="str">
        <f t="shared" ca="1" si="32"/>
        <v>Sin costo</v>
      </c>
      <c r="Z438" t="s">
        <v>327</v>
      </c>
      <c r="AA438" t="s">
        <v>329</v>
      </c>
      <c r="AB438" t="s">
        <v>334</v>
      </c>
      <c r="AC438" s="12" t="s">
        <v>339</v>
      </c>
      <c r="AE438" t="s">
        <v>268</v>
      </c>
      <c r="AG438" s="12" t="s">
        <v>268</v>
      </c>
      <c r="AH438" t="s">
        <v>92</v>
      </c>
      <c r="AI438" s="12" t="s">
        <v>268</v>
      </c>
      <c r="AJ438" t="s">
        <v>92</v>
      </c>
      <c r="AK438" t="s">
        <v>92</v>
      </c>
      <c r="AL438" t="s">
        <v>92</v>
      </c>
      <c r="AM438" s="12" t="s">
        <v>268</v>
      </c>
      <c r="AN438" s="12" t="s">
        <v>268</v>
      </c>
      <c r="AO438" s="12" t="s">
        <v>268</v>
      </c>
      <c r="AP438" s="12" t="s">
        <v>268</v>
      </c>
      <c r="AQ438" s="12" t="s">
        <v>268</v>
      </c>
      <c r="AR438" s="28" t="str">
        <f t="shared" ca="1" si="33"/>
        <v/>
      </c>
      <c r="AS438" s="28" t="str">
        <f t="shared" ca="1" si="34"/>
        <v/>
      </c>
    </row>
    <row r="439" spans="2:45" ht="27.6" customHeight="1">
      <c r="B439">
        <f t="shared" ca="1" si="30"/>
        <v>0</v>
      </c>
      <c r="C439" t="s">
        <v>85</v>
      </c>
      <c r="D439" t="s">
        <v>92</v>
      </c>
      <c r="E439" t="s">
        <v>92</v>
      </c>
      <c r="F439" t="s">
        <v>92</v>
      </c>
      <c r="G439" t="s">
        <v>92</v>
      </c>
      <c r="H439" t="s">
        <v>92</v>
      </c>
      <c r="I439" s="12" t="s">
        <v>268</v>
      </c>
      <c r="J439" t="s">
        <v>278</v>
      </c>
      <c r="L439" t="s">
        <v>92</v>
      </c>
      <c r="N439" s="14">
        <v>1</v>
      </c>
      <c r="P439" s="12" t="s">
        <v>268</v>
      </c>
      <c r="W439" s="9" t="str">
        <f t="shared" ca="1" si="31"/>
        <v>18.5%</v>
      </c>
      <c r="X439" t="s">
        <v>321</v>
      </c>
      <c r="Y439" s="9" t="str">
        <f t="shared" ca="1" si="32"/>
        <v>Sin costo</v>
      </c>
      <c r="Z439" t="s">
        <v>327</v>
      </c>
      <c r="AA439" t="s">
        <v>329</v>
      </c>
      <c r="AB439" t="s">
        <v>334</v>
      </c>
      <c r="AC439" s="12" t="s">
        <v>339</v>
      </c>
      <c r="AE439" t="s">
        <v>268</v>
      </c>
      <c r="AG439" s="12" t="s">
        <v>268</v>
      </c>
      <c r="AH439" t="s">
        <v>92</v>
      </c>
      <c r="AI439" s="12" t="s">
        <v>268</v>
      </c>
      <c r="AJ439" t="s">
        <v>92</v>
      </c>
      <c r="AK439" t="s">
        <v>92</v>
      </c>
      <c r="AL439" t="s">
        <v>92</v>
      </c>
      <c r="AM439" s="12" t="s">
        <v>268</v>
      </c>
      <c r="AN439" s="12" t="s">
        <v>268</v>
      </c>
      <c r="AO439" s="12" t="s">
        <v>268</v>
      </c>
      <c r="AP439" s="12" t="s">
        <v>268</v>
      </c>
      <c r="AQ439" s="12" t="s">
        <v>268</v>
      </c>
      <c r="AR439" s="28" t="str">
        <f t="shared" ca="1" si="33"/>
        <v/>
      </c>
      <c r="AS439" s="28" t="str">
        <f t="shared" ca="1" si="34"/>
        <v/>
      </c>
    </row>
    <row r="440" spans="2:45" ht="27.6" customHeight="1">
      <c r="B440">
        <f t="shared" ca="1" si="30"/>
        <v>0</v>
      </c>
      <c r="C440" t="s">
        <v>85</v>
      </c>
      <c r="D440" t="s">
        <v>92</v>
      </c>
      <c r="E440" t="s">
        <v>92</v>
      </c>
      <c r="F440" t="s">
        <v>92</v>
      </c>
      <c r="G440" t="s">
        <v>92</v>
      </c>
      <c r="H440" t="s">
        <v>92</v>
      </c>
      <c r="I440" s="12" t="s">
        <v>268</v>
      </c>
      <c r="J440" t="s">
        <v>278</v>
      </c>
      <c r="L440" t="s">
        <v>92</v>
      </c>
      <c r="N440" s="14">
        <v>1</v>
      </c>
      <c r="P440" s="12" t="s">
        <v>268</v>
      </c>
      <c r="W440" s="9" t="str">
        <f t="shared" ca="1" si="31"/>
        <v>18.5%</v>
      </c>
      <c r="X440" t="s">
        <v>321</v>
      </c>
      <c r="Y440" s="9" t="str">
        <f t="shared" ca="1" si="32"/>
        <v>Sin costo</v>
      </c>
      <c r="Z440" t="s">
        <v>327</v>
      </c>
      <c r="AA440" t="s">
        <v>329</v>
      </c>
      <c r="AB440" t="s">
        <v>334</v>
      </c>
      <c r="AC440" s="12" t="s">
        <v>339</v>
      </c>
      <c r="AE440" t="s">
        <v>268</v>
      </c>
      <c r="AG440" s="12" t="s">
        <v>268</v>
      </c>
      <c r="AH440" t="s">
        <v>92</v>
      </c>
      <c r="AI440" s="12" t="s">
        <v>268</v>
      </c>
      <c r="AJ440" t="s">
        <v>92</v>
      </c>
      <c r="AK440" t="s">
        <v>92</v>
      </c>
      <c r="AL440" t="s">
        <v>92</v>
      </c>
      <c r="AM440" s="12" t="s">
        <v>268</v>
      </c>
      <c r="AN440" s="12" t="s">
        <v>268</v>
      </c>
      <c r="AO440" s="12" t="s">
        <v>268</v>
      </c>
      <c r="AP440" s="12" t="s">
        <v>268</v>
      </c>
      <c r="AQ440" s="12" t="s">
        <v>268</v>
      </c>
      <c r="AR440" s="28" t="str">
        <f t="shared" ca="1" si="33"/>
        <v/>
      </c>
      <c r="AS440" s="28" t="str">
        <f t="shared" ca="1" si="34"/>
        <v/>
      </c>
    </row>
    <row r="441" spans="2:45" ht="27.6" customHeight="1">
      <c r="B441">
        <f t="shared" ca="1" si="30"/>
        <v>0</v>
      </c>
      <c r="C441" t="s">
        <v>85</v>
      </c>
      <c r="D441" t="s">
        <v>92</v>
      </c>
      <c r="E441" t="s">
        <v>92</v>
      </c>
      <c r="F441" t="s">
        <v>92</v>
      </c>
      <c r="G441" t="s">
        <v>92</v>
      </c>
      <c r="H441" t="s">
        <v>92</v>
      </c>
      <c r="I441" s="12" t="s">
        <v>268</v>
      </c>
      <c r="J441" t="s">
        <v>278</v>
      </c>
      <c r="L441" t="s">
        <v>92</v>
      </c>
      <c r="N441" s="14">
        <v>1</v>
      </c>
      <c r="P441" s="12" t="s">
        <v>268</v>
      </c>
      <c r="W441" s="9" t="str">
        <f t="shared" ca="1" si="31"/>
        <v>18.5%</v>
      </c>
      <c r="X441" t="s">
        <v>321</v>
      </c>
      <c r="Y441" s="9" t="str">
        <f t="shared" ca="1" si="32"/>
        <v>Sin costo</v>
      </c>
      <c r="Z441" t="s">
        <v>327</v>
      </c>
      <c r="AA441" t="s">
        <v>329</v>
      </c>
      <c r="AB441" t="s">
        <v>334</v>
      </c>
      <c r="AC441" s="12" t="s">
        <v>339</v>
      </c>
      <c r="AE441" t="s">
        <v>268</v>
      </c>
      <c r="AG441" s="12" t="s">
        <v>268</v>
      </c>
      <c r="AH441" t="s">
        <v>92</v>
      </c>
      <c r="AI441" s="12" t="s">
        <v>268</v>
      </c>
      <c r="AJ441" t="s">
        <v>92</v>
      </c>
      <c r="AK441" t="s">
        <v>92</v>
      </c>
      <c r="AL441" t="s">
        <v>92</v>
      </c>
      <c r="AM441" s="12" t="s">
        <v>268</v>
      </c>
      <c r="AN441" s="12" t="s">
        <v>268</v>
      </c>
      <c r="AO441" s="12" t="s">
        <v>268</v>
      </c>
      <c r="AP441" s="12" t="s">
        <v>268</v>
      </c>
      <c r="AQ441" s="12" t="s">
        <v>268</v>
      </c>
      <c r="AR441" s="28" t="str">
        <f t="shared" ca="1" si="33"/>
        <v/>
      </c>
      <c r="AS441" s="28" t="str">
        <f t="shared" ca="1" si="34"/>
        <v/>
      </c>
    </row>
    <row r="442" spans="2:45" ht="27.6" customHeight="1">
      <c r="B442">
        <f t="shared" ca="1" si="30"/>
        <v>0</v>
      </c>
      <c r="C442" t="s">
        <v>85</v>
      </c>
      <c r="D442" t="s">
        <v>92</v>
      </c>
      <c r="E442" t="s">
        <v>92</v>
      </c>
      <c r="F442" t="s">
        <v>92</v>
      </c>
      <c r="G442" t="s">
        <v>92</v>
      </c>
      <c r="H442" t="s">
        <v>92</v>
      </c>
      <c r="I442" s="12" t="s">
        <v>268</v>
      </c>
      <c r="J442" t="s">
        <v>278</v>
      </c>
      <c r="L442" t="s">
        <v>92</v>
      </c>
      <c r="N442" s="14">
        <v>1</v>
      </c>
      <c r="P442" s="12" t="s">
        <v>268</v>
      </c>
      <c r="W442" s="9" t="str">
        <f t="shared" ca="1" si="31"/>
        <v>18.5%</v>
      </c>
      <c r="X442" t="s">
        <v>321</v>
      </c>
      <c r="Y442" s="9" t="str">
        <f t="shared" ca="1" si="32"/>
        <v>Sin costo</v>
      </c>
      <c r="Z442" t="s">
        <v>327</v>
      </c>
      <c r="AA442" t="s">
        <v>329</v>
      </c>
      <c r="AB442" t="s">
        <v>334</v>
      </c>
      <c r="AC442" s="12" t="s">
        <v>339</v>
      </c>
      <c r="AE442" t="s">
        <v>268</v>
      </c>
      <c r="AG442" s="12" t="s">
        <v>268</v>
      </c>
      <c r="AH442" t="s">
        <v>92</v>
      </c>
      <c r="AI442" s="12" t="s">
        <v>268</v>
      </c>
      <c r="AJ442" t="s">
        <v>92</v>
      </c>
      <c r="AK442" t="s">
        <v>92</v>
      </c>
      <c r="AL442" t="s">
        <v>92</v>
      </c>
      <c r="AM442" s="12" t="s">
        <v>268</v>
      </c>
      <c r="AN442" s="12" t="s">
        <v>268</v>
      </c>
      <c r="AO442" s="12" t="s">
        <v>268</v>
      </c>
      <c r="AP442" s="12" t="s">
        <v>268</v>
      </c>
      <c r="AQ442" s="12" t="s">
        <v>268</v>
      </c>
      <c r="AR442" s="28" t="str">
        <f t="shared" ca="1" si="33"/>
        <v/>
      </c>
      <c r="AS442" s="28" t="str">
        <f t="shared" ca="1" si="34"/>
        <v/>
      </c>
    </row>
    <row r="443" spans="2:45" ht="27.6" customHeight="1">
      <c r="B443">
        <f t="shared" ca="1" si="30"/>
        <v>0</v>
      </c>
      <c r="C443" t="s">
        <v>85</v>
      </c>
      <c r="D443" t="s">
        <v>92</v>
      </c>
      <c r="E443" t="s">
        <v>92</v>
      </c>
      <c r="F443" t="s">
        <v>92</v>
      </c>
      <c r="G443" t="s">
        <v>92</v>
      </c>
      <c r="H443" t="s">
        <v>92</v>
      </c>
      <c r="I443" s="12" t="s">
        <v>268</v>
      </c>
      <c r="J443" t="s">
        <v>278</v>
      </c>
      <c r="L443" t="s">
        <v>92</v>
      </c>
      <c r="N443" s="14">
        <v>1</v>
      </c>
      <c r="P443" s="12" t="s">
        <v>268</v>
      </c>
      <c r="W443" s="9" t="str">
        <f t="shared" ca="1" si="31"/>
        <v>18.5%</v>
      </c>
      <c r="X443" t="s">
        <v>321</v>
      </c>
      <c r="Y443" s="9" t="str">
        <f t="shared" ca="1" si="32"/>
        <v>Sin costo</v>
      </c>
      <c r="Z443" t="s">
        <v>327</v>
      </c>
      <c r="AA443" t="s">
        <v>329</v>
      </c>
      <c r="AB443" t="s">
        <v>334</v>
      </c>
      <c r="AC443" s="12" t="s">
        <v>339</v>
      </c>
      <c r="AE443" t="s">
        <v>268</v>
      </c>
      <c r="AG443" s="12" t="s">
        <v>268</v>
      </c>
      <c r="AH443" t="s">
        <v>92</v>
      </c>
      <c r="AI443" s="12" t="s">
        <v>268</v>
      </c>
      <c r="AJ443" t="s">
        <v>92</v>
      </c>
      <c r="AK443" t="s">
        <v>92</v>
      </c>
      <c r="AL443" t="s">
        <v>92</v>
      </c>
      <c r="AM443" s="12" t="s">
        <v>268</v>
      </c>
      <c r="AN443" s="12" t="s">
        <v>268</v>
      </c>
      <c r="AO443" s="12" t="s">
        <v>268</v>
      </c>
      <c r="AP443" s="12" t="s">
        <v>268</v>
      </c>
      <c r="AQ443" s="12" t="s">
        <v>268</v>
      </c>
      <c r="AR443" s="28" t="str">
        <f t="shared" ca="1" si="33"/>
        <v/>
      </c>
      <c r="AS443" s="28" t="str">
        <f t="shared" ca="1" si="34"/>
        <v/>
      </c>
    </row>
    <row r="444" spans="2:45" ht="27.6" customHeight="1">
      <c r="B444">
        <f t="shared" ca="1" si="30"/>
        <v>0</v>
      </c>
      <c r="C444" t="s">
        <v>85</v>
      </c>
      <c r="D444" t="s">
        <v>92</v>
      </c>
      <c r="E444" t="s">
        <v>92</v>
      </c>
      <c r="F444" t="s">
        <v>92</v>
      </c>
      <c r="G444" t="s">
        <v>92</v>
      </c>
      <c r="H444" t="s">
        <v>92</v>
      </c>
      <c r="I444" s="12" t="s">
        <v>268</v>
      </c>
      <c r="J444" t="s">
        <v>278</v>
      </c>
      <c r="L444" t="s">
        <v>92</v>
      </c>
      <c r="N444" s="14">
        <v>1</v>
      </c>
      <c r="P444" s="12" t="s">
        <v>268</v>
      </c>
      <c r="W444" s="9" t="str">
        <f t="shared" ca="1" si="31"/>
        <v>18.5%</v>
      </c>
      <c r="X444" t="s">
        <v>321</v>
      </c>
      <c r="Y444" s="9" t="str">
        <f t="shared" ca="1" si="32"/>
        <v>Sin costo</v>
      </c>
      <c r="Z444" t="s">
        <v>327</v>
      </c>
      <c r="AA444" t="s">
        <v>329</v>
      </c>
      <c r="AB444" t="s">
        <v>334</v>
      </c>
      <c r="AC444" s="12" t="s">
        <v>339</v>
      </c>
      <c r="AE444" t="s">
        <v>268</v>
      </c>
      <c r="AG444" s="12" t="s">
        <v>268</v>
      </c>
      <c r="AH444" t="s">
        <v>92</v>
      </c>
      <c r="AI444" s="12" t="s">
        <v>268</v>
      </c>
      <c r="AJ444" t="s">
        <v>92</v>
      </c>
      <c r="AK444" t="s">
        <v>92</v>
      </c>
      <c r="AL444" t="s">
        <v>92</v>
      </c>
      <c r="AM444" s="12" t="s">
        <v>268</v>
      </c>
      <c r="AN444" s="12" t="s">
        <v>268</v>
      </c>
      <c r="AO444" s="12" t="s">
        <v>268</v>
      </c>
      <c r="AP444" s="12" t="s">
        <v>268</v>
      </c>
      <c r="AQ444" s="12" t="s">
        <v>268</v>
      </c>
      <c r="AR444" s="28" t="str">
        <f t="shared" ca="1" si="33"/>
        <v/>
      </c>
      <c r="AS444" s="28" t="str">
        <f t="shared" ca="1" si="34"/>
        <v/>
      </c>
    </row>
    <row r="445" spans="2:45" ht="27.6" customHeight="1">
      <c r="B445">
        <f t="shared" ca="1" si="30"/>
        <v>0</v>
      </c>
      <c r="C445" t="s">
        <v>85</v>
      </c>
      <c r="D445" t="s">
        <v>92</v>
      </c>
      <c r="E445" t="s">
        <v>92</v>
      </c>
      <c r="F445" t="s">
        <v>92</v>
      </c>
      <c r="G445" t="s">
        <v>92</v>
      </c>
      <c r="H445" t="s">
        <v>92</v>
      </c>
      <c r="I445" s="12" t="s">
        <v>268</v>
      </c>
      <c r="J445" t="s">
        <v>278</v>
      </c>
      <c r="L445" t="s">
        <v>92</v>
      </c>
      <c r="N445" s="14">
        <v>1</v>
      </c>
      <c r="P445" s="12" t="s">
        <v>268</v>
      </c>
      <c r="W445" s="9" t="str">
        <f t="shared" ca="1" si="31"/>
        <v>18.5%</v>
      </c>
      <c r="X445" t="s">
        <v>321</v>
      </c>
      <c r="Y445" s="9" t="str">
        <f t="shared" ca="1" si="32"/>
        <v>Sin costo</v>
      </c>
      <c r="Z445" t="s">
        <v>327</v>
      </c>
      <c r="AA445" t="s">
        <v>329</v>
      </c>
      <c r="AB445" t="s">
        <v>334</v>
      </c>
      <c r="AC445" s="12" t="s">
        <v>339</v>
      </c>
      <c r="AE445" t="s">
        <v>268</v>
      </c>
      <c r="AG445" s="12" t="s">
        <v>268</v>
      </c>
      <c r="AH445" t="s">
        <v>92</v>
      </c>
      <c r="AI445" s="12" t="s">
        <v>268</v>
      </c>
      <c r="AJ445" t="s">
        <v>92</v>
      </c>
      <c r="AK445" t="s">
        <v>92</v>
      </c>
      <c r="AL445" t="s">
        <v>92</v>
      </c>
      <c r="AM445" s="12" t="s">
        <v>268</v>
      </c>
      <c r="AN445" s="12" t="s">
        <v>268</v>
      </c>
      <c r="AO445" s="12" t="s">
        <v>268</v>
      </c>
      <c r="AP445" s="12" t="s">
        <v>268</v>
      </c>
      <c r="AQ445" s="12" t="s">
        <v>268</v>
      </c>
      <c r="AR445" s="28" t="str">
        <f t="shared" ca="1" si="33"/>
        <v/>
      </c>
      <c r="AS445" s="28" t="str">
        <f t="shared" ca="1" si="34"/>
        <v/>
      </c>
    </row>
    <row r="446" spans="2:45" ht="27.6" customHeight="1">
      <c r="B446">
        <f t="shared" ca="1" si="30"/>
        <v>0</v>
      </c>
      <c r="C446" t="s">
        <v>85</v>
      </c>
      <c r="D446" t="s">
        <v>92</v>
      </c>
      <c r="E446" t="s">
        <v>92</v>
      </c>
      <c r="F446" t="s">
        <v>92</v>
      </c>
      <c r="G446" t="s">
        <v>92</v>
      </c>
      <c r="H446" t="s">
        <v>92</v>
      </c>
      <c r="I446" s="12" t="s">
        <v>268</v>
      </c>
      <c r="J446" t="s">
        <v>278</v>
      </c>
      <c r="L446" t="s">
        <v>92</v>
      </c>
      <c r="N446" s="14">
        <v>1</v>
      </c>
      <c r="P446" s="12" t="s">
        <v>268</v>
      </c>
      <c r="W446" s="9" t="str">
        <f t="shared" ca="1" si="31"/>
        <v>18.5%</v>
      </c>
      <c r="X446" t="s">
        <v>321</v>
      </c>
      <c r="Y446" s="9" t="str">
        <f t="shared" ca="1" si="32"/>
        <v>Sin costo</v>
      </c>
      <c r="Z446" t="s">
        <v>327</v>
      </c>
      <c r="AA446" t="s">
        <v>329</v>
      </c>
      <c r="AB446" t="s">
        <v>334</v>
      </c>
      <c r="AC446" s="12" t="s">
        <v>339</v>
      </c>
      <c r="AE446" t="s">
        <v>268</v>
      </c>
      <c r="AG446" s="12" t="s">
        <v>268</v>
      </c>
      <c r="AH446" t="s">
        <v>92</v>
      </c>
      <c r="AI446" s="12" t="s">
        <v>268</v>
      </c>
      <c r="AJ446" t="s">
        <v>92</v>
      </c>
      <c r="AK446" t="s">
        <v>92</v>
      </c>
      <c r="AL446" t="s">
        <v>92</v>
      </c>
      <c r="AM446" s="12" t="s">
        <v>268</v>
      </c>
      <c r="AN446" s="12" t="s">
        <v>268</v>
      </c>
      <c r="AO446" s="12" t="s">
        <v>268</v>
      </c>
      <c r="AP446" s="12" t="s">
        <v>268</v>
      </c>
      <c r="AQ446" s="12" t="s">
        <v>268</v>
      </c>
      <c r="AR446" s="28" t="str">
        <f t="shared" ca="1" si="33"/>
        <v/>
      </c>
      <c r="AS446" s="28" t="str">
        <f t="shared" ca="1" si="34"/>
        <v/>
      </c>
    </row>
    <row r="447" spans="2:45" ht="27.6" customHeight="1">
      <c r="B447">
        <f t="shared" ca="1" si="30"/>
        <v>0</v>
      </c>
      <c r="C447" t="s">
        <v>85</v>
      </c>
      <c r="D447" t="s">
        <v>92</v>
      </c>
      <c r="E447" t="s">
        <v>92</v>
      </c>
      <c r="F447" t="s">
        <v>92</v>
      </c>
      <c r="G447" t="s">
        <v>92</v>
      </c>
      <c r="H447" t="s">
        <v>92</v>
      </c>
      <c r="I447" s="12" t="s">
        <v>268</v>
      </c>
      <c r="J447" t="s">
        <v>278</v>
      </c>
      <c r="L447" t="s">
        <v>92</v>
      </c>
      <c r="N447" s="14">
        <v>1</v>
      </c>
      <c r="P447" s="12" t="s">
        <v>268</v>
      </c>
      <c r="W447" s="9" t="str">
        <f t="shared" ca="1" si="31"/>
        <v>18.5%</v>
      </c>
      <c r="X447" t="s">
        <v>321</v>
      </c>
      <c r="Y447" s="9" t="str">
        <f t="shared" ca="1" si="32"/>
        <v>Sin costo</v>
      </c>
      <c r="Z447" t="s">
        <v>327</v>
      </c>
      <c r="AA447" t="s">
        <v>329</v>
      </c>
      <c r="AB447" t="s">
        <v>334</v>
      </c>
      <c r="AC447" s="12" t="s">
        <v>339</v>
      </c>
      <c r="AE447" t="s">
        <v>268</v>
      </c>
      <c r="AG447" s="12" t="s">
        <v>268</v>
      </c>
      <c r="AH447" t="s">
        <v>92</v>
      </c>
      <c r="AI447" s="12" t="s">
        <v>268</v>
      </c>
      <c r="AJ447" t="s">
        <v>92</v>
      </c>
      <c r="AK447" t="s">
        <v>92</v>
      </c>
      <c r="AL447" t="s">
        <v>92</v>
      </c>
      <c r="AM447" s="12" t="s">
        <v>268</v>
      </c>
      <c r="AN447" s="12" t="s">
        <v>268</v>
      </c>
      <c r="AO447" s="12" t="s">
        <v>268</v>
      </c>
      <c r="AP447" s="12" t="s">
        <v>268</v>
      </c>
      <c r="AQ447" s="12" t="s">
        <v>268</v>
      </c>
      <c r="AR447" s="28" t="str">
        <f t="shared" ca="1" si="33"/>
        <v/>
      </c>
      <c r="AS447" s="28" t="str">
        <f t="shared" ca="1" si="34"/>
        <v/>
      </c>
    </row>
    <row r="448" spans="2:45" ht="27.6" customHeight="1">
      <c r="B448">
        <f t="shared" ca="1" si="30"/>
        <v>0</v>
      </c>
      <c r="C448" t="s">
        <v>85</v>
      </c>
      <c r="D448" t="s">
        <v>92</v>
      </c>
      <c r="E448" t="s">
        <v>92</v>
      </c>
      <c r="F448" t="s">
        <v>92</v>
      </c>
      <c r="G448" t="s">
        <v>92</v>
      </c>
      <c r="H448" t="s">
        <v>92</v>
      </c>
      <c r="I448" s="12" t="s">
        <v>268</v>
      </c>
      <c r="J448" t="s">
        <v>278</v>
      </c>
      <c r="L448" t="s">
        <v>92</v>
      </c>
      <c r="N448" s="14">
        <v>1</v>
      </c>
      <c r="P448" s="12" t="s">
        <v>268</v>
      </c>
      <c r="W448" s="9" t="str">
        <f t="shared" ca="1" si="31"/>
        <v>18.5%</v>
      </c>
      <c r="X448" t="s">
        <v>321</v>
      </c>
      <c r="Y448" s="9" t="str">
        <f t="shared" ca="1" si="32"/>
        <v>Sin costo</v>
      </c>
      <c r="Z448" t="s">
        <v>327</v>
      </c>
      <c r="AA448" t="s">
        <v>329</v>
      </c>
      <c r="AB448" t="s">
        <v>334</v>
      </c>
      <c r="AC448" s="12" t="s">
        <v>339</v>
      </c>
      <c r="AE448" t="s">
        <v>268</v>
      </c>
      <c r="AG448" s="12" t="s">
        <v>268</v>
      </c>
      <c r="AH448" t="s">
        <v>92</v>
      </c>
      <c r="AI448" s="12" t="s">
        <v>268</v>
      </c>
      <c r="AJ448" t="s">
        <v>92</v>
      </c>
      <c r="AK448" t="s">
        <v>92</v>
      </c>
      <c r="AL448" t="s">
        <v>92</v>
      </c>
      <c r="AM448" s="12" t="s">
        <v>268</v>
      </c>
      <c r="AN448" s="12" t="s">
        <v>268</v>
      </c>
      <c r="AO448" s="12" t="s">
        <v>268</v>
      </c>
      <c r="AP448" s="12" t="s">
        <v>268</v>
      </c>
      <c r="AQ448" s="12" t="s">
        <v>268</v>
      </c>
      <c r="AR448" s="28" t="str">
        <f t="shared" ca="1" si="33"/>
        <v/>
      </c>
      <c r="AS448" s="28" t="str">
        <f t="shared" ca="1" si="34"/>
        <v/>
      </c>
    </row>
    <row r="449" spans="2:45" ht="27.6" customHeight="1">
      <c r="B449">
        <f t="shared" ca="1" si="30"/>
        <v>0</v>
      </c>
      <c r="C449" t="s">
        <v>85</v>
      </c>
      <c r="D449" t="s">
        <v>92</v>
      </c>
      <c r="E449" t="s">
        <v>92</v>
      </c>
      <c r="F449" t="s">
        <v>92</v>
      </c>
      <c r="G449" t="s">
        <v>92</v>
      </c>
      <c r="H449" t="s">
        <v>92</v>
      </c>
      <c r="I449" s="12" t="s">
        <v>268</v>
      </c>
      <c r="J449" t="s">
        <v>278</v>
      </c>
      <c r="L449" t="s">
        <v>92</v>
      </c>
      <c r="N449" s="14">
        <v>1</v>
      </c>
      <c r="P449" s="12" t="s">
        <v>268</v>
      </c>
      <c r="W449" s="9" t="str">
        <f t="shared" ca="1" si="31"/>
        <v>18.5%</v>
      </c>
      <c r="X449" t="s">
        <v>321</v>
      </c>
      <c r="Y449" s="9" t="str">
        <f t="shared" ca="1" si="32"/>
        <v>Sin costo</v>
      </c>
      <c r="Z449" t="s">
        <v>327</v>
      </c>
      <c r="AA449" t="s">
        <v>329</v>
      </c>
      <c r="AB449" t="s">
        <v>334</v>
      </c>
      <c r="AC449" s="12" t="s">
        <v>339</v>
      </c>
      <c r="AE449" t="s">
        <v>268</v>
      </c>
      <c r="AG449" s="12" t="s">
        <v>268</v>
      </c>
      <c r="AH449" t="s">
        <v>92</v>
      </c>
      <c r="AI449" s="12" t="s">
        <v>268</v>
      </c>
      <c r="AJ449" t="s">
        <v>92</v>
      </c>
      <c r="AK449" t="s">
        <v>92</v>
      </c>
      <c r="AL449" t="s">
        <v>92</v>
      </c>
      <c r="AM449" s="12" t="s">
        <v>268</v>
      </c>
      <c r="AN449" s="12" t="s">
        <v>268</v>
      </c>
      <c r="AO449" s="12" t="s">
        <v>268</v>
      </c>
      <c r="AP449" s="12" t="s">
        <v>268</v>
      </c>
      <c r="AQ449" s="12" t="s">
        <v>268</v>
      </c>
      <c r="AR449" s="28" t="str">
        <f t="shared" ca="1" si="33"/>
        <v/>
      </c>
      <c r="AS449" s="28" t="str">
        <f t="shared" ca="1" si="34"/>
        <v/>
      </c>
    </row>
    <row r="450" spans="2:45" ht="27.6" customHeight="1">
      <c r="B450">
        <f t="shared" ca="1" si="30"/>
        <v>0</v>
      </c>
      <c r="C450" t="s">
        <v>85</v>
      </c>
      <c r="D450" t="s">
        <v>92</v>
      </c>
      <c r="E450" t="s">
        <v>92</v>
      </c>
      <c r="F450" t="s">
        <v>92</v>
      </c>
      <c r="G450" t="s">
        <v>92</v>
      </c>
      <c r="H450" t="s">
        <v>92</v>
      </c>
      <c r="I450" s="12" t="s">
        <v>268</v>
      </c>
      <c r="J450" t="s">
        <v>278</v>
      </c>
      <c r="L450" t="s">
        <v>92</v>
      </c>
      <c r="N450" s="14">
        <v>1</v>
      </c>
      <c r="P450" s="12" t="s">
        <v>268</v>
      </c>
      <c r="W450" s="9" t="str">
        <f t="shared" ca="1" si="31"/>
        <v>18.5%</v>
      </c>
      <c r="X450" t="s">
        <v>321</v>
      </c>
      <c r="Y450" s="9" t="str">
        <f t="shared" ca="1" si="32"/>
        <v>Sin costo</v>
      </c>
      <c r="Z450" t="s">
        <v>327</v>
      </c>
      <c r="AA450" t="s">
        <v>329</v>
      </c>
      <c r="AB450" t="s">
        <v>334</v>
      </c>
      <c r="AC450" s="12" t="s">
        <v>339</v>
      </c>
      <c r="AE450" t="s">
        <v>268</v>
      </c>
      <c r="AG450" s="12" t="s">
        <v>268</v>
      </c>
      <c r="AH450" t="s">
        <v>92</v>
      </c>
      <c r="AI450" s="12" t="s">
        <v>268</v>
      </c>
      <c r="AJ450" t="s">
        <v>92</v>
      </c>
      <c r="AK450" t="s">
        <v>92</v>
      </c>
      <c r="AL450" t="s">
        <v>92</v>
      </c>
      <c r="AM450" s="12" t="s">
        <v>268</v>
      </c>
      <c r="AN450" s="12" t="s">
        <v>268</v>
      </c>
      <c r="AO450" s="12" t="s">
        <v>268</v>
      </c>
      <c r="AP450" s="12" t="s">
        <v>268</v>
      </c>
      <c r="AQ450" s="12" t="s">
        <v>268</v>
      </c>
      <c r="AR450" s="28" t="str">
        <f t="shared" ca="1" si="33"/>
        <v/>
      </c>
      <c r="AS450" s="28" t="str">
        <f t="shared" ca="1" si="34"/>
        <v/>
      </c>
    </row>
    <row r="451" spans="2:45" ht="27.6" customHeight="1">
      <c r="B451">
        <f t="shared" ca="1" si="30"/>
        <v>0</v>
      </c>
      <c r="C451" t="s">
        <v>85</v>
      </c>
      <c r="D451" t="s">
        <v>92</v>
      </c>
      <c r="E451" t="s">
        <v>92</v>
      </c>
      <c r="F451" t="s">
        <v>92</v>
      </c>
      <c r="G451" t="s">
        <v>92</v>
      </c>
      <c r="H451" t="s">
        <v>92</v>
      </c>
      <c r="I451" s="12" t="s">
        <v>268</v>
      </c>
      <c r="J451" t="s">
        <v>278</v>
      </c>
      <c r="L451" t="s">
        <v>92</v>
      </c>
      <c r="N451" s="14">
        <v>1</v>
      </c>
      <c r="P451" s="12" t="s">
        <v>268</v>
      </c>
      <c r="W451" s="9" t="str">
        <f t="shared" ca="1" si="31"/>
        <v>18.5%</v>
      </c>
      <c r="X451" t="s">
        <v>321</v>
      </c>
      <c r="Y451" s="9" t="str">
        <f t="shared" ca="1" si="32"/>
        <v>Sin costo</v>
      </c>
      <c r="Z451" t="s">
        <v>327</v>
      </c>
      <c r="AA451" t="s">
        <v>329</v>
      </c>
      <c r="AB451" t="s">
        <v>334</v>
      </c>
      <c r="AC451" s="12" t="s">
        <v>339</v>
      </c>
      <c r="AE451" t="s">
        <v>268</v>
      </c>
      <c r="AG451" s="12" t="s">
        <v>268</v>
      </c>
      <c r="AH451" t="s">
        <v>92</v>
      </c>
      <c r="AI451" s="12" t="s">
        <v>268</v>
      </c>
      <c r="AJ451" t="s">
        <v>92</v>
      </c>
      <c r="AK451" t="s">
        <v>92</v>
      </c>
      <c r="AL451" t="s">
        <v>92</v>
      </c>
      <c r="AM451" s="12" t="s">
        <v>268</v>
      </c>
      <c r="AN451" s="12" t="s">
        <v>268</v>
      </c>
      <c r="AO451" s="12" t="s">
        <v>268</v>
      </c>
      <c r="AP451" s="12" t="s">
        <v>268</v>
      </c>
      <c r="AQ451" s="12" t="s">
        <v>268</v>
      </c>
      <c r="AR451" s="28" t="str">
        <f t="shared" ca="1" si="33"/>
        <v/>
      </c>
      <c r="AS451" s="28" t="str">
        <f t="shared" ca="1" si="34"/>
        <v/>
      </c>
    </row>
    <row r="452" spans="2:45" ht="27.6" customHeight="1">
      <c r="B452">
        <f t="shared" ca="1" si="30"/>
        <v>0</v>
      </c>
      <c r="C452" t="s">
        <v>85</v>
      </c>
      <c r="D452" t="s">
        <v>92</v>
      </c>
      <c r="E452" t="s">
        <v>92</v>
      </c>
      <c r="F452" t="s">
        <v>92</v>
      </c>
      <c r="G452" t="s">
        <v>92</v>
      </c>
      <c r="H452" t="s">
        <v>92</v>
      </c>
      <c r="I452" s="12" t="s">
        <v>268</v>
      </c>
      <c r="J452" t="s">
        <v>278</v>
      </c>
      <c r="L452" t="s">
        <v>92</v>
      </c>
      <c r="N452" s="14">
        <v>1</v>
      </c>
      <c r="P452" s="12" t="s">
        <v>268</v>
      </c>
      <c r="W452" s="9" t="str">
        <f t="shared" ca="1" si="31"/>
        <v>18.5%</v>
      </c>
      <c r="X452" t="s">
        <v>321</v>
      </c>
      <c r="Y452" s="9" t="str">
        <f t="shared" ca="1" si="32"/>
        <v>Sin costo</v>
      </c>
      <c r="Z452" t="s">
        <v>327</v>
      </c>
      <c r="AA452" t="s">
        <v>329</v>
      </c>
      <c r="AB452" t="s">
        <v>334</v>
      </c>
      <c r="AC452" s="12" t="s">
        <v>339</v>
      </c>
      <c r="AE452" t="s">
        <v>268</v>
      </c>
      <c r="AG452" s="12" t="s">
        <v>268</v>
      </c>
      <c r="AH452" t="s">
        <v>92</v>
      </c>
      <c r="AI452" s="12" t="s">
        <v>268</v>
      </c>
      <c r="AJ452" t="s">
        <v>92</v>
      </c>
      <c r="AK452" t="s">
        <v>92</v>
      </c>
      <c r="AL452" t="s">
        <v>92</v>
      </c>
      <c r="AM452" s="12" t="s">
        <v>268</v>
      </c>
      <c r="AN452" s="12" t="s">
        <v>268</v>
      </c>
      <c r="AO452" s="12" t="s">
        <v>268</v>
      </c>
      <c r="AP452" s="12" t="s">
        <v>268</v>
      </c>
      <c r="AQ452" s="12" t="s">
        <v>268</v>
      </c>
      <c r="AR452" s="28" t="str">
        <f t="shared" ca="1" si="33"/>
        <v/>
      </c>
      <c r="AS452" s="28" t="str">
        <f t="shared" ca="1" si="34"/>
        <v/>
      </c>
    </row>
    <row r="453" spans="2:45" ht="27.6" customHeight="1">
      <c r="B453">
        <f t="shared" ca="1" si="30"/>
        <v>0</v>
      </c>
      <c r="C453" t="s">
        <v>85</v>
      </c>
      <c r="D453" t="s">
        <v>92</v>
      </c>
      <c r="E453" t="s">
        <v>92</v>
      </c>
      <c r="F453" t="s">
        <v>92</v>
      </c>
      <c r="G453" t="s">
        <v>92</v>
      </c>
      <c r="H453" t="s">
        <v>92</v>
      </c>
      <c r="I453" s="12" t="s">
        <v>268</v>
      </c>
      <c r="J453" t="s">
        <v>278</v>
      </c>
      <c r="L453" t="s">
        <v>92</v>
      </c>
      <c r="N453" s="14">
        <v>1</v>
      </c>
      <c r="P453" s="12" t="s">
        <v>268</v>
      </c>
      <c r="W453" s="9" t="str">
        <f t="shared" ca="1" si="31"/>
        <v>18.5%</v>
      </c>
      <c r="X453" t="s">
        <v>321</v>
      </c>
      <c r="Y453" s="9" t="str">
        <f t="shared" ca="1" si="32"/>
        <v>Sin costo</v>
      </c>
      <c r="Z453" t="s">
        <v>327</v>
      </c>
      <c r="AA453" t="s">
        <v>329</v>
      </c>
      <c r="AB453" t="s">
        <v>334</v>
      </c>
      <c r="AC453" s="12" t="s">
        <v>339</v>
      </c>
      <c r="AE453" t="s">
        <v>268</v>
      </c>
      <c r="AG453" s="12" t="s">
        <v>268</v>
      </c>
      <c r="AH453" t="s">
        <v>92</v>
      </c>
      <c r="AI453" s="12" t="s">
        <v>268</v>
      </c>
      <c r="AJ453" t="s">
        <v>92</v>
      </c>
      <c r="AK453" t="s">
        <v>92</v>
      </c>
      <c r="AL453" t="s">
        <v>92</v>
      </c>
      <c r="AM453" s="12" t="s">
        <v>268</v>
      </c>
      <c r="AN453" s="12" t="s">
        <v>268</v>
      </c>
      <c r="AO453" s="12" t="s">
        <v>268</v>
      </c>
      <c r="AP453" s="12" t="s">
        <v>268</v>
      </c>
      <c r="AQ453" s="12" t="s">
        <v>268</v>
      </c>
      <c r="AR453" s="28" t="str">
        <f t="shared" ca="1" si="33"/>
        <v/>
      </c>
      <c r="AS453" s="28" t="str">
        <f t="shared" ca="1" si="34"/>
        <v/>
      </c>
    </row>
    <row r="454" spans="2:45" ht="27.6" customHeight="1">
      <c r="B454">
        <f t="shared" ca="1" si="30"/>
        <v>0</v>
      </c>
      <c r="C454" t="s">
        <v>85</v>
      </c>
      <c r="D454" t="s">
        <v>92</v>
      </c>
      <c r="E454" t="s">
        <v>92</v>
      </c>
      <c r="F454" t="s">
        <v>92</v>
      </c>
      <c r="G454" t="s">
        <v>92</v>
      </c>
      <c r="H454" t="s">
        <v>92</v>
      </c>
      <c r="I454" s="12" t="s">
        <v>268</v>
      </c>
      <c r="J454" t="s">
        <v>278</v>
      </c>
      <c r="L454" t="s">
        <v>92</v>
      </c>
      <c r="N454" s="14">
        <v>1</v>
      </c>
      <c r="P454" s="12" t="s">
        <v>268</v>
      </c>
      <c r="W454" s="9" t="str">
        <f t="shared" ca="1" si="31"/>
        <v>18.5%</v>
      </c>
      <c r="X454" t="s">
        <v>321</v>
      </c>
      <c r="Y454" s="9" t="str">
        <f t="shared" ca="1" si="32"/>
        <v>Sin costo</v>
      </c>
      <c r="Z454" t="s">
        <v>327</v>
      </c>
      <c r="AA454" t="s">
        <v>329</v>
      </c>
      <c r="AB454" t="s">
        <v>334</v>
      </c>
      <c r="AC454" s="12" t="s">
        <v>339</v>
      </c>
      <c r="AE454" t="s">
        <v>268</v>
      </c>
      <c r="AG454" s="12" t="s">
        <v>268</v>
      </c>
      <c r="AH454" t="s">
        <v>92</v>
      </c>
      <c r="AI454" s="12" t="s">
        <v>268</v>
      </c>
      <c r="AJ454" t="s">
        <v>92</v>
      </c>
      <c r="AK454" t="s">
        <v>92</v>
      </c>
      <c r="AL454" t="s">
        <v>92</v>
      </c>
      <c r="AM454" s="12" t="s">
        <v>268</v>
      </c>
      <c r="AN454" s="12" t="s">
        <v>268</v>
      </c>
      <c r="AO454" s="12" t="s">
        <v>268</v>
      </c>
      <c r="AP454" s="12" t="s">
        <v>268</v>
      </c>
      <c r="AQ454" s="12" t="s">
        <v>268</v>
      </c>
      <c r="AR454" s="28" t="str">
        <f t="shared" ca="1" si="33"/>
        <v/>
      </c>
      <c r="AS454" s="28" t="str">
        <f t="shared" ca="1" si="34"/>
        <v/>
      </c>
    </row>
    <row r="455" spans="2:45" ht="27.6" customHeight="1">
      <c r="B455">
        <f t="shared" ref="B455:B518" ca="1" si="35">LEN(INDIRECT(ADDRESS(ROW() + (0),COLUMN() + (-1))))</f>
        <v>0</v>
      </c>
      <c r="C455" t="s">
        <v>85</v>
      </c>
      <c r="D455" t="s">
        <v>92</v>
      </c>
      <c r="E455" t="s">
        <v>92</v>
      </c>
      <c r="F455" t="s">
        <v>92</v>
      </c>
      <c r="G455" t="s">
        <v>92</v>
      </c>
      <c r="H455" t="s">
        <v>92</v>
      </c>
      <c r="I455" s="12" t="s">
        <v>268</v>
      </c>
      <c r="J455" t="s">
        <v>278</v>
      </c>
      <c r="L455" t="s">
        <v>92</v>
      </c>
      <c r="N455" s="14">
        <v>1</v>
      </c>
      <c r="P455" s="12" t="s">
        <v>268</v>
      </c>
      <c r="W455" s="9" t="str">
        <f t="shared" ref="W455:W518" ca="1" si="36">IF(INDIRECT(ADDRESS(ROW() + (0),COLUMN() + (1)))="Cuotas extra", IF(("21.5%")="", "-", "21.5%"), IF(INDIRECT(ADDRESS(ROW() + (0),COLUMN() + (1)))="Cuotas", IF(("18.5%")="", "-", "18.5%"), "-"))</f>
        <v>18.5%</v>
      </c>
      <c r="X455" t="s">
        <v>321</v>
      </c>
      <c r="Y455" s="9" t="str">
        <f t="shared" ref="Y455:Y518" ca="1" si="37">IF(INDIRECT(ADDRESS(ROW() + (0),COLUMN() + (-1)))="Cuotas extra", IF(("")="", "Sin costo", ""), IF(INDIRECT(ADDRESS(ROW() + (0),COLUMN() + (-1)))="Cuotas", IF(("")="", "Sin costo", ""), "-"))</f>
        <v>Sin costo</v>
      </c>
      <c r="Z455" t="s">
        <v>327</v>
      </c>
      <c r="AA455" t="s">
        <v>329</v>
      </c>
      <c r="AB455" t="s">
        <v>334</v>
      </c>
      <c r="AC455" s="12" t="s">
        <v>339</v>
      </c>
      <c r="AE455" t="s">
        <v>268</v>
      </c>
      <c r="AG455" s="12" t="s">
        <v>268</v>
      </c>
      <c r="AH455" t="s">
        <v>92</v>
      </c>
      <c r="AI455" s="12" t="s">
        <v>268</v>
      </c>
      <c r="AJ455" t="s">
        <v>92</v>
      </c>
      <c r="AK455" t="s">
        <v>92</v>
      </c>
      <c r="AL455" t="s">
        <v>92</v>
      </c>
      <c r="AM455" s="12" t="s">
        <v>268</v>
      </c>
      <c r="AN455" s="12" t="s">
        <v>268</v>
      </c>
      <c r="AO455" s="12" t="s">
        <v>268</v>
      </c>
      <c r="AP455" s="12" t="s">
        <v>268</v>
      </c>
      <c r="AQ455" s="12" t="s">
        <v>268</v>
      </c>
      <c r="AR455" s="28" t="str">
        <f t="shared" ref="AR455:AR518" ca="1" si="3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455" s="28" t="str">
        <f t="shared" ref="AS455:AS518" ca="1" si="39">IF(TRIM(INDIRECT("A"&amp;ROW())) &lt;&gt; "",FALSE,"")</f>
        <v/>
      </c>
    </row>
    <row r="456" spans="2:45" ht="27.6" customHeight="1">
      <c r="B456">
        <f t="shared" ca="1" si="35"/>
        <v>0</v>
      </c>
      <c r="C456" t="s">
        <v>85</v>
      </c>
      <c r="D456" t="s">
        <v>92</v>
      </c>
      <c r="E456" t="s">
        <v>92</v>
      </c>
      <c r="F456" t="s">
        <v>92</v>
      </c>
      <c r="G456" t="s">
        <v>92</v>
      </c>
      <c r="H456" t="s">
        <v>92</v>
      </c>
      <c r="I456" s="12" t="s">
        <v>268</v>
      </c>
      <c r="J456" t="s">
        <v>278</v>
      </c>
      <c r="L456" t="s">
        <v>92</v>
      </c>
      <c r="N456" s="14">
        <v>1</v>
      </c>
      <c r="P456" s="12" t="s">
        <v>268</v>
      </c>
      <c r="W456" s="9" t="str">
        <f t="shared" ca="1" si="36"/>
        <v>18.5%</v>
      </c>
      <c r="X456" t="s">
        <v>321</v>
      </c>
      <c r="Y456" s="9" t="str">
        <f t="shared" ca="1" si="37"/>
        <v>Sin costo</v>
      </c>
      <c r="Z456" t="s">
        <v>327</v>
      </c>
      <c r="AA456" t="s">
        <v>329</v>
      </c>
      <c r="AB456" t="s">
        <v>334</v>
      </c>
      <c r="AC456" s="12" t="s">
        <v>339</v>
      </c>
      <c r="AE456" t="s">
        <v>268</v>
      </c>
      <c r="AG456" s="12" t="s">
        <v>268</v>
      </c>
      <c r="AH456" t="s">
        <v>92</v>
      </c>
      <c r="AI456" s="12" t="s">
        <v>268</v>
      </c>
      <c r="AJ456" t="s">
        <v>92</v>
      </c>
      <c r="AK456" t="s">
        <v>92</v>
      </c>
      <c r="AL456" t="s">
        <v>92</v>
      </c>
      <c r="AM456" s="12" t="s">
        <v>268</v>
      </c>
      <c r="AN456" s="12" t="s">
        <v>268</v>
      </c>
      <c r="AO456" s="12" t="s">
        <v>268</v>
      </c>
      <c r="AP456" s="12" t="s">
        <v>268</v>
      </c>
      <c r="AQ456" s="12" t="s">
        <v>268</v>
      </c>
      <c r="AR456" s="28" t="str">
        <f t="shared" ca="1" si="38"/>
        <v/>
      </c>
      <c r="AS456" s="28" t="str">
        <f t="shared" ca="1" si="39"/>
        <v/>
      </c>
    </row>
    <row r="457" spans="2:45" ht="27.6" customHeight="1">
      <c r="B457">
        <f t="shared" ca="1" si="35"/>
        <v>0</v>
      </c>
      <c r="C457" t="s">
        <v>85</v>
      </c>
      <c r="D457" t="s">
        <v>92</v>
      </c>
      <c r="E457" t="s">
        <v>92</v>
      </c>
      <c r="F457" t="s">
        <v>92</v>
      </c>
      <c r="G457" t="s">
        <v>92</v>
      </c>
      <c r="H457" t="s">
        <v>92</v>
      </c>
      <c r="I457" s="12" t="s">
        <v>268</v>
      </c>
      <c r="J457" t="s">
        <v>278</v>
      </c>
      <c r="L457" t="s">
        <v>92</v>
      </c>
      <c r="N457" s="14">
        <v>1</v>
      </c>
      <c r="P457" s="12" t="s">
        <v>268</v>
      </c>
      <c r="W457" s="9" t="str">
        <f t="shared" ca="1" si="36"/>
        <v>18.5%</v>
      </c>
      <c r="X457" t="s">
        <v>321</v>
      </c>
      <c r="Y457" s="9" t="str">
        <f t="shared" ca="1" si="37"/>
        <v>Sin costo</v>
      </c>
      <c r="Z457" t="s">
        <v>327</v>
      </c>
      <c r="AA457" t="s">
        <v>329</v>
      </c>
      <c r="AB457" t="s">
        <v>334</v>
      </c>
      <c r="AC457" s="12" t="s">
        <v>339</v>
      </c>
      <c r="AE457" t="s">
        <v>268</v>
      </c>
      <c r="AG457" s="12" t="s">
        <v>268</v>
      </c>
      <c r="AH457" t="s">
        <v>92</v>
      </c>
      <c r="AI457" s="12" t="s">
        <v>268</v>
      </c>
      <c r="AJ457" t="s">
        <v>92</v>
      </c>
      <c r="AK457" t="s">
        <v>92</v>
      </c>
      <c r="AL457" t="s">
        <v>92</v>
      </c>
      <c r="AM457" s="12" t="s">
        <v>268</v>
      </c>
      <c r="AN457" s="12" t="s">
        <v>268</v>
      </c>
      <c r="AO457" s="12" t="s">
        <v>268</v>
      </c>
      <c r="AP457" s="12" t="s">
        <v>268</v>
      </c>
      <c r="AQ457" s="12" t="s">
        <v>268</v>
      </c>
      <c r="AR457" s="28" t="str">
        <f t="shared" ca="1" si="38"/>
        <v/>
      </c>
      <c r="AS457" s="28" t="str">
        <f t="shared" ca="1" si="39"/>
        <v/>
      </c>
    </row>
    <row r="458" spans="2:45" ht="27.6" customHeight="1">
      <c r="B458">
        <f t="shared" ca="1" si="35"/>
        <v>0</v>
      </c>
      <c r="C458" t="s">
        <v>85</v>
      </c>
      <c r="D458" t="s">
        <v>92</v>
      </c>
      <c r="E458" t="s">
        <v>92</v>
      </c>
      <c r="F458" t="s">
        <v>92</v>
      </c>
      <c r="G458" t="s">
        <v>92</v>
      </c>
      <c r="H458" t="s">
        <v>92</v>
      </c>
      <c r="I458" s="12" t="s">
        <v>268</v>
      </c>
      <c r="J458" t="s">
        <v>278</v>
      </c>
      <c r="L458" t="s">
        <v>92</v>
      </c>
      <c r="N458" s="14">
        <v>1</v>
      </c>
      <c r="P458" s="12" t="s">
        <v>268</v>
      </c>
      <c r="W458" s="9" t="str">
        <f t="shared" ca="1" si="36"/>
        <v>18.5%</v>
      </c>
      <c r="X458" t="s">
        <v>321</v>
      </c>
      <c r="Y458" s="9" t="str">
        <f t="shared" ca="1" si="37"/>
        <v>Sin costo</v>
      </c>
      <c r="Z458" t="s">
        <v>327</v>
      </c>
      <c r="AA458" t="s">
        <v>329</v>
      </c>
      <c r="AB458" t="s">
        <v>334</v>
      </c>
      <c r="AC458" s="12" t="s">
        <v>339</v>
      </c>
      <c r="AE458" t="s">
        <v>268</v>
      </c>
      <c r="AG458" s="12" t="s">
        <v>268</v>
      </c>
      <c r="AH458" t="s">
        <v>92</v>
      </c>
      <c r="AI458" s="12" t="s">
        <v>268</v>
      </c>
      <c r="AJ458" t="s">
        <v>92</v>
      </c>
      <c r="AK458" t="s">
        <v>92</v>
      </c>
      <c r="AL458" t="s">
        <v>92</v>
      </c>
      <c r="AM458" s="12" t="s">
        <v>268</v>
      </c>
      <c r="AN458" s="12" t="s">
        <v>268</v>
      </c>
      <c r="AO458" s="12" t="s">
        <v>268</v>
      </c>
      <c r="AP458" s="12" t="s">
        <v>268</v>
      </c>
      <c r="AQ458" s="12" t="s">
        <v>268</v>
      </c>
      <c r="AR458" s="28" t="str">
        <f t="shared" ca="1" si="38"/>
        <v/>
      </c>
      <c r="AS458" s="28" t="str">
        <f t="shared" ca="1" si="39"/>
        <v/>
      </c>
    </row>
    <row r="459" spans="2:45" ht="27.6" customHeight="1">
      <c r="B459">
        <f t="shared" ca="1" si="35"/>
        <v>0</v>
      </c>
      <c r="C459" t="s">
        <v>85</v>
      </c>
      <c r="D459" t="s">
        <v>92</v>
      </c>
      <c r="E459" t="s">
        <v>92</v>
      </c>
      <c r="F459" t="s">
        <v>92</v>
      </c>
      <c r="G459" t="s">
        <v>92</v>
      </c>
      <c r="H459" t="s">
        <v>92</v>
      </c>
      <c r="I459" s="12" t="s">
        <v>268</v>
      </c>
      <c r="J459" t="s">
        <v>278</v>
      </c>
      <c r="L459" t="s">
        <v>92</v>
      </c>
      <c r="N459" s="14">
        <v>1</v>
      </c>
      <c r="P459" s="12" t="s">
        <v>268</v>
      </c>
      <c r="W459" s="9" t="str">
        <f t="shared" ca="1" si="36"/>
        <v>18.5%</v>
      </c>
      <c r="X459" t="s">
        <v>321</v>
      </c>
      <c r="Y459" s="9" t="str">
        <f t="shared" ca="1" si="37"/>
        <v>Sin costo</v>
      </c>
      <c r="Z459" t="s">
        <v>327</v>
      </c>
      <c r="AA459" t="s">
        <v>329</v>
      </c>
      <c r="AB459" t="s">
        <v>334</v>
      </c>
      <c r="AC459" s="12" t="s">
        <v>339</v>
      </c>
      <c r="AE459" t="s">
        <v>268</v>
      </c>
      <c r="AG459" s="12" t="s">
        <v>268</v>
      </c>
      <c r="AH459" t="s">
        <v>92</v>
      </c>
      <c r="AI459" s="12" t="s">
        <v>268</v>
      </c>
      <c r="AJ459" t="s">
        <v>92</v>
      </c>
      <c r="AK459" t="s">
        <v>92</v>
      </c>
      <c r="AL459" t="s">
        <v>92</v>
      </c>
      <c r="AM459" s="12" t="s">
        <v>268</v>
      </c>
      <c r="AN459" s="12" t="s">
        <v>268</v>
      </c>
      <c r="AO459" s="12" t="s">
        <v>268</v>
      </c>
      <c r="AP459" s="12" t="s">
        <v>268</v>
      </c>
      <c r="AQ459" s="12" t="s">
        <v>268</v>
      </c>
      <c r="AR459" s="28" t="str">
        <f t="shared" ca="1" si="38"/>
        <v/>
      </c>
      <c r="AS459" s="28" t="str">
        <f t="shared" ca="1" si="39"/>
        <v/>
      </c>
    </row>
    <row r="460" spans="2:45" ht="27.6" customHeight="1">
      <c r="B460">
        <f t="shared" ca="1" si="35"/>
        <v>0</v>
      </c>
      <c r="C460" t="s">
        <v>85</v>
      </c>
      <c r="D460" t="s">
        <v>92</v>
      </c>
      <c r="E460" t="s">
        <v>92</v>
      </c>
      <c r="F460" t="s">
        <v>92</v>
      </c>
      <c r="G460" t="s">
        <v>92</v>
      </c>
      <c r="H460" t="s">
        <v>92</v>
      </c>
      <c r="I460" s="12" t="s">
        <v>268</v>
      </c>
      <c r="J460" t="s">
        <v>278</v>
      </c>
      <c r="L460" t="s">
        <v>92</v>
      </c>
      <c r="N460" s="14">
        <v>1</v>
      </c>
      <c r="P460" s="12" t="s">
        <v>268</v>
      </c>
      <c r="W460" s="9" t="str">
        <f t="shared" ca="1" si="36"/>
        <v>18.5%</v>
      </c>
      <c r="X460" t="s">
        <v>321</v>
      </c>
      <c r="Y460" s="9" t="str">
        <f t="shared" ca="1" si="37"/>
        <v>Sin costo</v>
      </c>
      <c r="Z460" t="s">
        <v>327</v>
      </c>
      <c r="AA460" t="s">
        <v>329</v>
      </c>
      <c r="AB460" t="s">
        <v>334</v>
      </c>
      <c r="AC460" s="12" t="s">
        <v>339</v>
      </c>
      <c r="AE460" t="s">
        <v>268</v>
      </c>
      <c r="AG460" s="12" t="s">
        <v>268</v>
      </c>
      <c r="AH460" t="s">
        <v>92</v>
      </c>
      <c r="AI460" s="12" t="s">
        <v>268</v>
      </c>
      <c r="AJ460" t="s">
        <v>92</v>
      </c>
      <c r="AK460" t="s">
        <v>92</v>
      </c>
      <c r="AL460" t="s">
        <v>92</v>
      </c>
      <c r="AM460" s="12" t="s">
        <v>268</v>
      </c>
      <c r="AN460" s="12" t="s">
        <v>268</v>
      </c>
      <c r="AO460" s="12" t="s">
        <v>268</v>
      </c>
      <c r="AP460" s="12" t="s">
        <v>268</v>
      </c>
      <c r="AQ460" s="12" t="s">
        <v>268</v>
      </c>
      <c r="AR460" s="28" t="str">
        <f t="shared" ca="1" si="38"/>
        <v/>
      </c>
      <c r="AS460" s="28" t="str">
        <f t="shared" ca="1" si="39"/>
        <v/>
      </c>
    </row>
    <row r="461" spans="2:45" ht="27.6" customHeight="1">
      <c r="B461">
        <f t="shared" ca="1" si="35"/>
        <v>0</v>
      </c>
      <c r="C461" t="s">
        <v>85</v>
      </c>
      <c r="D461" t="s">
        <v>92</v>
      </c>
      <c r="E461" t="s">
        <v>92</v>
      </c>
      <c r="F461" t="s">
        <v>92</v>
      </c>
      <c r="G461" t="s">
        <v>92</v>
      </c>
      <c r="H461" t="s">
        <v>92</v>
      </c>
      <c r="I461" s="12" t="s">
        <v>268</v>
      </c>
      <c r="J461" t="s">
        <v>278</v>
      </c>
      <c r="L461" t="s">
        <v>92</v>
      </c>
      <c r="N461" s="14">
        <v>1</v>
      </c>
      <c r="P461" s="12" t="s">
        <v>268</v>
      </c>
      <c r="W461" s="9" t="str">
        <f t="shared" ca="1" si="36"/>
        <v>18.5%</v>
      </c>
      <c r="X461" t="s">
        <v>321</v>
      </c>
      <c r="Y461" s="9" t="str">
        <f t="shared" ca="1" si="37"/>
        <v>Sin costo</v>
      </c>
      <c r="Z461" t="s">
        <v>327</v>
      </c>
      <c r="AA461" t="s">
        <v>329</v>
      </c>
      <c r="AB461" t="s">
        <v>334</v>
      </c>
      <c r="AC461" s="12" t="s">
        <v>339</v>
      </c>
      <c r="AE461" t="s">
        <v>268</v>
      </c>
      <c r="AG461" s="12" t="s">
        <v>268</v>
      </c>
      <c r="AH461" t="s">
        <v>92</v>
      </c>
      <c r="AI461" s="12" t="s">
        <v>268</v>
      </c>
      <c r="AJ461" t="s">
        <v>92</v>
      </c>
      <c r="AK461" t="s">
        <v>92</v>
      </c>
      <c r="AL461" t="s">
        <v>92</v>
      </c>
      <c r="AM461" s="12" t="s">
        <v>268</v>
      </c>
      <c r="AN461" s="12" t="s">
        <v>268</v>
      </c>
      <c r="AO461" s="12" t="s">
        <v>268</v>
      </c>
      <c r="AP461" s="12" t="s">
        <v>268</v>
      </c>
      <c r="AQ461" s="12" t="s">
        <v>268</v>
      </c>
      <c r="AR461" s="28" t="str">
        <f t="shared" ca="1" si="38"/>
        <v/>
      </c>
      <c r="AS461" s="28" t="str">
        <f t="shared" ca="1" si="39"/>
        <v/>
      </c>
    </row>
    <row r="462" spans="2:45" ht="27.6" customHeight="1">
      <c r="B462">
        <f t="shared" ca="1" si="35"/>
        <v>0</v>
      </c>
      <c r="C462" t="s">
        <v>85</v>
      </c>
      <c r="D462" t="s">
        <v>92</v>
      </c>
      <c r="E462" t="s">
        <v>92</v>
      </c>
      <c r="F462" t="s">
        <v>92</v>
      </c>
      <c r="G462" t="s">
        <v>92</v>
      </c>
      <c r="H462" t="s">
        <v>92</v>
      </c>
      <c r="I462" s="12" t="s">
        <v>268</v>
      </c>
      <c r="J462" t="s">
        <v>278</v>
      </c>
      <c r="L462" t="s">
        <v>92</v>
      </c>
      <c r="N462" s="14">
        <v>1</v>
      </c>
      <c r="P462" s="12" t="s">
        <v>268</v>
      </c>
      <c r="W462" s="9" t="str">
        <f t="shared" ca="1" si="36"/>
        <v>18.5%</v>
      </c>
      <c r="X462" t="s">
        <v>321</v>
      </c>
      <c r="Y462" s="9" t="str">
        <f t="shared" ca="1" si="37"/>
        <v>Sin costo</v>
      </c>
      <c r="Z462" t="s">
        <v>327</v>
      </c>
      <c r="AA462" t="s">
        <v>329</v>
      </c>
      <c r="AB462" t="s">
        <v>334</v>
      </c>
      <c r="AC462" s="12" t="s">
        <v>339</v>
      </c>
      <c r="AE462" t="s">
        <v>268</v>
      </c>
      <c r="AG462" s="12" t="s">
        <v>268</v>
      </c>
      <c r="AH462" t="s">
        <v>92</v>
      </c>
      <c r="AI462" s="12" t="s">
        <v>268</v>
      </c>
      <c r="AJ462" t="s">
        <v>92</v>
      </c>
      <c r="AK462" t="s">
        <v>92</v>
      </c>
      <c r="AL462" t="s">
        <v>92</v>
      </c>
      <c r="AM462" s="12" t="s">
        <v>268</v>
      </c>
      <c r="AN462" s="12" t="s">
        <v>268</v>
      </c>
      <c r="AO462" s="12" t="s">
        <v>268</v>
      </c>
      <c r="AP462" s="12" t="s">
        <v>268</v>
      </c>
      <c r="AQ462" s="12" t="s">
        <v>268</v>
      </c>
      <c r="AR462" s="28" t="str">
        <f t="shared" ca="1" si="38"/>
        <v/>
      </c>
      <c r="AS462" s="28" t="str">
        <f t="shared" ca="1" si="39"/>
        <v/>
      </c>
    </row>
    <row r="463" spans="2:45" ht="27.6" customHeight="1">
      <c r="B463">
        <f t="shared" ca="1" si="35"/>
        <v>0</v>
      </c>
      <c r="C463" t="s">
        <v>85</v>
      </c>
      <c r="D463" t="s">
        <v>92</v>
      </c>
      <c r="E463" t="s">
        <v>92</v>
      </c>
      <c r="F463" t="s">
        <v>92</v>
      </c>
      <c r="G463" t="s">
        <v>92</v>
      </c>
      <c r="H463" t="s">
        <v>92</v>
      </c>
      <c r="I463" s="12" t="s">
        <v>268</v>
      </c>
      <c r="J463" t="s">
        <v>278</v>
      </c>
      <c r="L463" t="s">
        <v>92</v>
      </c>
      <c r="N463" s="14">
        <v>1</v>
      </c>
      <c r="P463" s="12" t="s">
        <v>268</v>
      </c>
      <c r="W463" s="9" t="str">
        <f t="shared" ca="1" si="36"/>
        <v>18.5%</v>
      </c>
      <c r="X463" t="s">
        <v>321</v>
      </c>
      <c r="Y463" s="9" t="str">
        <f t="shared" ca="1" si="37"/>
        <v>Sin costo</v>
      </c>
      <c r="Z463" t="s">
        <v>327</v>
      </c>
      <c r="AA463" t="s">
        <v>329</v>
      </c>
      <c r="AB463" t="s">
        <v>334</v>
      </c>
      <c r="AC463" s="12" t="s">
        <v>339</v>
      </c>
      <c r="AE463" t="s">
        <v>268</v>
      </c>
      <c r="AG463" s="12" t="s">
        <v>268</v>
      </c>
      <c r="AH463" t="s">
        <v>92</v>
      </c>
      <c r="AI463" s="12" t="s">
        <v>268</v>
      </c>
      <c r="AJ463" t="s">
        <v>92</v>
      </c>
      <c r="AK463" t="s">
        <v>92</v>
      </c>
      <c r="AL463" t="s">
        <v>92</v>
      </c>
      <c r="AM463" s="12" t="s">
        <v>268</v>
      </c>
      <c r="AN463" s="12" t="s">
        <v>268</v>
      </c>
      <c r="AO463" s="12" t="s">
        <v>268</v>
      </c>
      <c r="AP463" s="12" t="s">
        <v>268</v>
      </c>
      <c r="AQ463" s="12" t="s">
        <v>268</v>
      </c>
      <c r="AR463" s="28" t="str">
        <f t="shared" ca="1" si="38"/>
        <v/>
      </c>
      <c r="AS463" s="28" t="str">
        <f t="shared" ca="1" si="39"/>
        <v/>
      </c>
    </row>
    <row r="464" spans="2:45" ht="27.6" customHeight="1">
      <c r="B464">
        <f t="shared" ca="1" si="35"/>
        <v>0</v>
      </c>
      <c r="C464" t="s">
        <v>85</v>
      </c>
      <c r="D464" t="s">
        <v>92</v>
      </c>
      <c r="E464" t="s">
        <v>92</v>
      </c>
      <c r="F464" t="s">
        <v>92</v>
      </c>
      <c r="G464" t="s">
        <v>92</v>
      </c>
      <c r="H464" t="s">
        <v>92</v>
      </c>
      <c r="I464" s="12" t="s">
        <v>268</v>
      </c>
      <c r="J464" t="s">
        <v>278</v>
      </c>
      <c r="L464" t="s">
        <v>92</v>
      </c>
      <c r="N464" s="14">
        <v>1</v>
      </c>
      <c r="P464" s="12" t="s">
        <v>268</v>
      </c>
      <c r="W464" s="9" t="str">
        <f t="shared" ca="1" si="36"/>
        <v>18.5%</v>
      </c>
      <c r="X464" t="s">
        <v>321</v>
      </c>
      <c r="Y464" s="9" t="str">
        <f t="shared" ca="1" si="37"/>
        <v>Sin costo</v>
      </c>
      <c r="Z464" t="s">
        <v>327</v>
      </c>
      <c r="AA464" t="s">
        <v>329</v>
      </c>
      <c r="AB464" t="s">
        <v>334</v>
      </c>
      <c r="AC464" s="12" t="s">
        <v>339</v>
      </c>
      <c r="AE464" t="s">
        <v>268</v>
      </c>
      <c r="AG464" s="12" t="s">
        <v>268</v>
      </c>
      <c r="AH464" t="s">
        <v>92</v>
      </c>
      <c r="AI464" s="12" t="s">
        <v>268</v>
      </c>
      <c r="AJ464" t="s">
        <v>92</v>
      </c>
      <c r="AK464" t="s">
        <v>92</v>
      </c>
      <c r="AL464" t="s">
        <v>92</v>
      </c>
      <c r="AM464" s="12" t="s">
        <v>268</v>
      </c>
      <c r="AN464" s="12" t="s">
        <v>268</v>
      </c>
      <c r="AO464" s="12" t="s">
        <v>268</v>
      </c>
      <c r="AP464" s="12" t="s">
        <v>268</v>
      </c>
      <c r="AQ464" s="12" t="s">
        <v>268</v>
      </c>
      <c r="AR464" s="28" t="str">
        <f t="shared" ca="1" si="38"/>
        <v/>
      </c>
      <c r="AS464" s="28" t="str">
        <f t="shared" ca="1" si="39"/>
        <v/>
      </c>
    </row>
    <row r="465" spans="2:45" ht="27.6" customHeight="1">
      <c r="B465">
        <f t="shared" ca="1" si="35"/>
        <v>0</v>
      </c>
      <c r="C465" t="s">
        <v>85</v>
      </c>
      <c r="D465" t="s">
        <v>92</v>
      </c>
      <c r="E465" t="s">
        <v>92</v>
      </c>
      <c r="F465" t="s">
        <v>92</v>
      </c>
      <c r="G465" t="s">
        <v>92</v>
      </c>
      <c r="H465" t="s">
        <v>92</v>
      </c>
      <c r="I465" s="12" t="s">
        <v>268</v>
      </c>
      <c r="J465" t="s">
        <v>278</v>
      </c>
      <c r="L465" t="s">
        <v>92</v>
      </c>
      <c r="N465" s="14">
        <v>1</v>
      </c>
      <c r="P465" s="12" t="s">
        <v>268</v>
      </c>
      <c r="W465" s="9" t="str">
        <f t="shared" ca="1" si="36"/>
        <v>18.5%</v>
      </c>
      <c r="X465" t="s">
        <v>321</v>
      </c>
      <c r="Y465" s="9" t="str">
        <f t="shared" ca="1" si="37"/>
        <v>Sin costo</v>
      </c>
      <c r="Z465" t="s">
        <v>327</v>
      </c>
      <c r="AA465" t="s">
        <v>329</v>
      </c>
      <c r="AB465" t="s">
        <v>334</v>
      </c>
      <c r="AC465" s="12" t="s">
        <v>339</v>
      </c>
      <c r="AE465" t="s">
        <v>268</v>
      </c>
      <c r="AG465" s="12" t="s">
        <v>268</v>
      </c>
      <c r="AH465" t="s">
        <v>92</v>
      </c>
      <c r="AI465" s="12" t="s">
        <v>268</v>
      </c>
      <c r="AJ465" t="s">
        <v>92</v>
      </c>
      <c r="AK465" t="s">
        <v>92</v>
      </c>
      <c r="AL465" t="s">
        <v>92</v>
      </c>
      <c r="AM465" s="12" t="s">
        <v>268</v>
      </c>
      <c r="AN465" s="12" t="s">
        <v>268</v>
      </c>
      <c r="AO465" s="12" t="s">
        <v>268</v>
      </c>
      <c r="AP465" s="12" t="s">
        <v>268</v>
      </c>
      <c r="AQ465" s="12" t="s">
        <v>268</v>
      </c>
      <c r="AR465" s="28" t="str">
        <f t="shared" ca="1" si="38"/>
        <v/>
      </c>
      <c r="AS465" s="28" t="str">
        <f t="shared" ca="1" si="39"/>
        <v/>
      </c>
    </row>
    <row r="466" spans="2:45" ht="27.6" customHeight="1">
      <c r="B466">
        <f t="shared" ca="1" si="35"/>
        <v>0</v>
      </c>
      <c r="C466" t="s">
        <v>85</v>
      </c>
      <c r="D466" t="s">
        <v>92</v>
      </c>
      <c r="E466" t="s">
        <v>92</v>
      </c>
      <c r="F466" t="s">
        <v>92</v>
      </c>
      <c r="G466" t="s">
        <v>92</v>
      </c>
      <c r="H466" t="s">
        <v>92</v>
      </c>
      <c r="I466" s="12" t="s">
        <v>268</v>
      </c>
      <c r="J466" t="s">
        <v>278</v>
      </c>
      <c r="L466" t="s">
        <v>92</v>
      </c>
      <c r="N466" s="14">
        <v>1</v>
      </c>
      <c r="P466" s="12" t="s">
        <v>268</v>
      </c>
      <c r="W466" s="9" t="str">
        <f t="shared" ca="1" si="36"/>
        <v>18.5%</v>
      </c>
      <c r="X466" t="s">
        <v>321</v>
      </c>
      <c r="Y466" s="9" t="str">
        <f t="shared" ca="1" si="37"/>
        <v>Sin costo</v>
      </c>
      <c r="Z466" t="s">
        <v>327</v>
      </c>
      <c r="AA466" t="s">
        <v>329</v>
      </c>
      <c r="AB466" t="s">
        <v>334</v>
      </c>
      <c r="AC466" s="12" t="s">
        <v>339</v>
      </c>
      <c r="AE466" t="s">
        <v>268</v>
      </c>
      <c r="AG466" s="12" t="s">
        <v>268</v>
      </c>
      <c r="AH466" t="s">
        <v>92</v>
      </c>
      <c r="AI466" s="12" t="s">
        <v>268</v>
      </c>
      <c r="AJ466" t="s">
        <v>92</v>
      </c>
      <c r="AK466" t="s">
        <v>92</v>
      </c>
      <c r="AL466" t="s">
        <v>92</v>
      </c>
      <c r="AM466" s="12" t="s">
        <v>268</v>
      </c>
      <c r="AN466" s="12" t="s">
        <v>268</v>
      </c>
      <c r="AO466" s="12" t="s">
        <v>268</v>
      </c>
      <c r="AP466" s="12" t="s">
        <v>268</v>
      </c>
      <c r="AQ466" s="12" t="s">
        <v>268</v>
      </c>
      <c r="AR466" s="28" t="str">
        <f t="shared" ca="1" si="38"/>
        <v/>
      </c>
      <c r="AS466" s="28" t="str">
        <f t="shared" ca="1" si="39"/>
        <v/>
      </c>
    </row>
    <row r="467" spans="2:45" ht="27.6" customHeight="1">
      <c r="B467">
        <f t="shared" ca="1" si="35"/>
        <v>0</v>
      </c>
      <c r="C467" t="s">
        <v>85</v>
      </c>
      <c r="D467" t="s">
        <v>92</v>
      </c>
      <c r="E467" t="s">
        <v>92</v>
      </c>
      <c r="F467" t="s">
        <v>92</v>
      </c>
      <c r="G467" t="s">
        <v>92</v>
      </c>
      <c r="H467" t="s">
        <v>92</v>
      </c>
      <c r="I467" s="12" t="s">
        <v>268</v>
      </c>
      <c r="J467" t="s">
        <v>278</v>
      </c>
      <c r="L467" t="s">
        <v>92</v>
      </c>
      <c r="N467" s="14">
        <v>1</v>
      </c>
      <c r="P467" s="12" t="s">
        <v>268</v>
      </c>
      <c r="W467" s="9" t="str">
        <f t="shared" ca="1" si="36"/>
        <v>18.5%</v>
      </c>
      <c r="X467" t="s">
        <v>321</v>
      </c>
      <c r="Y467" s="9" t="str">
        <f t="shared" ca="1" si="37"/>
        <v>Sin costo</v>
      </c>
      <c r="Z467" t="s">
        <v>327</v>
      </c>
      <c r="AA467" t="s">
        <v>329</v>
      </c>
      <c r="AB467" t="s">
        <v>334</v>
      </c>
      <c r="AC467" s="12" t="s">
        <v>339</v>
      </c>
      <c r="AE467" t="s">
        <v>268</v>
      </c>
      <c r="AG467" s="12" t="s">
        <v>268</v>
      </c>
      <c r="AH467" t="s">
        <v>92</v>
      </c>
      <c r="AI467" s="12" t="s">
        <v>268</v>
      </c>
      <c r="AJ467" t="s">
        <v>92</v>
      </c>
      <c r="AK467" t="s">
        <v>92</v>
      </c>
      <c r="AL467" t="s">
        <v>92</v>
      </c>
      <c r="AM467" s="12" t="s">
        <v>268</v>
      </c>
      <c r="AN467" s="12" t="s">
        <v>268</v>
      </c>
      <c r="AO467" s="12" t="s">
        <v>268</v>
      </c>
      <c r="AP467" s="12" t="s">
        <v>268</v>
      </c>
      <c r="AQ467" s="12" t="s">
        <v>268</v>
      </c>
      <c r="AR467" s="28" t="str">
        <f t="shared" ca="1" si="38"/>
        <v/>
      </c>
      <c r="AS467" s="28" t="str">
        <f t="shared" ca="1" si="39"/>
        <v/>
      </c>
    </row>
    <row r="468" spans="2:45" ht="27.6" customHeight="1">
      <c r="B468">
        <f t="shared" ca="1" si="35"/>
        <v>0</v>
      </c>
      <c r="C468" t="s">
        <v>85</v>
      </c>
      <c r="D468" t="s">
        <v>92</v>
      </c>
      <c r="E468" t="s">
        <v>92</v>
      </c>
      <c r="F468" t="s">
        <v>92</v>
      </c>
      <c r="G468" t="s">
        <v>92</v>
      </c>
      <c r="H468" t="s">
        <v>92</v>
      </c>
      <c r="I468" s="12" t="s">
        <v>268</v>
      </c>
      <c r="J468" t="s">
        <v>278</v>
      </c>
      <c r="L468" t="s">
        <v>92</v>
      </c>
      <c r="N468" s="14">
        <v>1</v>
      </c>
      <c r="P468" s="12" t="s">
        <v>268</v>
      </c>
      <c r="W468" s="9" t="str">
        <f t="shared" ca="1" si="36"/>
        <v>18.5%</v>
      </c>
      <c r="X468" t="s">
        <v>321</v>
      </c>
      <c r="Y468" s="9" t="str">
        <f t="shared" ca="1" si="37"/>
        <v>Sin costo</v>
      </c>
      <c r="Z468" t="s">
        <v>327</v>
      </c>
      <c r="AA468" t="s">
        <v>329</v>
      </c>
      <c r="AB468" t="s">
        <v>334</v>
      </c>
      <c r="AC468" s="12" t="s">
        <v>339</v>
      </c>
      <c r="AE468" t="s">
        <v>268</v>
      </c>
      <c r="AG468" s="12" t="s">
        <v>268</v>
      </c>
      <c r="AH468" t="s">
        <v>92</v>
      </c>
      <c r="AI468" s="12" t="s">
        <v>268</v>
      </c>
      <c r="AJ468" t="s">
        <v>92</v>
      </c>
      <c r="AK468" t="s">
        <v>92</v>
      </c>
      <c r="AL468" t="s">
        <v>92</v>
      </c>
      <c r="AM468" s="12" t="s">
        <v>268</v>
      </c>
      <c r="AN468" s="12" t="s">
        <v>268</v>
      </c>
      <c r="AO468" s="12" t="s">
        <v>268</v>
      </c>
      <c r="AP468" s="12" t="s">
        <v>268</v>
      </c>
      <c r="AQ468" s="12" t="s">
        <v>268</v>
      </c>
      <c r="AR468" s="28" t="str">
        <f t="shared" ca="1" si="38"/>
        <v/>
      </c>
      <c r="AS468" s="28" t="str">
        <f t="shared" ca="1" si="39"/>
        <v/>
      </c>
    </row>
    <row r="469" spans="2:45" ht="27.6" customHeight="1">
      <c r="B469">
        <f t="shared" ca="1" si="35"/>
        <v>0</v>
      </c>
      <c r="C469" t="s">
        <v>85</v>
      </c>
      <c r="D469" t="s">
        <v>92</v>
      </c>
      <c r="E469" t="s">
        <v>92</v>
      </c>
      <c r="F469" t="s">
        <v>92</v>
      </c>
      <c r="G469" t="s">
        <v>92</v>
      </c>
      <c r="H469" t="s">
        <v>92</v>
      </c>
      <c r="I469" s="12" t="s">
        <v>268</v>
      </c>
      <c r="J469" t="s">
        <v>278</v>
      </c>
      <c r="L469" t="s">
        <v>92</v>
      </c>
      <c r="N469" s="14">
        <v>1</v>
      </c>
      <c r="P469" s="12" t="s">
        <v>268</v>
      </c>
      <c r="W469" s="9" t="str">
        <f t="shared" ca="1" si="36"/>
        <v>18.5%</v>
      </c>
      <c r="X469" t="s">
        <v>321</v>
      </c>
      <c r="Y469" s="9" t="str">
        <f t="shared" ca="1" si="37"/>
        <v>Sin costo</v>
      </c>
      <c r="Z469" t="s">
        <v>327</v>
      </c>
      <c r="AA469" t="s">
        <v>329</v>
      </c>
      <c r="AB469" t="s">
        <v>334</v>
      </c>
      <c r="AC469" s="12" t="s">
        <v>339</v>
      </c>
      <c r="AE469" t="s">
        <v>268</v>
      </c>
      <c r="AG469" s="12" t="s">
        <v>268</v>
      </c>
      <c r="AH469" t="s">
        <v>92</v>
      </c>
      <c r="AI469" s="12" t="s">
        <v>268</v>
      </c>
      <c r="AJ469" t="s">
        <v>92</v>
      </c>
      <c r="AK469" t="s">
        <v>92</v>
      </c>
      <c r="AL469" t="s">
        <v>92</v>
      </c>
      <c r="AM469" s="12" t="s">
        <v>268</v>
      </c>
      <c r="AN469" s="12" t="s">
        <v>268</v>
      </c>
      <c r="AO469" s="12" t="s">
        <v>268</v>
      </c>
      <c r="AP469" s="12" t="s">
        <v>268</v>
      </c>
      <c r="AQ469" s="12" t="s">
        <v>268</v>
      </c>
      <c r="AR469" s="28" t="str">
        <f t="shared" ca="1" si="38"/>
        <v/>
      </c>
      <c r="AS469" s="28" t="str">
        <f t="shared" ca="1" si="39"/>
        <v/>
      </c>
    </row>
    <row r="470" spans="2:45" ht="27.6" customHeight="1">
      <c r="B470">
        <f t="shared" ca="1" si="35"/>
        <v>0</v>
      </c>
      <c r="C470" t="s">
        <v>85</v>
      </c>
      <c r="D470" t="s">
        <v>92</v>
      </c>
      <c r="E470" t="s">
        <v>92</v>
      </c>
      <c r="F470" t="s">
        <v>92</v>
      </c>
      <c r="G470" t="s">
        <v>92</v>
      </c>
      <c r="H470" t="s">
        <v>92</v>
      </c>
      <c r="I470" s="12" t="s">
        <v>268</v>
      </c>
      <c r="J470" t="s">
        <v>278</v>
      </c>
      <c r="L470" t="s">
        <v>92</v>
      </c>
      <c r="N470" s="14">
        <v>1</v>
      </c>
      <c r="P470" s="12" t="s">
        <v>268</v>
      </c>
      <c r="W470" s="9" t="str">
        <f t="shared" ca="1" si="36"/>
        <v>18.5%</v>
      </c>
      <c r="X470" t="s">
        <v>321</v>
      </c>
      <c r="Y470" s="9" t="str">
        <f t="shared" ca="1" si="37"/>
        <v>Sin costo</v>
      </c>
      <c r="Z470" t="s">
        <v>327</v>
      </c>
      <c r="AA470" t="s">
        <v>329</v>
      </c>
      <c r="AB470" t="s">
        <v>334</v>
      </c>
      <c r="AC470" s="12" t="s">
        <v>339</v>
      </c>
      <c r="AE470" t="s">
        <v>268</v>
      </c>
      <c r="AG470" s="12" t="s">
        <v>268</v>
      </c>
      <c r="AH470" t="s">
        <v>92</v>
      </c>
      <c r="AI470" s="12" t="s">
        <v>268</v>
      </c>
      <c r="AJ470" t="s">
        <v>92</v>
      </c>
      <c r="AK470" t="s">
        <v>92</v>
      </c>
      <c r="AL470" t="s">
        <v>92</v>
      </c>
      <c r="AM470" s="12" t="s">
        <v>268</v>
      </c>
      <c r="AN470" s="12" t="s">
        <v>268</v>
      </c>
      <c r="AO470" s="12" t="s">
        <v>268</v>
      </c>
      <c r="AP470" s="12" t="s">
        <v>268</v>
      </c>
      <c r="AQ470" s="12" t="s">
        <v>268</v>
      </c>
      <c r="AR470" s="28" t="str">
        <f t="shared" ca="1" si="38"/>
        <v/>
      </c>
      <c r="AS470" s="28" t="str">
        <f t="shared" ca="1" si="39"/>
        <v/>
      </c>
    </row>
    <row r="471" spans="2:45" ht="27.6" customHeight="1">
      <c r="B471">
        <f t="shared" ca="1" si="35"/>
        <v>0</v>
      </c>
      <c r="C471" t="s">
        <v>85</v>
      </c>
      <c r="D471" t="s">
        <v>92</v>
      </c>
      <c r="E471" t="s">
        <v>92</v>
      </c>
      <c r="F471" t="s">
        <v>92</v>
      </c>
      <c r="G471" t="s">
        <v>92</v>
      </c>
      <c r="H471" t="s">
        <v>92</v>
      </c>
      <c r="I471" s="12" t="s">
        <v>268</v>
      </c>
      <c r="J471" t="s">
        <v>278</v>
      </c>
      <c r="L471" t="s">
        <v>92</v>
      </c>
      <c r="N471" s="14">
        <v>1</v>
      </c>
      <c r="P471" s="12" t="s">
        <v>268</v>
      </c>
      <c r="W471" s="9" t="str">
        <f t="shared" ca="1" si="36"/>
        <v>18.5%</v>
      </c>
      <c r="X471" t="s">
        <v>321</v>
      </c>
      <c r="Y471" s="9" t="str">
        <f t="shared" ca="1" si="37"/>
        <v>Sin costo</v>
      </c>
      <c r="Z471" t="s">
        <v>327</v>
      </c>
      <c r="AA471" t="s">
        <v>329</v>
      </c>
      <c r="AB471" t="s">
        <v>334</v>
      </c>
      <c r="AC471" s="12" t="s">
        <v>339</v>
      </c>
      <c r="AE471" t="s">
        <v>268</v>
      </c>
      <c r="AG471" s="12" t="s">
        <v>268</v>
      </c>
      <c r="AH471" t="s">
        <v>92</v>
      </c>
      <c r="AI471" s="12" t="s">
        <v>268</v>
      </c>
      <c r="AJ471" t="s">
        <v>92</v>
      </c>
      <c r="AK471" t="s">
        <v>92</v>
      </c>
      <c r="AL471" t="s">
        <v>92</v>
      </c>
      <c r="AM471" s="12" t="s">
        <v>268</v>
      </c>
      <c r="AN471" s="12" t="s">
        <v>268</v>
      </c>
      <c r="AO471" s="12" t="s">
        <v>268</v>
      </c>
      <c r="AP471" s="12" t="s">
        <v>268</v>
      </c>
      <c r="AQ471" s="12" t="s">
        <v>268</v>
      </c>
      <c r="AR471" s="28" t="str">
        <f t="shared" ca="1" si="38"/>
        <v/>
      </c>
      <c r="AS471" s="28" t="str">
        <f t="shared" ca="1" si="39"/>
        <v/>
      </c>
    </row>
    <row r="472" spans="2:45" ht="27.6" customHeight="1">
      <c r="B472">
        <f t="shared" ca="1" si="35"/>
        <v>0</v>
      </c>
      <c r="C472" t="s">
        <v>85</v>
      </c>
      <c r="D472" t="s">
        <v>92</v>
      </c>
      <c r="E472" t="s">
        <v>92</v>
      </c>
      <c r="F472" t="s">
        <v>92</v>
      </c>
      <c r="G472" t="s">
        <v>92</v>
      </c>
      <c r="H472" t="s">
        <v>92</v>
      </c>
      <c r="I472" s="12" t="s">
        <v>268</v>
      </c>
      <c r="J472" t="s">
        <v>278</v>
      </c>
      <c r="L472" t="s">
        <v>92</v>
      </c>
      <c r="N472" s="14">
        <v>1</v>
      </c>
      <c r="P472" s="12" t="s">
        <v>268</v>
      </c>
      <c r="W472" s="9" t="str">
        <f t="shared" ca="1" si="36"/>
        <v>18.5%</v>
      </c>
      <c r="X472" t="s">
        <v>321</v>
      </c>
      <c r="Y472" s="9" t="str">
        <f t="shared" ca="1" si="37"/>
        <v>Sin costo</v>
      </c>
      <c r="Z472" t="s">
        <v>327</v>
      </c>
      <c r="AA472" t="s">
        <v>329</v>
      </c>
      <c r="AB472" t="s">
        <v>334</v>
      </c>
      <c r="AC472" s="12" t="s">
        <v>339</v>
      </c>
      <c r="AE472" t="s">
        <v>268</v>
      </c>
      <c r="AG472" s="12" t="s">
        <v>268</v>
      </c>
      <c r="AH472" t="s">
        <v>92</v>
      </c>
      <c r="AI472" s="12" t="s">
        <v>268</v>
      </c>
      <c r="AJ472" t="s">
        <v>92</v>
      </c>
      <c r="AK472" t="s">
        <v>92</v>
      </c>
      <c r="AL472" t="s">
        <v>92</v>
      </c>
      <c r="AM472" s="12" t="s">
        <v>268</v>
      </c>
      <c r="AN472" s="12" t="s">
        <v>268</v>
      </c>
      <c r="AO472" s="12" t="s">
        <v>268</v>
      </c>
      <c r="AP472" s="12" t="s">
        <v>268</v>
      </c>
      <c r="AQ472" s="12" t="s">
        <v>268</v>
      </c>
      <c r="AR472" s="28" t="str">
        <f t="shared" ca="1" si="38"/>
        <v/>
      </c>
      <c r="AS472" s="28" t="str">
        <f t="shared" ca="1" si="39"/>
        <v/>
      </c>
    </row>
    <row r="473" spans="2:45" ht="27.6" customHeight="1">
      <c r="B473">
        <f t="shared" ca="1" si="35"/>
        <v>0</v>
      </c>
      <c r="C473" t="s">
        <v>85</v>
      </c>
      <c r="D473" t="s">
        <v>92</v>
      </c>
      <c r="E473" t="s">
        <v>92</v>
      </c>
      <c r="F473" t="s">
        <v>92</v>
      </c>
      <c r="G473" t="s">
        <v>92</v>
      </c>
      <c r="H473" t="s">
        <v>92</v>
      </c>
      <c r="I473" s="12" t="s">
        <v>268</v>
      </c>
      <c r="J473" t="s">
        <v>278</v>
      </c>
      <c r="L473" t="s">
        <v>92</v>
      </c>
      <c r="N473" s="14">
        <v>1</v>
      </c>
      <c r="P473" s="12" t="s">
        <v>268</v>
      </c>
      <c r="W473" s="9" t="str">
        <f t="shared" ca="1" si="36"/>
        <v>18.5%</v>
      </c>
      <c r="X473" t="s">
        <v>321</v>
      </c>
      <c r="Y473" s="9" t="str">
        <f t="shared" ca="1" si="37"/>
        <v>Sin costo</v>
      </c>
      <c r="Z473" t="s">
        <v>327</v>
      </c>
      <c r="AA473" t="s">
        <v>329</v>
      </c>
      <c r="AB473" t="s">
        <v>334</v>
      </c>
      <c r="AC473" s="12" t="s">
        <v>339</v>
      </c>
      <c r="AE473" t="s">
        <v>268</v>
      </c>
      <c r="AG473" s="12" t="s">
        <v>268</v>
      </c>
      <c r="AH473" t="s">
        <v>92</v>
      </c>
      <c r="AI473" s="12" t="s">
        <v>268</v>
      </c>
      <c r="AJ473" t="s">
        <v>92</v>
      </c>
      <c r="AK473" t="s">
        <v>92</v>
      </c>
      <c r="AL473" t="s">
        <v>92</v>
      </c>
      <c r="AM473" s="12" t="s">
        <v>268</v>
      </c>
      <c r="AN473" s="12" t="s">
        <v>268</v>
      </c>
      <c r="AO473" s="12" t="s">
        <v>268</v>
      </c>
      <c r="AP473" s="12" t="s">
        <v>268</v>
      </c>
      <c r="AQ473" s="12" t="s">
        <v>268</v>
      </c>
      <c r="AR473" s="28" t="str">
        <f t="shared" ca="1" si="38"/>
        <v/>
      </c>
      <c r="AS473" s="28" t="str">
        <f t="shared" ca="1" si="39"/>
        <v/>
      </c>
    </row>
    <row r="474" spans="2:45" ht="27.6" customHeight="1">
      <c r="B474">
        <f t="shared" ca="1" si="35"/>
        <v>0</v>
      </c>
      <c r="C474" t="s">
        <v>85</v>
      </c>
      <c r="D474" t="s">
        <v>92</v>
      </c>
      <c r="E474" t="s">
        <v>92</v>
      </c>
      <c r="F474" t="s">
        <v>92</v>
      </c>
      <c r="G474" t="s">
        <v>92</v>
      </c>
      <c r="H474" t="s">
        <v>92</v>
      </c>
      <c r="I474" s="12" t="s">
        <v>268</v>
      </c>
      <c r="J474" t="s">
        <v>278</v>
      </c>
      <c r="L474" t="s">
        <v>92</v>
      </c>
      <c r="N474" s="14">
        <v>1</v>
      </c>
      <c r="P474" s="12" t="s">
        <v>268</v>
      </c>
      <c r="W474" s="9" t="str">
        <f t="shared" ca="1" si="36"/>
        <v>18.5%</v>
      </c>
      <c r="X474" t="s">
        <v>321</v>
      </c>
      <c r="Y474" s="9" t="str">
        <f t="shared" ca="1" si="37"/>
        <v>Sin costo</v>
      </c>
      <c r="Z474" t="s">
        <v>327</v>
      </c>
      <c r="AA474" t="s">
        <v>329</v>
      </c>
      <c r="AB474" t="s">
        <v>334</v>
      </c>
      <c r="AC474" s="12" t="s">
        <v>339</v>
      </c>
      <c r="AE474" t="s">
        <v>268</v>
      </c>
      <c r="AG474" s="12" t="s">
        <v>268</v>
      </c>
      <c r="AH474" t="s">
        <v>92</v>
      </c>
      <c r="AI474" s="12" t="s">
        <v>268</v>
      </c>
      <c r="AJ474" t="s">
        <v>92</v>
      </c>
      <c r="AK474" t="s">
        <v>92</v>
      </c>
      <c r="AL474" t="s">
        <v>92</v>
      </c>
      <c r="AM474" s="12" t="s">
        <v>268</v>
      </c>
      <c r="AN474" s="12" t="s">
        <v>268</v>
      </c>
      <c r="AO474" s="12" t="s">
        <v>268</v>
      </c>
      <c r="AP474" s="12" t="s">
        <v>268</v>
      </c>
      <c r="AQ474" s="12" t="s">
        <v>268</v>
      </c>
      <c r="AR474" s="28" t="str">
        <f t="shared" ca="1" si="38"/>
        <v/>
      </c>
      <c r="AS474" s="28" t="str">
        <f t="shared" ca="1" si="39"/>
        <v/>
      </c>
    </row>
    <row r="475" spans="2:45" ht="27.6" customHeight="1">
      <c r="B475">
        <f t="shared" ca="1" si="35"/>
        <v>0</v>
      </c>
      <c r="C475" t="s">
        <v>85</v>
      </c>
      <c r="D475" t="s">
        <v>92</v>
      </c>
      <c r="E475" t="s">
        <v>92</v>
      </c>
      <c r="F475" t="s">
        <v>92</v>
      </c>
      <c r="G475" t="s">
        <v>92</v>
      </c>
      <c r="H475" t="s">
        <v>92</v>
      </c>
      <c r="I475" s="12" t="s">
        <v>268</v>
      </c>
      <c r="J475" t="s">
        <v>278</v>
      </c>
      <c r="L475" t="s">
        <v>92</v>
      </c>
      <c r="N475" s="14">
        <v>1</v>
      </c>
      <c r="P475" s="12" t="s">
        <v>268</v>
      </c>
      <c r="W475" s="9" t="str">
        <f t="shared" ca="1" si="36"/>
        <v>18.5%</v>
      </c>
      <c r="X475" t="s">
        <v>321</v>
      </c>
      <c r="Y475" s="9" t="str">
        <f t="shared" ca="1" si="37"/>
        <v>Sin costo</v>
      </c>
      <c r="Z475" t="s">
        <v>327</v>
      </c>
      <c r="AA475" t="s">
        <v>329</v>
      </c>
      <c r="AB475" t="s">
        <v>334</v>
      </c>
      <c r="AC475" s="12" t="s">
        <v>339</v>
      </c>
      <c r="AE475" t="s">
        <v>268</v>
      </c>
      <c r="AG475" s="12" t="s">
        <v>268</v>
      </c>
      <c r="AH475" t="s">
        <v>92</v>
      </c>
      <c r="AI475" s="12" t="s">
        <v>268</v>
      </c>
      <c r="AJ475" t="s">
        <v>92</v>
      </c>
      <c r="AK475" t="s">
        <v>92</v>
      </c>
      <c r="AL475" t="s">
        <v>92</v>
      </c>
      <c r="AM475" s="12" t="s">
        <v>268</v>
      </c>
      <c r="AN475" s="12" t="s">
        <v>268</v>
      </c>
      <c r="AO475" s="12" t="s">
        <v>268</v>
      </c>
      <c r="AP475" s="12" t="s">
        <v>268</v>
      </c>
      <c r="AQ475" s="12" t="s">
        <v>268</v>
      </c>
      <c r="AR475" s="28" t="str">
        <f t="shared" ca="1" si="38"/>
        <v/>
      </c>
      <c r="AS475" s="28" t="str">
        <f t="shared" ca="1" si="39"/>
        <v/>
      </c>
    </row>
    <row r="476" spans="2:45" ht="27.6" customHeight="1">
      <c r="B476">
        <f t="shared" ca="1" si="35"/>
        <v>0</v>
      </c>
      <c r="C476" t="s">
        <v>85</v>
      </c>
      <c r="D476" t="s">
        <v>92</v>
      </c>
      <c r="E476" t="s">
        <v>92</v>
      </c>
      <c r="F476" t="s">
        <v>92</v>
      </c>
      <c r="G476" t="s">
        <v>92</v>
      </c>
      <c r="H476" t="s">
        <v>92</v>
      </c>
      <c r="I476" s="12" t="s">
        <v>268</v>
      </c>
      <c r="J476" t="s">
        <v>278</v>
      </c>
      <c r="L476" t="s">
        <v>92</v>
      </c>
      <c r="N476" s="14">
        <v>1</v>
      </c>
      <c r="P476" s="12" t="s">
        <v>268</v>
      </c>
      <c r="W476" s="9" t="str">
        <f t="shared" ca="1" si="36"/>
        <v>18.5%</v>
      </c>
      <c r="X476" t="s">
        <v>321</v>
      </c>
      <c r="Y476" s="9" t="str">
        <f t="shared" ca="1" si="37"/>
        <v>Sin costo</v>
      </c>
      <c r="Z476" t="s">
        <v>327</v>
      </c>
      <c r="AA476" t="s">
        <v>329</v>
      </c>
      <c r="AB476" t="s">
        <v>334</v>
      </c>
      <c r="AC476" s="12" t="s">
        <v>339</v>
      </c>
      <c r="AE476" t="s">
        <v>268</v>
      </c>
      <c r="AG476" s="12" t="s">
        <v>268</v>
      </c>
      <c r="AH476" t="s">
        <v>92</v>
      </c>
      <c r="AI476" s="12" t="s">
        <v>268</v>
      </c>
      <c r="AJ476" t="s">
        <v>92</v>
      </c>
      <c r="AK476" t="s">
        <v>92</v>
      </c>
      <c r="AL476" t="s">
        <v>92</v>
      </c>
      <c r="AM476" s="12" t="s">
        <v>268</v>
      </c>
      <c r="AN476" s="12" t="s">
        <v>268</v>
      </c>
      <c r="AO476" s="12" t="s">
        <v>268</v>
      </c>
      <c r="AP476" s="12" t="s">
        <v>268</v>
      </c>
      <c r="AQ476" s="12" t="s">
        <v>268</v>
      </c>
      <c r="AR476" s="28" t="str">
        <f t="shared" ca="1" si="38"/>
        <v/>
      </c>
      <c r="AS476" s="28" t="str">
        <f t="shared" ca="1" si="39"/>
        <v/>
      </c>
    </row>
    <row r="477" spans="2:45" ht="27.6" customHeight="1">
      <c r="B477">
        <f t="shared" ca="1" si="35"/>
        <v>0</v>
      </c>
      <c r="C477" t="s">
        <v>85</v>
      </c>
      <c r="D477" t="s">
        <v>92</v>
      </c>
      <c r="E477" t="s">
        <v>92</v>
      </c>
      <c r="F477" t="s">
        <v>92</v>
      </c>
      <c r="G477" t="s">
        <v>92</v>
      </c>
      <c r="H477" t="s">
        <v>92</v>
      </c>
      <c r="I477" s="12" t="s">
        <v>268</v>
      </c>
      <c r="J477" t="s">
        <v>278</v>
      </c>
      <c r="L477" t="s">
        <v>92</v>
      </c>
      <c r="N477" s="14">
        <v>1</v>
      </c>
      <c r="P477" s="12" t="s">
        <v>268</v>
      </c>
      <c r="W477" s="9" t="str">
        <f t="shared" ca="1" si="36"/>
        <v>18.5%</v>
      </c>
      <c r="X477" t="s">
        <v>321</v>
      </c>
      <c r="Y477" s="9" t="str">
        <f t="shared" ca="1" si="37"/>
        <v>Sin costo</v>
      </c>
      <c r="Z477" t="s">
        <v>327</v>
      </c>
      <c r="AA477" t="s">
        <v>329</v>
      </c>
      <c r="AB477" t="s">
        <v>334</v>
      </c>
      <c r="AC477" s="12" t="s">
        <v>339</v>
      </c>
      <c r="AE477" t="s">
        <v>268</v>
      </c>
      <c r="AG477" s="12" t="s">
        <v>268</v>
      </c>
      <c r="AH477" t="s">
        <v>92</v>
      </c>
      <c r="AI477" s="12" t="s">
        <v>268</v>
      </c>
      <c r="AJ477" t="s">
        <v>92</v>
      </c>
      <c r="AK477" t="s">
        <v>92</v>
      </c>
      <c r="AL477" t="s">
        <v>92</v>
      </c>
      <c r="AM477" s="12" t="s">
        <v>268</v>
      </c>
      <c r="AN477" s="12" t="s">
        <v>268</v>
      </c>
      <c r="AO477" s="12" t="s">
        <v>268</v>
      </c>
      <c r="AP477" s="12" t="s">
        <v>268</v>
      </c>
      <c r="AQ477" s="12" t="s">
        <v>268</v>
      </c>
      <c r="AR477" s="28" t="str">
        <f t="shared" ca="1" si="38"/>
        <v/>
      </c>
      <c r="AS477" s="28" t="str">
        <f t="shared" ca="1" si="39"/>
        <v/>
      </c>
    </row>
    <row r="478" spans="2:45" ht="27.6" customHeight="1">
      <c r="B478">
        <f t="shared" ca="1" si="35"/>
        <v>0</v>
      </c>
      <c r="C478" t="s">
        <v>85</v>
      </c>
      <c r="D478" t="s">
        <v>92</v>
      </c>
      <c r="E478" t="s">
        <v>92</v>
      </c>
      <c r="F478" t="s">
        <v>92</v>
      </c>
      <c r="G478" t="s">
        <v>92</v>
      </c>
      <c r="H478" t="s">
        <v>92</v>
      </c>
      <c r="I478" s="12" t="s">
        <v>268</v>
      </c>
      <c r="J478" t="s">
        <v>278</v>
      </c>
      <c r="L478" t="s">
        <v>92</v>
      </c>
      <c r="N478" s="14">
        <v>1</v>
      </c>
      <c r="P478" s="12" t="s">
        <v>268</v>
      </c>
      <c r="W478" s="9" t="str">
        <f t="shared" ca="1" si="36"/>
        <v>18.5%</v>
      </c>
      <c r="X478" t="s">
        <v>321</v>
      </c>
      <c r="Y478" s="9" t="str">
        <f t="shared" ca="1" si="37"/>
        <v>Sin costo</v>
      </c>
      <c r="Z478" t="s">
        <v>327</v>
      </c>
      <c r="AA478" t="s">
        <v>329</v>
      </c>
      <c r="AB478" t="s">
        <v>334</v>
      </c>
      <c r="AC478" s="12" t="s">
        <v>339</v>
      </c>
      <c r="AE478" t="s">
        <v>268</v>
      </c>
      <c r="AG478" s="12" t="s">
        <v>268</v>
      </c>
      <c r="AH478" t="s">
        <v>92</v>
      </c>
      <c r="AI478" s="12" t="s">
        <v>268</v>
      </c>
      <c r="AJ478" t="s">
        <v>92</v>
      </c>
      <c r="AK478" t="s">
        <v>92</v>
      </c>
      <c r="AL478" t="s">
        <v>92</v>
      </c>
      <c r="AM478" s="12" t="s">
        <v>268</v>
      </c>
      <c r="AN478" s="12" t="s">
        <v>268</v>
      </c>
      <c r="AO478" s="12" t="s">
        <v>268</v>
      </c>
      <c r="AP478" s="12" t="s">
        <v>268</v>
      </c>
      <c r="AQ478" s="12" t="s">
        <v>268</v>
      </c>
      <c r="AR478" s="28" t="str">
        <f t="shared" ca="1" si="38"/>
        <v/>
      </c>
      <c r="AS478" s="28" t="str">
        <f t="shared" ca="1" si="39"/>
        <v/>
      </c>
    </row>
    <row r="479" spans="2:45" ht="27.6" customHeight="1">
      <c r="B479">
        <f t="shared" ca="1" si="35"/>
        <v>0</v>
      </c>
      <c r="C479" t="s">
        <v>85</v>
      </c>
      <c r="D479" t="s">
        <v>92</v>
      </c>
      <c r="E479" t="s">
        <v>92</v>
      </c>
      <c r="F479" t="s">
        <v>92</v>
      </c>
      <c r="G479" t="s">
        <v>92</v>
      </c>
      <c r="H479" t="s">
        <v>92</v>
      </c>
      <c r="I479" s="12" t="s">
        <v>268</v>
      </c>
      <c r="J479" t="s">
        <v>278</v>
      </c>
      <c r="L479" t="s">
        <v>92</v>
      </c>
      <c r="N479" s="14">
        <v>1</v>
      </c>
      <c r="P479" s="12" t="s">
        <v>268</v>
      </c>
      <c r="W479" s="9" t="str">
        <f t="shared" ca="1" si="36"/>
        <v>18.5%</v>
      </c>
      <c r="X479" t="s">
        <v>321</v>
      </c>
      <c r="Y479" s="9" t="str">
        <f t="shared" ca="1" si="37"/>
        <v>Sin costo</v>
      </c>
      <c r="Z479" t="s">
        <v>327</v>
      </c>
      <c r="AA479" t="s">
        <v>329</v>
      </c>
      <c r="AB479" t="s">
        <v>334</v>
      </c>
      <c r="AC479" s="12" t="s">
        <v>339</v>
      </c>
      <c r="AE479" t="s">
        <v>268</v>
      </c>
      <c r="AG479" s="12" t="s">
        <v>268</v>
      </c>
      <c r="AH479" t="s">
        <v>92</v>
      </c>
      <c r="AI479" s="12" t="s">
        <v>268</v>
      </c>
      <c r="AJ479" t="s">
        <v>92</v>
      </c>
      <c r="AK479" t="s">
        <v>92</v>
      </c>
      <c r="AL479" t="s">
        <v>92</v>
      </c>
      <c r="AM479" s="12" t="s">
        <v>268</v>
      </c>
      <c r="AN479" s="12" t="s">
        <v>268</v>
      </c>
      <c r="AO479" s="12" t="s">
        <v>268</v>
      </c>
      <c r="AP479" s="12" t="s">
        <v>268</v>
      </c>
      <c r="AQ479" s="12" t="s">
        <v>268</v>
      </c>
      <c r="AR479" s="28" t="str">
        <f t="shared" ca="1" si="38"/>
        <v/>
      </c>
      <c r="AS479" s="28" t="str">
        <f t="shared" ca="1" si="39"/>
        <v/>
      </c>
    </row>
    <row r="480" spans="2:45" ht="27.6" customHeight="1">
      <c r="B480">
        <f t="shared" ca="1" si="35"/>
        <v>0</v>
      </c>
      <c r="C480" t="s">
        <v>85</v>
      </c>
      <c r="D480" t="s">
        <v>92</v>
      </c>
      <c r="E480" t="s">
        <v>92</v>
      </c>
      <c r="F480" t="s">
        <v>92</v>
      </c>
      <c r="G480" t="s">
        <v>92</v>
      </c>
      <c r="H480" t="s">
        <v>92</v>
      </c>
      <c r="I480" s="12" t="s">
        <v>268</v>
      </c>
      <c r="J480" t="s">
        <v>278</v>
      </c>
      <c r="L480" t="s">
        <v>92</v>
      </c>
      <c r="N480" s="14">
        <v>1</v>
      </c>
      <c r="P480" s="12" t="s">
        <v>268</v>
      </c>
      <c r="W480" s="9" t="str">
        <f t="shared" ca="1" si="36"/>
        <v>18.5%</v>
      </c>
      <c r="X480" t="s">
        <v>321</v>
      </c>
      <c r="Y480" s="9" t="str">
        <f t="shared" ca="1" si="37"/>
        <v>Sin costo</v>
      </c>
      <c r="Z480" t="s">
        <v>327</v>
      </c>
      <c r="AA480" t="s">
        <v>329</v>
      </c>
      <c r="AB480" t="s">
        <v>334</v>
      </c>
      <c r="AC480" s="12" t="s">
        <v>339</v>
      </c>
      <c r="AE480" t="s">
        <v>268</v>
      </c>
      <c r="AG480" s="12" t="s">
        <v>268</v>
      </c>
      <c r="AH480" t="s">
        <v>92</v>
      </c>
      <c r="AI480" s="12" t="s">
        <v>268</v>
      </c>
      <c r="AJ480" t="s">
        <v>92</v>
      </c>
      <c r="AK480" t="s">
        <v>92</v>
      </c>
      <c r="AL480" t="s">
        <v>92</v>
      </c>
      <c r="AM480" s="12" t="s">
        <v>268</v>
      </c>
      <c r="AN480" s="12" t="s">
        <v>268</v>
      </c>
      <c r="AO480" s="12" t="s">
        <v>268</v>
      </c>
      <c r="AP480" s="12" t="s">
        <v>268</v>
      </c>
      <c r="AQ480" s="12" t="s">
        <v>268</v>
      </c>
      <c r="AR480" s="28" t="str">
        <f t="shared" ca="1" si="38"/>
        <v/>
      </c>
      <c r="AS480" s="28" t="str">
        <f t="shared" ca="1" si="39"/>
        <v/>
      </c>
    </row>
    <row r="481" spans="2:45" ht="27.6" customHeight="1">
      <c r="B481">
        <f t="shared" ca="1" si="35"/>
        <v>0</v>
      </c>
      <c r="C481" t="s">
        <v>85</v>
      </c>
      <c r="D481" t="s">
        <v>92</v>
      </c>
      <c r="E481" t="s">
        <v>92</v>
      </c>
      <c r="F481" t="s">
        <v>92</v>
      </c>
      <c r="G481" t="s">
        <v>92</v>
      </c>
      <c r="H481" t="s">
        <v>92</v>
      </c>
      <c r="I481" s="12" t="s">
        <v>268</v>
      </c>
      <c r="J481" t="s">
        <v>278</v>
      </c>
      <c r="L481" t="s">
        <v>92</v>
      </c>
      <c r="N481" s="14">
        <v>1</v>
      </c>
      <c r="P481" s="12" t="s">
        <v>268</v>
      </c>
      <c r="W481" s="9" t="str">
        <f t="shared" ca="1" si="36"/>
        <v>18.5%</v>
      </c>
      <c r="X481" t="s">
        <v>321</v>
      </c>
      <c r="Y481" s="9" t="str">
        <f t="shared" ca="1" si="37"/>
        <v>Sin costo</v>
      </c>
      <c r="Z481" t="s">
        <v>327</v>
      </c>
      <c r="AA481" t="s">
        <v>329</v>
      </c>
      <c r="AB481" t="s">
        <v>334</v>
      </c>
      <c r="AC481" s="12" t="s">
        <v>339</v>
      </c>
      <c r="AE481" t="s">
        <v>268</v>
      </c>
      <c r="AG481" s="12" t="s">
        <v>268</v>
      </c>
      <c r="AH481" t="s">
        <v>92</v>
      </c>
      <c r="AI481" s="12" t="s">
        <v>268</v>
      </c>
      <c r="AJ481" t="s">
        <v>92</v>
      </c>
      <c r="AK481" t="s">
        <v>92</v>
      </c>
      <c r="AL481" t="s">
        <v>92</v>
      </c>
      <c r="AM481" s="12" t="s">
        <v>268</v>
      </c>
      <c r="AN481" s="12" t="s">
        <v>268</v>
      </c>
      <c r="AO481" s="12" t="s">
        <v>268</v>
      </c>
      <c r="AP481" s="12" t="s">
        <v>268</v>
      </c>
      <c r="AQ481" s="12" t="s">
        <v>268</v>
      </c>
      <c r="AR481" s="28" t="str">
        <f t="shared" ca="1" si="38"/>
        <v/>
      </c>
      <c r="AS481" s="28" t="str">
        <f t="shared" ca="1" si="39"/>
        <v/>
      </c>
    </row>
    <row r="482" spans="2:45" ht="27.6" customHeight="1">
      <c r="B482">
        <f t="shared" ca="1" si="35"/>
        <v>0</v>
      </c>
      <c r="C482" t="s">
        <v>85</v>
      </c>
      <c r="D482" t="s">
        <v>92</v>
      </c>
      <c r="E482" t="s">
        <v>92</v>
      </c>
      <c r="F482" t="s">
        <v>92</v>
      </c>
      <c r="G482" t="s">
        <v>92</v>
      </c>
      <c r="H482" t="s">
        <v>92</v>
      </c>
      <c r="I482" s="12" t="s">
        <v>268</v>
      </c>
      <c r="J482" t="s">
        <v>278</v>
      </c>
      <c r="L482" t="s">
        <v>92</v>
      </c>
      <c r="N482" s="14">
        <v>1</v>
      </c>
      <c r="P482" s="12" t="s">
        <v>268</v>
      </c>
      <c r="W482" s="9" t="str">
        <f t="shared" ca="1" si="36"/>
        <v>18.5%</v>
      </c>
      <c r="X482" t="s">
        <v>321</v>
      </c>
      <c r="Y482" s="9" t="str">
        <f t="shared" ca="1" si="37"/>
        <v>Sin costo</v>
      </c>
      <c r="Z482" t="s">
        <v>327</v>
      </c>
      <c r="AA482" t="s">
        <v>329</v>
      </c>
      <c r="AB482" t="s">
        <v>334</v>
      </c>
      <c r="AC482" s="12" t="s">
        <v>339</v>
      </c>
      <c r="AE482" t="s">
        <v>268</v>
      </c>
      <c r="AG482" s="12" t="s">
        <v>268</v>
      </c>
      <c r="AH482" t="s">
        <v>92</v>
      </c>
      <c r="AI482" s="12" t="s">
        <v>268</v>
      </c>
      <c r="AJ482" t="s">
        <v>92</v>
      </c>
      <c r="AK482" t="s">
        <v>92</v>
      </c>
      <c r="AL482" t="s">
        <v>92</v>
      </c>
      <c r="AM482" s="12" t="s">
        <v>268</v>
      </c>
      <c r="AN482" s="12" t="s">
        <v>268</v>
      </c>
      <c r="AO482" s="12" t="s">
        <v>268</v>
      </c>
      <c r="AP482" s="12" t="s">
        <v>268</v>
      </c>
      <c r="AQ482" s="12" t="s">
        <v>268</v>
      </c>
      <c r="AR482" s="28" t="str">
        <f t="shared" ca="1" si="38"/>
        <v/>
      </c>
      <c r="AS482" s="28" t="str">
        <f t="shared" ca="1" si="39"/>
        <v/>
      </c>
    </row>
    <row r="483" spans="2:45" ht="27.6" customHeight="1">
      <c r="B483">
        <f t="shared" ca="1" si="35"/>
        <v>0</v>
      </c>
      <c r="C483" t="s">
        <v>85</v>
      </c>
      <c r="D483" t="s">
        <v>92</v>
      </c>
      <c r="E483" t="s">
        <v>92</v>
      </c>
      <c r="F483" t="s">
        <v>92</v>
      </c>
      <c r="G483" t="s">
        <v>92</v>
      </c>
      <c r="H483" t="s">
        <v>92</v>
      </c>
      <c r="I483" s="12" t="s">
        <v>268</v>
      </c>
      <c r="J483" t="s">
        <v>278</v>
      </c>
      <c r="L483" t="s">
        <v>92</v>
      </c>
      <c r="N483" s="14">
        <v>1</v>
      </c>
      <c r="P483" s="12" t="s">
        <v>268</v>
      </c>
      <c r="W483" s="9" t="str">
        <f t="shared" ca="1" si="36"/>
        <v>18.5%</v>
      </c>
      <c r="X483" t="s">
        <v>321</v>
      </c>
      <c r="Y483" s="9" t="str">
        <f t="shared" ca="1" si="37"/>
        <v>Sin costo</v>
      </c>
      <c r="Z483" t="s">
        <v>327</v>
      </c>
      <c r="AA483" t="s">
        <v>329</v>
      </c>
      <c r="AB483" t="s">
        <v>334</v>
      </c>
      <c r="AC483" s="12" t="s">
        <v>339</v>
      </c>
      <c r="AE483" t="s">
        <v>268</v>
      </c>
      <c r="AG483" s="12" t="s">
        <v>268</v>
      </c>
      <c r="AH483" t="s">
        <v>92</v>
      </c>
      <c r="AI483" s="12" t="s">
        <v>268</v>
      </c>
      <c r="AJ483" t="s">
        <v>92</v>
      </c>
      <c r="AK483" t="s">
        <v>92</v>
      </c>
      <c r="AL483" t="s">
        <v>92</v>
      </c>
      <c r="AM483" s="12" t="s">
        <v>268</v>
      </c>
      <c r="AN483" s="12" t="s">
        <v>268</v>
      </c>
      <c r="AO483" s="12" t="s">
        <v>268</v>
      </c>
      <c r="AP483" s="12" t="s">
        <v>268</v>
      </c>
      <c r="AQ483" s="12" t="s">
        <v>268</v>
      </c>
      <c r="AR483" s="28" t="str">
        <f t="shared" ca="1" si="38"/>
        <v/>
      </c>
      <c r="AS483" s="28" t="str">
        <f t="shared" ca="1" si="39"/>
        <v/>
      </c>
    </row>
    <row r="484" spans="2:45" ht="27.6" customHeight="1">
      <c r="B484">
        <f t="shared" ca="1" si="35"/>
        <v>0</v>
      </c>
      <c r="C484" t="s">
        <v>85</v>
      </c>
      <c r="D484" t="s">
        <v>92</v>
      </c>
      <c r="E484" t="s">
        <v>92</v>
      </c>
      <c r="F484" t="s">
        <v>92</v>
      </c>
      <c r="G484" t="s">
        <v>92</v>
      </c>
      <c r="H484" t="s">
        <v>92</v>
      </c>
      <c r="I484" s="12" t="s">
        <v>268</v>
      </c>
      <c r="J484" t="s">
        <v>278</v>
      </c>
      <c r="L484" t="s">
        <v>92</v>
      </c>
      <c r="N484" s="14">
        <v>1</v>
      </c>
      <c r="P484" s="12" t="s">
        <v>268</v>
      </c>
      <c r="W484" s="9" t="str">
        <f t="shared" ca="1" si="36"/>
        <v>18.5%</v>
      </c>
      <c r="X484" t="s">
        <v>321</v>
      </c>
      <c r="Y484" s="9" t="str">
        <f t="shared" ca="1" si="37"/>
        <v>Sin costo</v>
      </c>
      <c r="Z484" t="s">
        <v>327</v>
      </c>
      <c r="AA484" t="s">
        <v>329</v>
      </c>
      <c r="AB484" t="s">
        <v>334</v>
      </c>
      <c r="AC484" s="12" t="s">
        <v>339</v>
      </c>
      <c r="AE484" t="s">
        <v>268</v>
      </c>
      <c r="AG484" s="12" t="s">
        <v>268</v>
      </c>
      <c r="AH484" t="s">
        <v>92</v>
      </c>
      <c r="AI484" s="12" t="s">
        <v>268</v>
      </c>
      <c r="AJ484" t="s">
        <v>92</v>
      </c>
      <c r="AK484" t="s">
        <v>92</v>
      </c>
      <c r="AL484" t="s">
        <v>92</v>
      </c>
      <c r="AM484" s="12" t="s">
        <v>268</v>
      </c>
      <c r="AN484" s="12" t="s">
        <v>268</v>
      </c>
      <c r="AO484" s="12" t="s">
        <v>268</v>
      </c>
      <c r="AP484" s="12" t="s">
        <v>268</v>
      </c>
      <c r="AQ484" s="12" t="s">
        <v>268</v>
      </c>
      <c r="AR484" s="28" t="str">
        <f t="shared" ca="1" si="38"/>
        <v/>
      </c>
      <c r="AS484" s="28" t="str">
        <f t="shared" ca="1" si="39"/>
        <v/>
      </c>
    </row>
    <row r="485" spans="2:45" ht="27.6" customHeight="1">
      <c r="B485">
        <f t="shared" ca="1" si="35"/>
        <v>0</v>
      </c>
      <c r="C485" t="s">
        <v>85</v>
      </c>
      <c r="D485" t="s">
        <v>92</v>
      </c>
      <c r="E485" t="s">
        <v>92</v>
      </c>
      <c r="F485" t="s">
        <v>92</v>
      </c>
      <c r="G485" t="s">
        <v>92</v>
      </c>
      <c r="H485" t="s">
        <v>92</v>
      </c>
      <c r="I485" s="12" t="s">
        <v>268</v>
      </c>
      <c r="J485" t="s">
        <v>278</v>
      </c>
      <c r="L485" t="s">
        <v>92</v>
      </c>
      <c r="N485" s="14">
        <v>1</v>
      </c>
      <c r="P485" s="12" t="s">
        <v>268</v>
      </c>
      <c r="W485" s="9" t="str">
        <f t="shared" ca="1" si="36"/>
        <v>18.5%</v>
      </c>
      <c r="X485" t="s">
        <v>321</v>
      </c>
      <c r="Y485" s="9" t="str">
        <f t="shared" ca="1" si="37"/>
        <v>Sin costo</v>
      </c>
      <c r="Z485" t="s">
        <v>327</v>
      </c>
      <c r="AA485" t="s">
        <v>329</v>
      </c>
      <c r="AB485" t="s">
        <v>334</v>
      </c>
      <c r="AC485" s="12" t="s">
        <v>339</v>
      </c>
      <c r="AE485" t="s">
        <v>268</v>
      </c>
      <c r="AG485" s="12" t="s">
        <v>268</v>
      </c>
      <c r="AH485" t="s">
        <v>92</v>
      </c>
      <c r="AI485" s="12" t="s">
        <v>268</v>
      </c>
      <c r="AJ485" t="s">
        <v>92</v>
      </c>
      <c r="AK485" t="s">
        <v>92</v>
      </c>
      <c r="AL485" t="s">
        <v>92</v>
      </c>
      <c r="AM485" s="12" t="s">
        <v>268</v>
      </c>
      <c r="AN485" s="12" t="s">
        <v>268</v>
      </c>
      <c r="AO485" s="12" t="s">
        <v>268</v>
      </c>
      <c r="AP485" s="12" t="s">
        <v>268</v>
      </c>
      <c r="AQ485" s="12" t="s">
        <v>268</v>
      </c>
      <c r="AR485" s="28" t="str">
        <f t="shared" ca="1" si="38"/>
        <v/>
      </c>
      <c r="AS485" s="28" t="str">
        <f t="shared" ca="1" si="39"/>
        <v/>
      </c>
    </row>
    <row r="486" spans="2:45" ht="27.6" customHeight="1">
      <c r="B486">
        <f t="shared" ca="1" si="35"/>
        <v>0</v>
      </c>
      <c r="C486" t="s">
        <v>85</v>
      </c>
      <c r="D486" t="s">
        <v>92</v>
      </c>
      <c r="E486" t="s">
        <v>92</v>
      </c>
      <c r="F486" t="s">
        <v>92</v>
      </c>
      <c r="G486" t="s">
        <v>92</v>
      </c>
      <c r="H486" t="s">
        <v>92</v>
      </c>
      <c r="I486" s="12" t="s">
        <v>268</v>
      </c>
      <c r="J486" t="s">
        <v>278</v>
      </c>
      <c r="L486" t="s">
        <v>92</v>
      </c>
      <c r="N486" s="14">
        <v>1</v>
      </c>
      <c r="P486" s="12" t="s">
        <v>268</v>
      </c>
      <c r="W486" s="9" t="str">
        <f t="shared" ca="1" si="36"/>
        <v>18.5%</v>
      </c>
      <c r="X486" t="s">
        <v>321</v>
      </c>
      <c r="Y486" s="9" t="str">
        <f t="shared" ca="1" si="37"/>
        <v>Sin costo</v>
      </c>
      <c r="Z486" t="s">
        <v>327</v>
      </c>
      <c r="AA486" t="s">
        <v>329</v>
      </c>
      <c r="AB486" t="s">
        <v>334</v>
      </c>
      <c r="AC486" s="12" t="s">
        <v>339</v>
      </c>
      <c r="AE486" t="s">
        <v>268</v>
      </c>
      <c r="AG486" s="12" t="s">
        <v>268</v>
      </c>
      <c r="AH486" t="s">
        <v>92</v>
      </c>
      <c r="AI486" s="12" t="s">
        <v>268</v>
      </c>
      <c r="AJ486" t="s">
        <v>92</v>
      </c>
      <c r="AK486" t="s">
        <v>92</v>
      </c>
      <c r="AL486" t="s">
        <v>92</v>
      </c>
      <c r="AM486" s="12" t="s">
        <v>268</v>
      </c>
      <c r="AN486" s="12" t="s">
        <v>268</v>
      </c>
      <c r="AO486" s="12" t="s">
        <v>268</v>
      </c>
      <c r="AP486" s="12" t="s">
        <v>268</v>
      </c>
      <c r="AQ486" s="12" t="s">
        <v>268</v>
      </c>
      <c r="AR486" s="28" t="str">
        <f t="shared" ca="1" si="38"/>
        <v/>
      </c>
      <c r="AS486" s="28" t="str">
        <f t="shared" ca="1" si="39"/>
        <v/>
      </c>
    </row>
    <row r="487" spans="2:45" ht="27.6" customHeight="1">
      <c r="B487">
        <f t="shared" ca="1" si="35"/>
        <v>0</v>
      </c>
      <c r="C487" t="s">
        <v>85</v>
      </c>
      <c r="D487" t="s">
        <v>92</v>
      </c>
      <c r="E487" t="s">
        <v>92</v>
      </c>
      <c r="F487" t="s">
        <v>92</v>
      </c>
      <c r="G487" t="s">
        <v>92</v>
      </c>
      <c r="H487" t="s">
        <v>92</v>
      </c>
      <c r="I487" s="12" t="s">
        <v>268</v>
      </c>
      <c r="J487" t="s">
        <v>278</v>
      </c>
      <c r="L487" t="s">
        <v>92</v>
      </c>
      <c r="N487" s="14">
        <v>1</v>
      </c>
      <c r="P487" s="12" t="s">
        <v>268</v>
      </c>
      <c r="W487" s="9" t="str">
        <f t="shared" ca="1" si="36"/>
        <v>18.5%</v>
      </c>
      <c r="X487" t="s">
        <v>321</v>
      </c>
      <c r="Y487" s="9" t="str">
        <f t="shared" ca="1" si="37"/>
        <v>Sin costo</v>
      </c>
      <c r="Z487" t="s">
        <v>327</v>
      </c>
      <c r="AA487" t="s">
        <v>329</v>
      </c>
      <c r="AB487" t="s">
        <v>334</v>
      </c>
      <c r="AC487" s="12" t="s">
        <v>339</v>
      </c>
      <c r="AE487" t="s">
        <v>268</v>
      </c>
      <c r="AG487" s="12" t="s">
        <v>268</v>
      </c>
      <c r="AH487" t="s">
        <v>92</v>
      </c>
      <c r="AI487" s="12" t="s">
        <v>268</v>
      </c>
      <c r="AJ487" t="s">
        <v>92</v>
      </c>
      <c r="AK487" t="s">
        <v>92</v>
      </c>
      <c r="AL487" t="s">
        <v>92</v>
      </c>
      <c r="AM487" s="12" t="s">
        <v>268</v>
      </c>
      <c r="AN487" s="12" t="s">
        <v>268</v>
      </c>
      <c r="AO487" s="12" t="s">
        <v>268</v>
      </c>
      <c r="AP487" s="12" t="s">
        <v>268</v>
      </c>
      <c r="AQ487" s="12" t="s">
        <v>268</v>
      </c>
      <c r="AR487" s="28" t="str">
        <f t="shared" ca="1" si="38"/>
        <v/>
      </c>
      <c r="AS487" s="28" t="str">
        <f t="shared" ca="1" si="39"/>
        <v/>
      </c>
    </row>
    <row r="488" spans="2:45" ht="27.6" customHeight="1">
      <c r="B488">
        <f t="shared" ca="1" si="35"/>
        <v>0</v>
      </c>
      <c r="C488" t="s">
        <v>85</v>
      </c>
      <c r="D488" t="s">
        <v>92</v>
      </c>
      <c r="E488" t="s">
        <v>92</v>
      </c>
      <c r="F488" t="s">
        <v>92</v>
      </c>
      <c r="G488" t="s">
        <v>92</v>
      </c>
      <c r="H488" t="s">
        <v>92</v>
      </c>
      <c r="I488" s="12" t="s">
        <v>268</v>
      </c>
      <c r="J488" t="s">
        <v>278</v>
      </c>
      <c r="L488" t="s">
        <v>92</v>
      </c>
      <c r="N488" s="14">
        <v>1</v>
      </c>
      <c r="P488" s="12" t="s">
        <v>268</v>
      </c>
      <c r="W488" s="9" t="str">
        <f t="shared" ca="1" si="36"/>
        <v>18.5%</v>
      </c>
      <c r="X488" t="s">
        <v>321</v>
      </c>
      <c r="Y488" s="9" t="str">
        <f t="shared" ca="1" si="37"/>
        <v>Sin costo</v>
      </c>
      <c r="Z488" t="s">
        <v>327</v>
      </c>
      <c r="AA488" t="s">
        <v>329</v>
      </c>
      <c r="AB488" t="s">
        <v>334</v>
      </c>
      <c r="AC488" s="12" t="s">
        <v>339</v>
      </c>
      <c r="AE488" t="s">
        <v>268</v>
      </c>
      <c r="AG488" s="12" t="s">
        <v>268</v>
      </c>
      <c r="AH488" t="s">
        <v>92</v>
      </c>
      <c r="AI488" s="12" t="s">
        <v>268</v>
      </c>
      <c r="AJ488" t="s">
        <v>92</v>
      </c>
      <c r="AK488" t="s">
        <v>92</v>
      </c>
      <c r="AL488" t="s">
        <v>92</v>
      </c>
      <c r="AM488" s="12" t="s">
        <v>268</v>
      </c>
      <c r="AN488" s="12" t="s">
        <v>268</v>
      </c>
      <c r="AO488" s="12" t="s">
        <v>268</v>
      </c>
      <c r="AP488" s="12" t="s">
        <v>268</v>
      </c>
      <c r="AQ488" s="12" t="s">
        <v>268</v>
      </c>
      <c r="AR488" s="28" t="str">
        <f t="shared" ca="1" si="38"/>
        <v/>
      </c>
      <c r="AS488" s="28" t="str">
        <f t="shared" ca="1" si="39"/>
        <v/>
      </c>
    </row>
    <row r="489" spans="2:45" ht="27.6" customHeight="1">
      <c r="B489">
        <f t="shared" ca="1" si="35"/>
        <v>0</v>
      </c>
      <c r="C489" t="s">
        <v>85</v>
      </c>
      <c r="D489" t="s">
        <v>92</v>
      </c>
      <c r="E489" t="s">
        <v>92</v>
      </c>
      <c r="F489" t="s">
        <v>92</v>
      </c>
      <c r="G489" t="s">
        <v>92</v>
      </c>
      <c r="H489" t="s">
        <v>92</v>
      </c>
      <c r="I489" s="12" t="s">
        <v>268</v>
      </c>
      <c r="J489" t="s">
        <v>278</v>
      </c>
      <c r="L489" t="s">
        <v>92</v>
      </c>
      <c r="N489" s="14">
        <v>1</v>
      </c>
      <c r="P489" s="12" t="s">
        <v>268</v>
      </c>
      <c r="W489" s="9" t="str">
        <f t="shared" ca="1" si="36"/>
        <v>18.5%</v>
      </c>
      <c r="X489" t="s">
        <v>321</v>
      </c>
      <c r="Y489" s="9" t="str">
        <f t="shared" ca="1" si="37"/>
        <v>Sin costo</v>
      </c>
      <c r="Z489" t="s">
        <v>327</v>
      </c>
      <c r="AA489" t="s">
        <v>329</v>
      </c>
      <c r="AB489" t="s">
        <v>334</v>
      </c>
      <c r="AC489" s="12" t="s">
        <v>339</v>
      </c>
      <c r="AE489" t="s">
        <v>268</v>
      </c>
      <c r="AG489" s="12" t="s">
        <v>268</v>
      </c>
      <c r="AH489" t="s">
        <v>92</v>
      </c>
      <c r="AI489" s="12" t="s">
        <v>268</v>
      </c>
      <c r="AJ489" t="s">
        <v>92</v>
      </c>
      <c r="AK489" t="s">
        <v>92</v>
      </c>
      <c r="AL489" t="s">
        <v>92</v>
      </c>
      <c r="AM489" s="12" t="s">
        <v>268</v>
      </c>
      <c r="AN489" s="12" t="s">
        <v>268</v>
      </c>
      <c r="AO489" s="12" t="s">
        <v>268</v>
      </c>
      <c r="AP489" s="12" t="s">
        <v>268</v>
      </c>
      <c r="AQ489" s="12" t="s">
        <v>268</v>
      </c>
      <c r="AR489" s="28" t="str">
        <f t="shared" ca="1" si="38"/>
        <v/>
      </c>
      <c r="AS489" s="28" t="str">
        <f t="shared" ca="1" si="39"/>
        <v/>
      </c>
    </row>
    <row r="490" spans="2:45" ht="27.6" customHeight="1">
      <c r="B490">
        <f t="shared" ca="1" si="35"/>
        <v>0</v>
      </c>
      <c r="C490" t="s">
        <v>85</v>
      </c>
      <c r="D490" t="s">
        <v>92</v>
      </c>
      <c r="E490" t="s">
        <v>92</v>
      </c>
      <c r="F490" t="s">
        <v>92</v>
      </c>
      <c r="G490" t="s">
        <v>92</v>
      </c>
      <c r="H490" t="s">
        <v>92</v>
      </c>
      <c r="I490" s="12" t="s">
        <v>268</v>
      </c>
      <c r="J490" t="s">
        <v>278</v>
      </c>
      <c r="L490" t="s">
        <v>92</v>
      </c>
      <c r="N490" s="14">
        <v>1</v>
      </c>
      <c r="P490" s="12" t="s">
        <v>268</v>
      </c>
      <c r="W490" s="9" t="str">
        <f t="shared" ca="1" si="36"/>
        <v>18.5%</v>
      </c>
      <c r="X490" t="s">
        <v>321</v>
      </c>
      <c r="Y490" s="9" t="str">
        <f t="shared" ca="1" si="37"/>
        <v>Sin costo</v>
      </c>
      <c r="Z490" t="s">
        <v>327</v>
      </c>
      <c r="AA490" t="s">
        <v>329</v>
      </c>
      <c r="AB490" t="s">
        <v>334</v>
      </c>
      <c r="AC490" s="12" t="s">
        <v>339</v>
      </c>
      <c r="AE490" t="s">
        <v>268</v>
      </c>
      <c r="AG490" s="12" t="s">
        <v>268</v>
      </c>
      <c r="AH490" t="s">
        <v>92</v>
      </c>
      <c r="AI490" s="12" t="s">
        <v>268</v>
      </c>
      <c r="AJ490" t="s">
        <v>92</v>
      </c>
      <c r="AK490" t="s">
        <v>92</v>
      </c>
      <c r="AL490" t="s">
        <v>92</v>
      </c>
      <c r="AM490" s="12" t="s">
        <v>268</v>
      </c>
      <c r="AN490" s="12" t="s">
        <v>268</v>
      </c>
      <c r="AO490" s="12" t="s">
        <v>268</v>
      </c>
      <c r="AP490" s="12" t="s">
        <v>268</v>
      </c>
      <c r="AQ490" s="12" t="s">
        <v>268</v>
      </c>
      <c r="AR490" s="28" t="str">
        <f t="shared" ca="1" si="38"/>
        <v/>
      </c>
      <c r="AS490" s="28" t="str">
        <f t="shared" ca="1" si="39"/>
        <v/>
      </c>
    </row>
    <row r="491" spans="2:45" ht="27.6" customHeight="1">
      <c r="B491">
        <f t="shared" ca="1" si="35"/>
        <v>0</v>
      </c>
      <c r="C491" t="s">
        <v>85</v>
      </c>
      <c r="D491" t="s">
        <v>92</v>
      </c>
      <c r="E491" t="s">
        <v>92</v>
      </c>
      <c r="F491" t="s">
        <v>92</v>
      </c>
      <c r="G491" t="s">
        <v>92</v>
      </c>
      <c r="H491" t="s">
        <v>92</v>
      </c>
      <c r="I491" s="12" t="s">
        <v>268</v>
      </c>
      <c r="J491" t="s">
        <v>278</v>
      </c>
      <c r="L491" t="s">
        <v>92</v>
      </c>
      <c r="N491" s="14">
        <v>1</v>
      </c>
      <c r="P491" s="12" t="s">
        <v>268</v>
      </c>
      <c r="W491" s="9" t="str">
        <f t="shared" ca="1" si="36"/>
        <v>18.5%</v>
      </c>
      <c r="X491" t="s">
        <v>321</v>
      </c>
      <c r="Y491" s="9" t="str">
        <f t="shared" ca="1" si="37"/>
        <v>Sin costo</v>
      </c>
      <c r="Z491" t="s">
        <v>327</v>
      </c>
      <c r="AA491" t="s">
        <v>329</v>
      </c>
      <c r="AB491" t="s">
        <v>334</v>
      </c>
      <c r="AC491" s="12" t="s">
        <v>339</v>
      </c>
      <c r="AE491" t="s">
        <v>268</v>
      </c>
      <c r="AG491" s="12" t="s">
        <v>268</v>
      </c>
      <c r="AH491" t="s">
        <v>92</v>
      </c>
      <c r="AI491" s="12" t="s">
        <v>268</v>
      </c>
      <c r="AJ491" t="s">
        <v>92</v>
      </c>
      <c r="AK491" t="s">
        <v>92</v>
      </c>
      <c r="AL491" t="s">
        <v>92</v>
      </c>
      <c r="AM491" s="12" t="s">
        <v>268</v>
      </c>
      <c r="AN491" s="12" t="s">
        <v>268</v>
      </c>
      <c r="AO491" s="12" t="s">
        <v>268</v>
      </c>
      <c r="AP491" s="12" t="s">
        <v>268</v>
      </c>
      <c r="AQ491" s="12" t="s">
        <v>268</v>
      </c>
      <c r="AR491" s="28" t="str">
        <f t="shared" ca="1" si="38"/>
        <v/>
      </c>
      <c r="AS491" s="28" t="str">
        <f t="shared" ca="1" si="39"/>
        <v/>
      </c>
    </row>
    <row r="492" spans="2:45" ht="27.6" customHeight="1">
      <c r="B492">
        <f t="shared" ca="1" si="35"/>
        <v>0</v>
      </c>
      <c r="C492" t="s">
        <v>85</v>
      </c>
      <c r="D492" t="s">
        <v>92</v>
      </c>
      <c r="E492" t="s">
        <v>92</v>
      </c>
      <c r="F492" t="s">
        <v>92</v>
      </c>
      <c r="G492" t="s">
        <v>92</v>
      </c>
      <c r="H492" t="s">
        <v>92</v>
      </c>
      <c r="I492" s="12" t="s">
        <v>268</v>
      </c>
      <c r="J492" t="s">
        <v>278</v>
      </c>
      <c r="L492" t="s">
        <v>92</v>
      </c>
      <c r="N492" s="14">
        <v>1</v>
      </c>
      <c r="P492" s="12" t="s">
        <v>268</v>
      </c>
      <c r="W492" s="9" t="str">
        <f t="shared" ca="1" si="36"/>
        <v>18.5%</v>
      </c>
      <c r="X492" t="s">
        <v>321</v>
      </c>
      <c r="Y492" s="9" t="str">
        <f t="shared" ca="1" si="37"/>
        <v>Sin costo</v>
      </c>
      <c r="Z492" t="s">
        <v>327</v>
      </c>
      <c r="AA492" t="s">
        <v>329</v>
      </c>
      <c r="AB492" t="s">
        <v>334</v>
      </c>
      <c r="AC492" s="12" t="s">
        <v>339</v>
      </c>
      <c r="AE492" t="s">
        <v>268</v>
      </c>
      <c r="AG492" s="12" t="s">
        <v>268</v>
      </c>
      <c r="AH492" t="s">
        <v>92</v>
      </c>
      <c r="AI492" s="12" t="s">
        <v>268</v>
      </c>
      <c r="AJ492" t="s">
        <v>92</v>
      </c>
      <c r="AK492" t="s">
        <v>92</v>
      </c>
      <c r="AL492" t="s">
        <v>92</v>
      </c>
      <c r="AM492" s="12" t="s">
        <v>268</v>
      </c>
      <c r="AN492" s="12" t="s">
        <v>268</v>
      </c>
      <c r="AO492" s="12" t="s">
        <v>268</v>
      </c>
      <c r="AP492" s="12" t="s">
        <v>268</v>
      </c>
      <c r="AQ492" s="12" t="s">
        <v>268</v>
      </c>
      <c r="AR492" s="28" t="str">
        <f t="shared" ca="1" si="38"/>
        <v/>
      </c>
      <c r="AS492" s="28" t="str">
        <f t="shared" ca="1" si="39"/>
        <v/>
      </c>
    </row>
    <row r="493" spans="2:45" ht="27.6" customHeight="1">
      <c r="B493">
        <f t="shared" ca="1" si="35"/>
        <v>0</v>
      </c>
      <c r="C493" t="s">
        <v>85</v>
      </c>
      <c r="D493" t="s">
        <v>92</v>
      </c>
      <c r="E493" t="s">
        <v>92</v>
      </c>
      <c r="F493" t="s">
        <v>92</v>
      </c>
      <c r="G493" t="s">
        <v>92</v>
      </c>
      <c r="H493" t="s">
        <v>92</v>
      </c>
      <c r="I493" s="12" t="s">
        <v>268</v>
      </c>
      <c r="J493" t="s">
        <v>278</v>
      </c>
      <c r="L493" t="s">
        <v>92</v>
      </c>
      <c r="N493" s="14">
        <v>1</v>
      </c>
      <c r="P493" s="12" t="s">
        <v>268</v>
      </c>
      <c r="W493" s="9" t="str">
        <f t="shared" ca="1" si="36"/>
        <v>18.5%</v>
      </c>
      <c r="X493" t="s">
        <v>321</v>
      </c>
      <c r="Y493" s="9" t="str">
        <f t="shared" ca="1" si="37"/>
        <v>Sin costo</v>
      </c>
      <c r="Z493" t="s">
        <v>327</v>
      </c>
      <c r="AA493" t="s">
        <v>329</v>
      </c>
      <c r="AB493" t="s">
        <v>334</v>
      </c>
      <c r="AC493" s="12" t="s">
        <v>339</v>
      </c>
      <c r="AE493" t="s">
        <v>268</v>
      </c>
      <c r="AG493" s="12" t="s">
        <v>268</v>
      </c>
      <c r="AH493" t="s">
        <v>92</v>
      </c>
      <c r="AI493" s="12" t="s">
        <v>268</v>
      </c>
      <c r="AJ493" t="s">
        <v>92</v>
      </c>
      <c r="AK493" t="s">
        <v>92</v>
      </c>
      <c r="AL493" t="s">
        <v>92</v>
      </c>
      <c r="AM493" s="12" t="s">
        <v>268</v>
      </c>
      <c r="AN493" s="12" t="s">
        <v>268</v>
      </c>
      <c r="AO493" s="12" t="s">
        <v>268</v>
      </c>
      <c r="AP493" s="12" t="s">
        <v>268</v>
      </c>
      <c r="AQ493" s="12" t="s">
        <v>268</v>
      </c>
      <c r="AR493" s="28" t="str">
        <f t="shared" ca="1" si="38"/>
        <v/>
      </c>
      <c r="AS493" s="28" t="str">
        <f t="shared" ca="1" si="39"/>
        <v/>
      </c>
    </row>
    <row r="494" spans="2:45" ht="27.6" customHeight="1">
      <c r="B494">
        <f t="shared" ca="1" si="35"/>
        <v>0</v>
      </c>
      <c r="C494" t="s">
        <v>85</v>
      </c>
      <c r="D494" t="s">
        <v>92</v>
      </c>
      <c r="E494" t="s">
        <v>92</v>
      </c>
      <c r="F494" t="s">
        <v>92</v>
      </c>
      <c r="G494" t="s">
        <v>92</v>
      </c>
      <c r="H494" t="s">
        <v>92</v>
      </c>
      <c r="I494" s="12" t="s">
        <v>268</v>
      </c>
      <c r="J494" t="s">
        <v>278</v>
      </c>
      <c r="L494" t="s">
        <v>92</v>
      </c>
      <c r="N494" s="14">
        <v>1</v>
      </c>
      <c r="P494" s="12" t="s">
        <v>268</v>
      </c>
      <c r="W494" s="9" t="str">
        <f t="shared" ca="1" si="36"/>
        <v>18.5%</v>
      </c>
      <c r="X494" t="s">
        <v>321</v>
      </c>
      <c r="Y494" s="9" t="str">
        <f t="shared" ca="1" si="37"/>
        <v>Sin costo</v>
      </c>
      <c r="Z494" t="s">
        <v>327</v>
      </c>
      <c r="AA494" t="s">
        <v>329</v>
      </c>
      <c r="AB494" t="s">
        <v>334</v>
      </c>
      <c r="AC494" s="12" t="s">
        <v>339</v>
      </c>
      <c r="AE494" t="s">
        <v>268</v>
      </c>
      <c r="AG494" s="12" t="s">
        <v>268</v>
      </c>
      <c r="AH494" t="s">
        <v>92</v>
      </c>
      <c r="AI494" s="12" t="s">
        <v>268</v>
      </c>
      <c r="AJ494" t="s">
        <v>92</v>
      </c>
      <c r="AK494" t="s">
        <v>92</v>
      </c>
      <c r="AL494" t="s">
        <v>92</v>
      </c>
      <c r="AM494" s="12" t="s">
        <v>268</v>
      </c>
      <c r="AN494" s="12" t="s">
        <v>268</v>
      </c>
      <c r="AO494" s="12" t="s">
        <v>268</v>
      </c>
      <c r="AP494" s="12" t="s">
        <v>268</v>
      </c>
      <c r="AQ494" s="12" t="s">
        <v>268</v>
      </c>
      <c r="AR494" s="28" t="str">
        <f t="shared" ca="1" si="38"/>
        <v/>
      </c>
      <c r="AS494" s="28" t="str">
        <f t="shared" ca="1" si="39"/>
        <v/>
      </c>
    </row>
    <row r="495" spans="2:45" ht="27.6" customHeight="1">
      <c r="B495">
        <f t="shared" ca="1" si="35"/>
        <v>0</v>
      </c>
      <c r="C495" t="s">
        <v>85</v>
      </c>
      <c r="D495" t="s">
        <v>92</v>
      </c>
      <c r="E495" t="s">
        <v>92</v>
      </c>
      <c r="F495" t="s">
        <v>92</v>
      </c>
      <c r="G495" t="s">
        <v>92</v>
      </c>
      <c r="H495" t="s">
        <v>92</v>
      </c>
      <c r="I495" s="12" t="s">
        <v>268</v>
      </c>
      <c r="J495" t="s">
        <v>278</v>
      </c>
      <c r="L495" t="s">
        <v>92</v>
      </c>
      <c r="N495" s="14">
        <v>1</v>
      </c>
      <c r="P495" s="12" t="s">
        <v>268</v>
      </c>
      <c r="W495" s="9" t="str">
        <f t="shared" ca="1" si="36"/>
        <v>18.5%</v>
      </c>
      <c r="X495" t="s">
        <v>321</v>
      </c>
      <c r="Y495" s="9" t="str">
        <f t="shared" ca="1" si="37"/>
        <v>Sin costo</v>
      </c>
      <c r="Z495" t="s">
        <v>327</v>
      </c>
      <c r="AA495" t="s">
        <v>329</v>
      </c>
      <c r="AB495" t="s">
        <v>334</v>
      </c>
      <c r="AC495" s="12" t="s">
        <v>339</v>
      </c>
      <c r="AE495" t="s">
        <v>268</v>
      </c>
      <c r="AG495" s="12" t="s">
        <v>268</v>
      </c>
      <c r="AH495" t="s">
        <v>92</v>
      </c>
      <c r="AI495" s="12" t="s">
        <v>268</v>
      </c>
      <c r="AJ495" t="s">
        <v>92</v>
      </c>
      <c r="AK495" t="s">
        <v>92</v>
      </c>
      <c r="AL495" t="s">
        <v>92</v>
      </c>
      <c r="AM495" s="12" t="s">
        <v>268</v>
      </c>
      <c r="AN495" s="12" t="s">
        <v>268</v>
      </c>
      <c r="AO495" s="12" t="s">
        <v>268</v>
      </c>
      <c r="AP495" s="12" t="s">
        <v>268</v>
      </c>
      <c r="AQ495" s="12" t="s">
        <v>268</v>
      </c>
      <c r="AR495" s="28" t="str">
        <f t="shared" ca="1" si="38"/>
        <v/>
      </c>
      <c r="AS495" s="28" t="str">
        <f t="shared" ca="1" si="39"/>
        <v/>
      </c>
    </row>
    <row r="496" spans="2:45" ht="27.6" customHeight="1">
      <c r="B496">
        <f t="shared" ca="1" si="35"/>
        <v>0</v>
      </c>
      <c r="C496" t="s">
        <v>85</v>
      </c>
      <c r="D496" t="s">
        <v>92</v>
      </c>
      <c r="E496" t="s">
        <v>92</v>
      </c>
      <c r="F496" t="s">
        <v>92</v>
      </c>
      <c r="G496" t="s">
        <v>92</v>
      </c>
      <c r="H496" t="s">
        <v>92</v>
      </c>
      <c r="I496" s="12" t="s">
        <v>268</v>
      </c>
      <c r="J496" t="s">
        <v>278</v>
      </c>
      <c r="L496" t="s">
        <v>92</v>
      </c>
      <c r="N496" s="14">
        <v>1</v>
      </c>
      <c r="P496" s="12" t="s">
        <v>268</v>
      </c>
      <c r="W496" s="9" t="str">
        <f t="shared" ca="1" si="36"/>
        <v>18.5%</v>
      </c>
      <c r="X496" t="s">
        <v>321</v>
      </c>
      <c r="Y496" s="9" t="str">
        <f t="shared" ca="1" si="37"/>
        <v>Sin costo</v>
      </c>
      <c r="Z496" t="s">
        <v>327</v>
      </c>
      <c r="AA496" t="s">
        <v>329</v>
      </c>
      <c r="AB496" t="s">
        <v>334</v>
      </c>
      <c r="AC496" s="12" t="s">
        <v>339</v>
      </c>
      <c r="AE496" t="s">
        <v>268</v>
      </c>
      <c r="AG496" s="12" t="s">
        <v>268</v>
      </c>
      <c r="AH496" t="s">
        <v>92</v>
      </c>
      <c r="AI496" s="12" t="s">
        <v>268</v>
      </c>
      <c r="AJ496" t="s">
        <v>92</v>
      </c>
      <c r="AK496" t="s">
        <v>92</v>
      </c>
      <c r="AL496" t="s">
        <v>92</v>
      </c>
      <c r="AM496" s="12" t="s">
        <v>268</v>
      </c>
      <c r="AN496" s="12" t="s">
        <v>268</v>
      </c>
      <c r="AO496" s="12" t="s">
        <v>268</v>
      </c>
      <c r="AP496" s="12" t="s">
        <v>268</v>
      </c>
      <c r="AQ496" s="12" t="s">
        <v>268</v>
      </c>
      <c r="AR496" s="28" t="str">
        <f t="shared" ca="1" si="38"/>
        <v/>
      </c>
      <c r="AS496" s="28" t="str">
        <f t="shared" ca="1" si="39"/>
        <v/>
      </c>
    </row>
    <row r="497" spans="2:45" ht="27.6" customHeight="1">
      <c r="B497">
        <f t="shared" ca="1" si="35"/>
        <v>0</v>
      </c>
      <c r="C497" t="s">
        <v>85</v>
      </c>
      <c r="D497" t="s">
        <v>92</v>
      </c>
      <c r="E497" t="s">
        <v>92</v>
      </c>
      <c r="F497" t="s">
        <v>92</v>
      </c>
      <c r="G497" t="s">
        <v>92</v>
      </c>
      <c r="H497" t="s">
        <v>92</v>
      </c>
      <c r="I497" s="12" t="s">
        <v>268</v>
      </c>
      <c r="J497" t="s">
        <v>278</v>
      </c>
      <c r="L497" t="s">
        <v>92</v>
      </c>
      <c r="N497" s="14">
        <v>1</v>
      </c>
      <c r="P497" s="12" t="s">
        <v>268</v>
      </c>
      <c r="W497" s="9" t="str">
        <f t="shared" ca="1" si="36"/>
        <v>18.5%</v>
      </c>
      <c r="X497" t="s">
        <v>321</v>
      </c>
      <c r="Y497" s="9" t="str">
        <f t="shared" ca="1" si="37"/>
        <v>Sin costo</v>
      </c>
      <c r="Z497" t="s">
        <v>327</v>
      </c>
      <c r="AA497" t="s">
        <v>329</v>
      </c>
      <c r="AB497" t="s">
        <v>334</v>
      </c>
      <c r="AC497" s="12" t="s">
        <v>339</v>
      </c>
      <c r="AE497" t="s">
        <v>268</v>
      </c>
      <c r="AG497" s="12" t="s">
        <v>268</v>
      </c>
      <c r="AH497" t="s">
        <v>92</v>
      </c>
      <c r="AI497" s="12" t="s">
        <v>268</v>
      </c>
      <c r="AJ497" t="s">
        <v>92</v>
      </c>
      <c r="AK497" t="s">
        <v>92</v>
      </c>
      <c r="AL497" t="s">
        <v>92</v>
      </c>
      <c r="AM497" s="12" t="s">
        <v>268</v>
      </c>
      <c r="AN497" s="12" t="s">
        <v>268</v>
      </c>
      <c r="AO497" s="12" t="s">
        <v>268</v>
      </c>
      <c r="AP497" s="12" t="s">
        <v>268</v>
      </c>
      <c r="AQ497" s="12" t="s">
        <v>268</v>
      </c>
      <c r="AR497" s="28" t="str">
        <f t="shared" ca="1" si="38"/>
        <v/>
      </c>
      <c r="AS497" s="28" t="str">
        <f t="shared" ca="1" si="39"/>
        <v/>
      </c>
    </row>
    <row r="498" spans="2:45" ht="27.6" customHeight="1">
      <c r="B498">
        <f t="shared" ca="1" si="35"/>
        <v>0</v>
      </c>
      <c r="C498" t="s">
        <v>85</v>
      </c>
      <c r="D498" t="s">
        <v>92</v>
      </c>
      <c r="E498" t="s">
        <v>92</v>
      </c>
      <c r="F498" t="s">
        <v>92</v>
      </c>
      <c r="G498" t="s">
        <v>92</v>
      </c>
      <c r="H498" t="s">
        <v>92</v>
      </c>
      <c r="I498" s="12" t="s">
        <v>268</v>
      </c>
      <c r="J498" t="s">
        <v>278</v>
      </c>
      <c r="L498" t="s">
        <v>92</v>
      </c>
      <c r="N498" s="14">
        <v>1</v>
      </c>
      <c r="P498" s="12" t="s">
        <v>268</v>
      </c>
      <c r="W498" s="9" t="str">
        <f t="shared" ca="1" si="36"/>
        <v>18.5%</v>
      </c>
      <c r="X498" t="s">
        <v>321</v>
      </c>
      <c r="Y498" s="9" t="str">
        <f t="shared" ca="1" si="37"/>
        <v>Sin costo</v>
      </c>
      <c r="Z498" t="s">
        <v>327</v>
      </c>
      <c r="AA498" t="s">
        <v>329</v>
      </c>
      <c r="AB498" t="s">
        <v>334</v>
      </c>
      <c r="AC498" s="12" t="s">
        <v>339</v>
      </c>
      <c r="AE498" t="s">
        <v>268</v>
      </c>
      <c r="AG498" s="12" t="s">
        <v>268</v>
      </c>
      <c r="AH498" t="s">
        <v>92</v>
      </c>
      <c r="AI498" s="12" t="s">
        <v>268</v>
      </c>
      <c r="AJ498" t="s">
        <v>92</v>
      </c>
      <c r="AK498" t="s">
        <v>92</v>
      </c>
      <c r="AL498" t="s">
        <v>92</v>
      </c>
      <c r="AM498" s="12" t="s">
        <v>268</v>
      </c>
      <c r="AN498" s="12" t="s">
        <v>268</v>
      </c>
      <c r="AO498" s="12" t="s">
        <v>268</v>
      </c>
      <c r="AP498" s="12" t="s">
        <v>268</v>
      </c>
      <c r="AQ498" s="12" t="s">
        <v>268</v>
      </c>
      <c r="AR498" s="28" t="str">
        <f t="shared" ca="1" si="38"/>
        <v/>
      </c>
      <c r="AS498" s="28" t="str">
        <f t="shared" ca="1" si="39"/>
        <v/>
      </c>
    </row>
    <row r="499" spans="2:45" ht="27.6" customHeight="1">
      <c r="B499">
        <f t="shared" ca="1" si="35"/>
        <v>0</v>
      </c>
      <c r="C499" t="s">
        <v>85</v>
      </c>
      <c r="D499" t="s">
        <v>92</v>
      </c>
      <c r="E499" t="s">
        <v>92</v>
      </c>
      <c r="F499" t="s">
        <v>92</v>
      </c>
      <c r="G499" t="s">
        <v>92</v>
      </c>
      <c r="H499" t="s">
        <v>92</v>
      </c>
      <c r="I499" s="12" t="s">
        <v>268</v>
      </c>
      <c r="J499" t="s">
        <v>278</v>
      </c>
      <c r="L499" t="s">
        <v>92</v>
      </c>
      <c r="N499" s="14">
        <v>1</v>
      </c>
      <c r="P499" s="12" t="s">
        <v>268</v>
      </c>
      <c r="W499" s="9" t="str">
        <f t="shared" ca="1" si="36"/>
        <v>18.5%</v>
      </c>
      <c r="X499" t="s">
        <v>321</v>
      </c>
      <c r="Y499" s="9" t="str">
        <f t="shared" ca="1" si="37"/>
        <v>Sin costo</v>
      </c>
      <c r="Z499" t="s">
        <v>327</v>
      </c>
      <c r="AA499" t="s">
        <v>329</v>
      </c>
      <c r="AB499" t="s">
        <v>334</v>
      </c>
      <c r="AC499" s="12" t="s">
        <v>339</v>
      </c>
      <c r="AE499" t="s">
        <v>268</v>
      </c>
      <c r="AG499" s="12" t="s">
        <v>268</v>
      </c>
      <c r="AH499" t="s">
        <v>92</v>
      </c>
      <c r="AI499" s="12" t="s">
        <v>268</v>
      </c>
      <c r="AJ499" t="s">
        <v>92</v>
      </c>
      <c r="AK499" t="s">
        <v>92</v>
      </c>
      <c r="AL499" t="s">
        <v>92</v>
      </c>
      <c r="AM499" s="12" t="s">
        <v>268</v>
      </c>
      <c r="AN499" s="12" t="s">
        <v>268</v>
      </c>
      <c r="AO499" s="12" t="s">
        <v>268</v>
      </c>
      <c r="AP499" s="12" t="s">
        <v>268</v>
      </c>
      <c r="AQ499" s="12" t="s">
        <v>268</v>
      </c>
      <c r="AR499" s="28" t="str">
        <f t="shared" ca="1" si="38"/>
        <v/>
      </c>
      <c r="AS499" s="28" t="str">
        <f t="shared" ca="1" si="39"/>
        <v/>
      </c>
    </row>
    <row r="500" spans="2:45" ht="27.6" customHeight="1">
      <c r="B500">
        <f t="shared" ca="1" si="35"/>
        <v>0</v>
      </c>
      <c r="C500" t="s">
        <v>85</v>
      </c>
      <c r="D500" t="s">
        <v>92</v>
      </c>
      <c r="E500" t="s">
        <v>92</v>
      </c>
      <c r="F500" t="s">
        <v>92</v>
      </c>
      <c r="G500" t="s">
        <v>92</v>
      </c>
      <c r="H500" t="s">
        <v>92</v>
      </c>
      <c r="I500" s="12" t="s">
        <v>268</v>
      </c>
      <c r="J500" t="s">
        <v>278</v>
      </c>
      <c r="L500" t="s">
        <v>92</v>
      </c>
      <c r="N500" s="14">
        <v>1</v>
      </c>
      <c r="P500" s="12" t="s">
        <v>268</v>
      </c>
      <c r="W500" s="9" t="str">
        <f t="shared" ca="1" si="36"/>
        <v>18.5%</v>
      </c>
      <c r="X500" t="s">
        <v>321</v>
      </c>
      <c r="Y500" s="9" t="str">
        <f t="shared" ca="1" si="37"/>
        <v>Sin costo</v>
      </c>
      <c r="Z500" t="s">
        <v>327</v>
      </c>
      <c r="AA500" t="s">
        <v>329</v>
      </c>
      <c r="AB500" t="s">
        <v>334</v>
      </c>
      <c r="AC500" s="12" t="s">
        <v>339</v>
      </c>
      <c r="AE500" t="s">
        <v>268</v>
      </c>
      <c r="AG500" s="12" t="s">
        <v>268</v>
      </c>
      <c r="AH500" t="s">
        <v>92</v>
      </c>
      <c r="AI500" s="12" t="s">
        <v>268</v>
      </c>
      <c r="AJ500" t="s">
        <v>92</v>
      </c>
      <c r="AK500" t="s">
        <v>92</v>
      </c>
      <c r="AL500" t="s">
        <v>92</v>
      </c>
      <c r="AM500" s="12" t="s">
        <v>268</v>
      </c>
      <c r="AN500" s="12" t="s">
        <v>268</v>
      </c>
      <c r="AO500" s="12" t="s">
        <v>268</v>
      </c>
      <c r="AP500" s="12" t="s">
        <v>268</v>
      </c>
      <c r="AQ500" s="12" t="s">
        <v>268</v>
      </c>
      <c r="AR500" s="28" t="str">
        <f t="shared" ca="1" si="38"/>
        <v/>
      </c>
      <c r="AS500" s="28" t="str">
        <f t="shared" ca="1" si="39"/>
        <v/>
      </c>
    </row>
    <row r="501" spans="2:45" ht="27.6" customHeight="1">
      <c r="B501">
        <f t="shared" ca="1" si="35"/>
        <v>0</v>
      </c>
      <c r="C501" t="s">
        <v>85</v>
      </c>
      <c r="D501" t="s">
        <v>92</v>
      </c>
      <c r="E501" t="s">
        <v>92</v>
      </c>
      <c r="F501" t="s">
        <v>92</v>
      </c>
      <c r="G501" t="s">
        <v>92</v>
      </c>
      <c r="H501" t="s">
        <v>92</v>
      </c>
      <c r="I501" s="12" t="s">
        <v>268</v>
      </c>
      <c r="J501" t="s">
        <v>278</v>
      </c>
      <c r="L501" t="s">
        <v>92</v>
      </c>
      <c r="N501" s="14">
        <v>1</v>
      </c>
      <c r="P501" s="12" t="s">
        <v>268</v>
      </c>
      <c r="W501" s="9" t="str">
        <f t="shared" ca="1" si="36"/>
        <v>18.5%</v>
      </c>
      <c r="X501" t="s">
        <v>321</v>
      </c>
      <c r="Y501" s="9" t="str">
        <f t="shared" ca="1" si="37"/>
        <v>Sin costo</v>
      </c>
      <c r="Z501" t="s">
        <v>327</v>
      </c>
      <c r="AA501" t="s">
        <v>329</v>
      </c>
      <c r="AB501" t="s">
        <v>334</v>
      </c>
      <c r="AC501" s="12" t="s">
        <v>339</v>
      </c>
      <c r="AE501" t="s">
        <v>268</v>
      </c>
      <c r="AG501" s="12" t="s">
        <v>268</v>
      </c>
      <c r="AH501" t="s">
        <v>92</v>
      </c>
      <c r="AI501" s="12" t="s">
        <v>268</v>
      </c>
      <c r="AJ501" t="s">
        <v>92</v>
      </c>
      <c r="AK501" t="s">
        <v>92</v>
      </c>
      <c r="AL501" t="s">
        <v>92</v>
      </c>
      <c r="AM501" s="12" t="s">
        <v>268</v>
      </c>
      <c r="AN501" s="12" t="s">
        <v>268</v>
      </c>
      <c r="AO501" s="12" t="s">
        <v>268</v>
      </c>
      <c r="AP501" s="12" t="s">
        <v>268</v>
      </c>
      <c r="AQ501" s="12" t="s">
        <v>268</v>
      </c>
      <c r="AR501" s="28" t="str">
        <f t="shared" ca="1" si="38"/>
        <v/>
      </c>
      <c r="AS501" s="28" t="str">
        <f t="shared" ca="1" si="39"/>
        <v/>
      </c>
    </row>
    <row r="502" spans="2:45" ht="27.6" customHeight="1">
      <c r="B502">
        <f t="shared" ca="1" si="35"/>
        <v>0</v>
      </c>
      <c r="C502" t="s">
        <v>85</v>
      </c>
      <c r="D502" t="s">
        <v>92</v>
      </c>
      <c r="E502" t="s">
        <v>92</v>
      </c>
      <c r="F502" t="s">
        <v>92</v>
      </c>
      <c r="G502" t="s">
        <v>92</v>
      </c>
      <c r="H502" t="s">
        <v>92</v>
      </c>
      <c r="I502" s="12" t="s">
        <v>268</v>
      </c>
      <c r="J502" t="s">
        <v>278</v>
      </c>
      <c r="L502" t="s">
        <v>92</v>
      </c>
      <c r="N502" s="14">
        <v>1</v>
      </c>
      <c r="P502" s="12" t="s">
        <v>268</v>
      </c>
      <c r="W502" s="9" t="str">
        <f t="shared" ca="1" si="36"/>
        <v>18.5%</v>
      </c>
      <c r="X502" t="s">
        <v>321</v>
      </c>
      <c r="Y502" s="9" t="str">
        <f t="shared" ca="1" si="37"/>
        <v>Sin costo</v>
      </c>
      <c r="Z502" t="s">
        <v>327</v>
      </c>
      <c r="AA502" t="s">
        <v>329</v>
      </c>
      <c r="AB502" t="s">
        <v>334</v>
      </c>
      <c r="AC502" s="12" t="s">
        <v>339</v>
      </c>
      <c r="AE502" t="s">
        <v>268</v>
      </c>
      <c r="AG502" s="12" t="s">
        <v>268</v>
      </c>
      <c r="AH502" t="s">
        <v>92</v>
      </c>
      <c r="AI502" s="12" t="s">
        <v>268</v>
      </c>
      <c r="AJ502" t="s">
        <v>92</v>
      </c>
      <c r="AK502" t="s">
        <v>92</v>
      </c>
      <c r="AL502" t="s">
        <v>92</v>
      </c>
      <c r="AM502" s="12" t="s">
        <v>268</v>
      </c>
      <c r="AN502" s="12" t="s">
        <v>268</v>
      </c>
      <c r="AO502" s="12" t="s">
        <v>268</v>
      </c>
      <c r="AP502" s="12" t="s">
        <v>268</v>
      </c>
      <c r="AQ502" s="12" t="s">
        <v>268</v>
      </c>
      <c r="AR502" s="28" t="str">
        <f t="shared" ca="1" si="38"/>
        <v/>
      </c>
      <c r="AS502" s="28" t="str">
        <f t="shared" ca="1" si="39"/>
        <v/>
      </c>
    </row>
    <row r="503" spans="2:45" ht="27.6" customHeight="1">
      <c r="B503">
        <f t="shared" ca="1" si="35"/>
        <v>0</v>
      </c>
      <c r="C503" t="s">
        <v>85</v>
      </c>
      <c r="D503" t="s">
        <v>92</v>
      </c>
      <c r="E503" t="s">
        <v>92</v>
      </c>
      <c r="F503" t="s">
        <v>92</v>
      </c>
      <c r="G503" t="s">
        <v>92</v>
      </c>
      <c r="H503" t="s">
        <v>92</v>
      </c>
      <c r="I503" s="12" t="s">
        <v>268</v>
      </c>
      <c r="J503" t="s">
        <v>278</v>
      </c>
      <c r="L503" t="s">
        <v>92</v>
      </c>
      <c r="N503" s="14">
        <v>1</v>
      </c>
      <c r="P503" s="12" t="s">
        <v>268</v>
      </c>
      <c r="W503" s="9" t="str">
        <f t="shared" ca="1" si="36"/>
        <v>18.5%</v>
      </c>
      <c r="X503" t="s">
        <v>321</v>
      </c>
      <c r="Y503" s="9" t="str">
        <f t="shared" ca="1" si="37"/>
        <v>Sin costo</v>
      </c>
      <c r="Z503" t="s">
        <v>327</v>
      </c>
      <c r="AA503" t="s">
        <v>329</v>
      </c>
      <c r="AB503" t="s">
        <v>334</v>
      </c>
      <c r="AC503" s="12" t="s">
        <v>339</v>
      </c>
      <c r="AE503" t="s">
        <v>268</v>
      </c>
      <c r="AG503" s="12" t="s">
        <v>268</v>
      </c>
      <c r="AH503" t="s">
        <v>92</v>
      </c>
      <c r="AI503" s="12" t="s">
        <v>268</v>
      </c>
      <c r="AJ503" t="s">
        <v>92</v>
      </c>
      <c r="AK503" t="s">
        <v>92</v>
      </c>
      <c r="AL503" t="s">
        <v>92</v>
      </c>
      <c r="AM503" s="12" t="s">
        <v>268</v>
      </c>
      <c r="AN503" s="12" t="s">
        <v>268</v>
      </c>
      <c r="AO503" s="12" t="s">
        <v>268</v>
      </c>
      <c r="AP503" s="12" t="s">
        <v>268</v>
      </c>
      <c r="AQ503" s="12" t="s">
        <v>268</v>
      </c>
      <c r="AR503" s="28" t="str">
        <f t="shared" ca="1" si="38"/>
        <v/>
      </c>
      <c r="AS503" s="28" t="str">
        <f t="shared" ca="1" si="39"/>
        <v/>
      </c>
    </row>
    <row r="504" spans="2:45" ht="27.6" customHeight="1">
      <c r="B504">
        <f t="shared" ca="1" si="35"/>
        <v>0</v>
      </c>
      <c r="C504" t="s">
        <v>85</v>
      </c>
      <c r="D504" t="s">
        <v>92</v>
      </c>
      <c r="E504" t="s">
        <v>92</v>
      </c>
      <c r="F504" t="s">
        <v>92</v>
      </c>
      <c r="G504" t="s">
        <v>92</v>
      </c>
      <c r="H504" t="s">
        <v>92</v>
      </c>
      <c r="I504" s="12" t="s">
        <v>268</v>
      </c>
      <c r="J504" t="s">
        <v>278</v>
      </c>
      <c r="L504" t="s">
        <v>92</v>
      </c>
      <c r="N504" s="14">
        <v>1</v>
      </c>
      <c r="P504" s="12" t="s">
        <v>268</v>
      </c>
      <c r="W504" s="9" t="str">
        <f t="shared" ca="1" si="36"/>
        <v>18.5%</v>
      </c>
      <c r="X504" t="s">
        <v>321</v>
      </c>
      <c r="Y504" s="9" t="str">
        <f t="shared" ca="1" si="37"/>
        <v>Sin costo</v>
      </c>
      <c r="Z504" t="s">
        <v>327</v>
      </c>
      <c r="AA504" t="s">
        <v>329</v>
      </c>
      <c r="AB504" t="s">
        <v>334</v>
      </c>
      <c r="AC504" s="12" t="s">
        <v>339</v>
      </c>
      <c r="AE504" t="s">
        <v>268</v>
      </c>
      <c r="AG504" s="12" t="s">
        <v>268</v>
      </c>
      <c r="AH504" t="s">
        <v>92</v>
      </c>
      <c r="AI504" s="12" t="s">
        <v>268</v>
      </c>
      <c r="AJ504" t="s">
        <v>92</v>
      </c>
      <c r="AK504" t="s">
        <v>92</v>
      </c>
      <c r="AL504" t="s">
        <v>92</v>
      </c>
      <c r="AM504" s="12" t="s">
        <v>268</v>
      </c>
      <c r="AN504" s="12" t="s">
        <v>268</v>
      </c>
      <c r="AO504" s="12" t="s">
        <v>268</v>
      </c>
      <c r="AP504" s="12" t="s">
        <v>268</v>
      </c>
      <c r="AQ504" s="12" t="s">
        <v>268</v>
      </c>
      <c r="AR504" s="28" t="str">
        <f t="shared" ca="1" si="38"/>
        <v/>
      </c>
      <c r="AS504" s="28" t="str">
        <f t="shared" ca="1" si="39"/>
        <v/>
      </c>
    </row>
    <row r="505" spans="2:45" ht="27.6" customHeight="1">
      <c r="B505">
        <f t="shared" ca="1" si="35"/>
        <v>0</v>
      </c>
      <c r="C505" t="s">
        <v>85</v>
      </c>
      <c r="D505" t="s">
        <v>92</v>
      </c>
      <c r="E505" t="s">
        <v>92</v>
      </c>
      <c r="F505" t="s">
        <v>92</v>
      </c>
      <c r="G505" t="s">
        <v>92</v>
      </c>
      <c r="H505" t="s">
        <v>92</v>
      </c>
      <c r="I505" s="12" t="s">
        <v>268</v>
      </c>
      <c r="J505" t="s">
        <v>278</v>
      </c>
      <c r="L505" t="s">
        <v>92</v>
      </c>
      <c r="N505" s="14">
        <v>1</v>
      </c>
      <c r="P505" s="12" t="s">
        <v>268</v>
      </c>
      <c r="W505" s="9" t="str">
        <f t="shared" ca="1" si="36"/>
        <v>18.5%</v>
      </c>
      <c r="X505" t="s">
        <v>321</v>
      </c>
      <c r="Y505" s="9" t="str">
        <f t="shared" ca="1" si="37"/>
        <v>Sin costo</v>
      </c>
      <c r="Z505" t="s">
        <v>327</v>
      </c>
      <c r="AA505" t="s">
        <v>329</v>
      </c>
      <c r="AB505" t="s">
        <v>334</v>
      </c>
      <c r="AC505" s="12" t="s">
        <v>339</v>
      </c>
      <c r="AE505" t="s">
        <v>268</v>
      </c>
      <c r="AG505" s="12" t="s">
        <v>268</v>
      </c>
      <c r="AH505" t="s">
        <v>92</v>
      </c>
      <c r="AI505" s="12" t="s">
        <v>268</v>
      </c>
      <c r="AJ505" t="s">
        <v>92</v>
      </c>
      <c r="AK505" t="s">
        <v>92</v>
      </c>
      <c r="AL505" t="s">
        <v>92</v>
      </c>
      <c r="AM505" s="12" t="s">
        <v>268</v>
      </c>
      <c r="AN505" s="12" t="s">
        <v>268</v>
      </c>
      <c r="AO505" s="12" t="s">
        <v>268</v>
      </c>
      <c r="AP505" s="12" t="s">
        <v>268</v>
      </c>
      <c r="AQ505" s="12" t="s">
        <v>268</v>
      </c>
      <c r="AR505" s="28" t="str">
        <f t="shared" ca="1" si="38"/>
        <v/>
      </c>
      <c r="AS505" s="28" t="str">
        <f t="shared" ca="1" si="39"/>
        <v/>
      </c>
    </row>
    <row r="506" spans="2:45" ht="27.6" customHeight="1">
      <c r="B506">
        <f t="shared" ca="1" si="35"/>
        <v>0</v>
      </c>
      <c r="C506" t="s">
        <v>85</v>
      </c>
      <c r="D506" t="s">
        <v>92</v>
      </c>
      <c r="E506" t="s">
        <v>92</v>
      </c>
      <c r="F506" t="s">
        <v>92</v>
      </c>
      <c r="G506" t="s">
        <v>92</v>
      </c>
      <c r="H506" t="s">
        <v>92</v>
      </c>
      <c r="I506" s="12" t="s">
        <v>268</v>
      </c>
      <c r="J506" t="s">
        <v>278</v>
      </c>
      <c r="L506" t="s">
        <v>92</v>
      </c>
      <c r="N506" s="14">
        <v>1</v>
      </c>
      <c r="P506" s="12" t="s">
        <v>268</v>
      </c>
      <c r="W506" s="9" t="str">
        <f t="shared" ca="1" si="36"/>
        <v>18.5%</v>
      </c>
      <c r="X506" t="s">
        <v>321</v>
      </c>
      <c r="Y506" s="9" t="str">
        <f t="shared" ca="1" si="37"/>
        <v>Sin costo</v>
      </c>
      <c r="Z506" t="s">
        <v>327</v>
      </c>
      <c r="AA506" t="s">
        <v>329</v>
      </c>
      <c r="AB506" t="s">
        <v>334</v>
      </c>
      <c r="AC506" s="12" t="s">
        <v>339</v>
      </c>
      <c r="AE506" t="s">
        <v>268</v>
      </c>
      <c r="AG506" s="12" t="s">
        <v>268</v>
      </c>
      <c r="AH506" t="s">
        <v>92</v>
      </c>
      <c r="AI506" s="12" t="s">
        <v>268</v>
      </c>
      <c r="AJ506" t="s">
        <v>92</v>
      </c>
      <c r="AK506" t="s">
        <v>92</v>
      </c>
      <c r="AL506" t="s">
        <v>92</v>
      </c>
      <c r="AM506" s="12" t="s">
        <v>268</v>
      </c>
      <c r="AN506" s="12" t="s">
        <v>268</v>
      </c>
      <c r="AO506" s="12" t="s">
        <v>268</v>
      </c>
      <c r="AP506" s="12" t="s">
        <v>268</v>
      </c>
      <c r="AQ506" s="12" t="s">
        <v>268</v>
      </c>
      <c r="AR506" s="28" t="str">
        <f t="shared" ca="1" si="38"/>
        <v/>
      </c>
      <c r="AS506" s="28" t="str">
        <f t="shared" ca="1" si="39"/>
        <v/>
      </c>
    </row>
    <row r="507" spans="2:45" ht="27.6" customHeight="1">
      <c r="B507">
        <f t="shared" ca="1" si="35"/>
        <v>0</v>
      </c>
      <c r="C507" t="s">
        <v>85</v>
      </c>
      <c r="D507" t="s">
        <v>92</v>
      </c>
      <c r="E507" t="s">
        <v>92</v>
      </c>
      <c r="F507" t="s">
        <v>92</v>
      </c>
      <c r="G507" t="s">
        <v>92</v>
      </c>
      <c r="H507" t="s">
        <v>92</v>
      </c>
      <c r="I507" s="12" t="s">
        <v>268</v>
      </c>
      <c r="J507" t="s">
        <v>278</v>
      </c>
      <c r="L507" t="s">
        <v>92</v>
      </c>
      <c r="N507" s="14">
        <v>1</v>
      </c>
      <c r="P507" s="12" t="s">
        <v>268</v>
      </c>
      <c r="W507" s="9" t="str">
        <f t="shared" ca="1" si="36"/>
        <v>18.5%</v>
      </c>
      <c r="X507" t="s">
        <v>321</v>
      </c>
      <c r="Y507" s="9" t="str">
        <f t="shared" ca="1" si="37"/>
        <v>Sin costo</v>
      </c>
      <c r="Z507" t="s">
        <v>327</v>
      </c>
      <c r="AA507" t="s">
        <v>329</v>
      </c>
      <c r="AB507" t="s">
        <v>334</v>
      </c>
      <c r="AC507" s="12" t="s">
        <v>339</v>
      </c>
      <c r="AE507" t="s">
        <v>268</v>
      </c>
      <c r="AG507" s="12" t="s">
        <v>268</v>
      </c>
      <c r="AH507" t="s">
        <v>92</v>
      </c>
      <c r="AI507" s="12" t="s">
        <v>268</v>
      </c>
      <c r="AJ507" t="s">
        <v>92</v>
      </c>
      <c r="AK507" t="s">
        <v>92</v>
      </c>
      <c r="AL507" t="s">
        <v>92</v>
      </c>
      <c r="AM507" s="12" t="s">
        <v>268</v>
      </c>
      <c r="AN507" s="12" t="s">
        <v>268</v>
      </c>
      <c r="AO507" s="12" t="s">
        <v>268</v>
      </c>
      <c r="AP507" s="12" t="s">
        <v>268</v>
      </c>
      <c r="AQ507" s="12" t="s">
        <v>268</v>
      </c>
      <c r="AR507" s="28" t="str">
        <f t="shared" ca="1" si="38"/>
        <v/>
      </c>
      <c r="AS507" s="28" t="str">
        <f t="shared" ca="1" si="39"/>
        <v/>
      </c>
    </row>
    <row r="508" spans="2:45" ht="27.6" customHeight="1">
      <c r="B508">
        <f t="shared" ca="1" si="35"/>
        <v>0</v>
      </c>
      <c r="C508" t="s">
        <v>85</v>
      </c>
      <c r="D508" t="s">
        <v>92</v>
      </c>
      <c r="E508" t="s">
        <v>92</v>
      </c>
      <c r="F508" t="s">
        <v>92</v>
      </c>
      <c r="G508" t="s">
        <v>92</v>
      </c>
      <c r="H508" t="s">
        <v>92</v>
      </c>
      <c r="I508" s="12" t="s">
        <v>268</v>
      </c>
      <c r="J508" t="s">
        <v>278</v>
      </c>
      <c r="L508" t="s">
        <v>92</v>
      </c>
      <c r="N508" s="14">
        <v>1</v>
      </c>
      <c r="P508" s="12" t="s">
        <v>268</v>
      </c>
      <c r="W508" s="9" t="str">
        <f t="shared" ca="1" si="36"/>
        <v>18.5%</v>
      </c>
      <c r="X508" t="s">
        <v>321</v>
      </c>
      <c r="Y508" s="9" t="str">
        <f t="shared" ca="1" si="37"/>
        <v>Sin costo</v>
      </c>
      <c r="Z508" t="s">
        <v>327</v>
      </c>
      <c r="AA508" t="s">
        <v>329</v>
      </c>
      <c r="AB508" t="s">
        <v>334</v>
      </c>
      <c r="AC508" s="12" t="s">
        <v>339</v>
      </c>
      <c r="AE508" t="s">
        <v>268</v>
      </c>
      <c r="AG508" s="12" t="s">
        <v>268</v>
      </c>
      <c r="AH508" t="s">
        <v>92</v>
      </c>
      <c r="AI508" s="12" t="s">
        <v>268</v>
      </c>
      <c r="AJ508" t="s">
        <v>92</v>
      </c>
      <c r="AK508" t="s">
        <v>92</v>
      </c>
      <c r="AL508" t="s">
        <v>92</v>
      </c>
      <c r="AM508" s="12" t="s">
        <v>268</v>
      </c>
      <c r="AN508" s="12" t="s">
        <v>268</v>
      </c>
      <c r="AO508" s="12" t="s">
        <v>268</v>
      </c>
      <c r="AP508" s="12" t="s">
        <v>268</v>
      </c>
      <c r="AQ508" s="12" t="s">
        <v>268</v>
      </c>
      <c r="AR508" s="28" t="str">
        <f t="shared" ca="1" si="38"/>
        <v/>
      </c>
      <c r="AS508" s="28" t="str">
        <f t="shared" ca="1" si="39"/>
        <v/>
      </c>
    </row>
    <row r="509" spans="2:45" ht="27.6" customHeight="1">
      <c r="B509">
        <f t="shared" ca="1" si="35"/>
        <v>0</v>
      </c>
      <c r="C509" t="s">
        <v>85</v>
      </c>
      <c r="D509" t="s">
        <v>92</v>
      </c>
      <c r="E509" t="s">
        <v>92</v>
      </c>
      <c r="F509" t="s">
        <v>92</v>
      </c>
      <c r="G509" t="s">
        <v>92</v>
      </c>
      <c r="H509" t="s">
        <v>92</v>
      </c>
      <c r="I509" s="12" t="s">
        <v>268</v>
      </c>
      <c r="J509" t="s">
        <v>278</v>
      </c>
      <c r="L509" t="s">
        <v>92</v>
      </c>
      <c r="N509" s="14">
        <v>1</v>
      </c>
      <c r="P509" s="12" t="s">
        <v>268</v>
      </c>
      <c r="W509" s="9" t="str">
        <f t="shared" ca="1" si="36"/>
        <v>18.5%</v>
      </c>
      <c r="X509" t="s">
        <v>321</v>
      </c>
      <c r="Y509" s="9" t="str">
        <f t="shared" ca="1" si="37"/>
        <v>Sin costo</v>
      </c>
      <c r="Z509" t="s">
        <v>327</v>
      </c>
      <c r="AA509" t="s">
        <v>329</v>
      </c>
      <c r="AB509" t="s">
        <v>334</v>
      </c>
      <c r="AC509" s="12" t="s">
        <v>339</v>
      </c>
      <c r="AE509" t="s">
        <v>268</v>
      </c>
      <c r="AG509" s="12" t="s">
        <v>268</v>
      </c>
      <c r="AH509" t="s">
        <v>92</v>
      </c>
      <c r="AI509" s="12" t="s">
        <v>268</v>
      </c>
      <c r="AJ509" t="s">
        <v>92</v>
      </c>
      <c r="AK509" t="s">
        <v>92</v>
      </c>
      <c r="AL509" t="s">
        <v>92</v>
      </c>
      <c r="AM509" s="12" t="s">
        <v>268</v>
      </c>
      <c r="AN509" s="12" t="s">
        <v>268</v>
      </c>
      <c r="AO509" s="12" t="s">
        <v>268</v>
      </c>
      <c r="AP509" s="12" t="s">
        <v>268</v>
      </c>
      <c r="AQ509" s="12" t="s">
        <v>268</v>
      </c>
      <c r="AR509" s="28" t="str">
        <f t="shared" ca="1" si="38"/>
        <v/>
      </c>
      <c r="AS509" s="28" t="str">
        <f t="shared" ca="1" si="39"/>
        <v/>
      </c>
    </row>
    <row r="510" spans="2:45" ht="27.6" customHeight="1">
      <c r="B510">
        <f t="shared" ca="1" si="35"/>
        <v>0</v>
      </c>
      <c r="C510" t="s">
        <v>85</v>
      </c>
      <c r="D510" t="s">
        <v>92</v>
      </c>
      <c r="E510" t="s">
        <v>92</v>
      </c>
      <c r="F510" t="s">
        <v>92</v>
      </c>
      <c r="G510" t="s">
        <v>92</v>
      </c>
      <c r="H510" t="s">
        <v>92</v>
      </c>
      <c r="I510" s="12" t="s">
        <v>268</v>
      </c>
      <c r="J510" t="s">
        <v>278</v>
      </c>
      <c r="L510" t="s">
        <v>92</v>
      </c>
      <c r="N510" s="14">
        <v>1</v>
      </c>
      <c r="P510" s="12" t="s">
        <v>268</v>
      </c>
      <c r="W510" s="9" t="str">
        <f t="shared" ca="1" si="36"/>
        <v>18.5%</v>
      </c>
      <c r="X510" t="s">
        <v>321</v>
      </c>
      <c r="Y510" s="9" t="str">
        <f t="shared" ca="1" si="37"/>
        <v>Sin costo</v>
      </c>
      <c r="Z510" t="s">
        <v>327</v>
      </c>
      <c r="AA510" t="s">
        <v>329</v>
      </c>
      <c r="AB510" t="s">
        <v>334</v>
      </c>
      <c r="AC510" s="12" t="s">
        <v>339</v>
      </c>
      <c r="AE510" t="s">
        <v>268</v>
      </c>
      <c r="AG510" s="12" t="s">
        <v>268</v>
      </c>
      <c r="AH510" t="s">
        <v>92</v>
      </c>
      <c r="AI510" s="12" t="s">
        <v>268</v>
      </c>
      <c r="AJ510" t="s">
        <v>92</v>
      </c>
      <c r="AK510" t="s">
        <v>92</v>
      </c>
      <c r="AL510" t="s">
        <v>92</v>
      </c>
      <c r="AM510" s="12" t="s">
        <v>268</v>
      </c>
      <c r="AN510" s="12" t="s">
        <v>268</v>
      </c>
      <c r="AO510" s="12" t="s">
        <v>268</v>
      </c>
      <c r="AP510" s="12" t="s">
        <v>268</v>
      </c>
      <c r="AQ510" s="12" t="s">
        <v>268</v>
      </c>
      <c r="AR510" s="28" t="str">
        <f t="shared" ca="1" si="38"/>
        <v/>
      </c>
      <c r="AS510" s="28" t="str">
        <f t="shared" ca="1" si="39"/>
        <v/>
      </c>
    </row>
    <row r="511" spans="2:45" ht="27.6" customHeight="1">
      <c r="B511">
        <f t="shared" ca="1" si="35"/>
        <v>0</v>
      </c>
      <c r="C511" t="s">
        <v>85</v>
      </c>
      <c r="D511" t="s">
        <v>92</v>
      </c>
      <c r="E511" t="s">
        <v>92</v>
      </c>
      <c r="F511" t="s">
        <v>92</v>
      </c>
      <c r="G511" t="s">
        <v>92</v>
      </c>
      <c r="H511" t="s">
        <v>92</v>
      </c>
      <c r="I511" s="12" t="s">
        <v>268</v>
      </c>
      <c r="J511" t="s">
        <v>278</v>
      </c>
      <c r="L511" t="s">
        <v>92</v>
      </c>
      <c r="N511" s="14">
        <v>1</v>
      </c>
      <c r="P511" s="12" t="s">
        <v>268</v>
      </c>
      <c r="W511" s="9" t="str">
        <f t="shared" ca="1" si="36"/>
        <v>18.5%</v>
      </c>
      <c r="X511" t="s">
        <v>321</v>
      </c>
      <c r="Y511" s="9" t="str">
        <f t="shared" ca="1" si="37"/>
        <v>Sin costo</v>
      </c>
      <c r="Z511" t="s">
        <v>327</v>
      </c>
      <c r="AA511" t="s">
        <v>329</v>
      </c>
      <c r="AB511" t="s">
        <v>334</v>
      </c>
      <c r="AC511" s="12" t="s">
        <v>339</v>
      </c>
      <c r="AE511" t="s">
        <v>268</v>
      </c>
      <c r="AG511" s="12" t="s">
        <v>268</v>
      </c>
      <c r="AH511" t="s">
        <v>92</v>
      </c>
      <c r="AI511" s="12" t="s">
        <v>268</v>
      </c>
      <c r="AJ511" t="s">
        <v>92</v>
      </c>
      <c r="AK511" t="s">
        <v>92</v>
      </c>
      <c r="AL511" t="s">
        <v>92</v>
      </c>
      <c r="AM511" s="12" t="s">
        <v>268</v>
      </c>
      <c r="AN511" s="12" t="s">
        <v>268</v>
      </c>
      <c r="AO511" s="12" t="s">
        <v>268</v>
      </c>
      <c r="AP511" s="12" t="s">
        <v>268</v>
      </c>
      <c r="AQ511" s="12" t="s">
        <v>268</v>
      </c>
      <c r="AR511" s="28" t="str">
        <f t="shared" ca="1" si="38"/>
        <v/>
      </c>
      <c r="AS511" s="28" t="str">
        <f t="shared" ca="1" si="39"/>
        <v/>
      </c>
    </row>
    <row r="512" spans="2:45" ht="27.6" customHeight="1">
      <c r="B512">
        <f t="shared" ca="1" si="35"/>
        <v>0</v>
      </c>
      <c r="C512" t="s">
        <v>85</v>
      </c>
      <c r="D512" t="s">
        <v>92</v>
      </c>
      <c r="E512" t="s">
        <v>92</v>
      </c>
      <c r="F512" t="s">
        <v>92</v>
      </c>
      <c r="G512" t="s">
        <v>92</v>
      </c>
      <c r="H512" t="s">
        <v>92</v>
      </c>
      <c r="I512" s="12" t="s">
        <v>268</v>
      </c>
      <c r="J512" t="s">
        <v>278</v>
      </c>
      <c r="L512" t="s">
        <v>92</v>
      </c>
      <c r="N512" s="14">
        <v>1</v>
      </c>
      <c r="P512" s="12" t="s">
        <v>268</v>
      </c>
      <c r="W512" s="9" t="str">
        <f t="shared" ca="1" si="36"/>
        <v>18.5%</v>
      </c>
      <c r="X512" t="s">
        <v>321</v>
      </c>
      <c r="Y512" s="9" t="str">
        <f t="shared" ca="1" si="37"/>
        <v>Sin costo</v>
      </c>
      <c r="Z512" t="s">
        <v>327</v>
      </c>
      <c r="AA512" t="s">
        <v>329</v>
      </c>
      <c r="AB512" t="s">
        <v>334</v>
      </c>
      <c r="AC512" s="12" t="s">
        <v>339</v>
      </c>
      <c r="AE512" t="s">
        <v>268</v>
      </c>
      <c r="AG512" s="12" t="s">
        <v>268</v>
      </c>
      <c r="AH512" t="s">
        <v>92</v>
      </c>
      <c r="AI512" s="12" t="s">
        <v>268</v>
      </c>
      <c r="AJ512" t="s">
        <v>92</v>
      </c>
      <c r="AK512" t="s">
        <v>92</v>
      </c>
      <c r="AL512" t="s">
        <v>92</v>
      </c>
      <c r="AM512" s="12" t="s">
        <v>268</v>
      </c>
      <c r="AN512" s="12" t="s">
        <v>268</v>
      </c>
      <c r="AO512" s="12" t="s">
        <v>268</v>
      </c>
      <c r="AP512" s="12" t="s">
        <v>268</v>
      </c>
      <c r="AQ512" s="12" t="s">
        <v>268</v>
      </c>
      <c r="AR512" s="28" t="str">
        <f t="shared" ca="1" si="38"/>
        <v/>
      </c>
      <c r="AS512" s="28" t="str">
        <f t="shared" ca="1" si="39"/>
        <v/>
      </c>
    </row>
    <row r="513" spans="2:45" ht="27.6" customHeight="1">
      <c r="B513">
        <f t="shared" ca="1" si="35"/>
        <v>0</v>
      </c>
      <c r="C513" t="s">
        <v>85</v>
      </c>
      <c r="D513" t="s">
        <v>92</v>
      </c>
      <c r="E513" t="s">
        <v>92</v>
      </c>
      <c r="F513" t="s">
        <v>92</v>
      </c>
      <c r="G513" t="s">
        <v>92</v>
      </c>
      <c r="H513" t="s">
        <v>92</v>
      </c>
      <c r="I513" s="12" t="s">
        <v>268</v>
      </c>
      <c r="J513" t="s">
        <v>278</v>
      </c>
      <c r="L513" t="s">
        <v>92</v>
      </c>
      <c r="N513" s="14">
        <v>1</v>
      </c>
      <c r="P513" s="12" t="s">
        <v>268</v>
      </c>
      <c r="W513" s="9" t="str">
        <f t="shared" ca="1" si="36"/>
        <v>18.5%</v>
      </c>
      <c r="X513" t="s">
        <v>321</v>
      </c>
      <c r="Y513" s="9" t="str">
        <f t="shared" ca="1" si="37"/>
        <v>Sin costo</v>
      </c>
      <c r="Z513" t="s">
        <v>327</v>
      </c>
      <c r="AA513" t="s">
        <v>329</v>
      </c>
      <c r="AB513" t="s">
        <v>334</v>
      </c>
      <c r="AC513" s="12" t="s">
        <v>339</v>
      </c>
      <c r="AE513" t="s">
        <v>268</v>
      </c>
      <c r="AG513" s="12" t="s">
        <v>268</v>
      </c>
      <c r="AH513" t="s">
        <v>92</v>
      </c>
      <c r="AI513" s="12" t="s">
        <v>268</v>
      </c>
      <c r="AJ513" t="s">
        <v>92</v>
      </c>
      <c r="AK513" t="s">
        <v>92</v>
      </c>
      <c r="AL513" t="s">
        <v>92</v>
      </c>
      <c r="AM513" s="12" t="s">
        <v>268</v>
      </c>
      <c r="AN513" s="12" t="s">
        <v>268</v>
      </c>
      <c r="AO513" s="12" t="s">
        <v>268</v>
      </c>
      <c r="AP513" s="12" t="s">
        <v>268</v>
      </c>
      <c r="AQ513" s="12" t="s">
        <v>268</v>
      </c>
      <c r="AR513" s="28" t="str">
        <f t="shared" ca="1" si="38"/>
        <v/>
      </c>
      <c r="AS513" s="28" t="str">
        <f t="shared" ca="1" si="39"/>
        <v/>
      </c>
    </row>
    <row r="514" spans="2:45" ht="27.6" customHeight="1">
      <c r="B514">
        <f t="shared" ca="1" si="35"/>
        <v>0</v>
      </c>
      <c r="C514" t="s">
        <v>85</v>
      </c>
      <c r="D514" t="s">
        <v>92</v>
      </c>
      <c r="E514" t="s">
        <v>92</v>
      </c>
      <c r="F514" t="s">
        <v>92</v>
      </c>
      <c r="G514" t="s">
        <v>92</v>
      </c>
      <c r="H514" t="s">
        <v>92</v>
      </c>
      <c r="I514" s="12" t="s">
        <v>268</v>
      </c>
      <c r="J514" t="s">
        <v>278</v>
      </c>
      <c r="L514" t="s">
        <v>92</v>
      </c>
      <c r="N514" s="14">
        <v>1</v>
      </c>
      <c r="P514" s="12" t="s">
        <v>268</v>
      </c>
      <c r="W514" s="9" t="str">
        <f t="shared" ca="1" si="36"/>
        <v>18.5%</v>
      </c>
      <c r="X514" t="s">
        <v>321</v>
      </c>
      <c r="Y514" s="9" t="str">
        <f t="shared" ca="1" si="37"/>
        <v>Sin costo</v>
      </c>
      <c r="Z514" t="s">
        <v>327</v>
      </c>
      <c r="AA514" t="s">
        <v>329</v>
      </c>
      <c r="AB514" t="s">
        <v>334</v>
      </c>
      <c r="AC514" s="12" t="s">
        <v>339</v>
      </c>
      <c r="AE514" t="s">
        <v>268</v>
      </c>
      <c r="AG514" s="12" t="s">
        <v>268</v>
      </c>
      <c r="AH514" t="s">
        <v>92</v>
      </c>
      <c r="AI514" s="12" t="s">
        <v>268</v>
      </c>
      <c r="AJ514" t="s">
        <v>92</v>
      </c>
      <c r="AK514" t="s">
        <v>92</v>
      </c>
      <c r="AL514" t="s">
        <v>92</v>
      </c>
      <c r="AM514" s="12" t="s">
        <v>268</v>
      </c>
      <c r="AN514" s="12" t="s">
        <v>268</v>
      </c>
      <c r="AO514" s="12" t="s">
        <v>268</v>
      </c>
      <c r="AP514" s="12" t="s">
        <v>268</v>
      </c>
      <c r="AQ514" s="12" t="s">
        <v>268</v>
      </c>
      <c r="AR514" s="28" t="str">
        <f t="shared" ca="1" si="38"/>
        <v/>
      </c>
      <c r="AS514" s="28" t="str">
        <f t="shared" ca="1" si="39"/>
        <v/>
      </c>
    </row>
    <row r="515" spans="2:45" ht="27.6" customHeight="1">
      <c r="B515">
        <f t="shared" ca="1" si="35"/>
        <v>0</v>
      </c>
      <c r="C515" t="s">
        <v>85</v>
      </c>
      <c r="D515" t="s">
        <v>92</v>
      </c>
      <c r="E515" t="s">
        <v>92</v>
      </c>
      <c r="F515" t="s">
        <v>92</v>
      </c>
      <c r="G515" t="s">
        <v>92</v>
      </c>
      <c r="H515" t="s">
        <v>92</v>
      </c>
      <c r="I515" s="12" t="s">
        <v>268</v>
      </c>
      <c r="J515" t="s">
        <v>278</v>
      </c>
      <c r="L515" t="s">
        <v>92</v>
      </c>
      <c r="N515" s="14">
        <v>1</v>
      </c>
      <c r="P515" s="12" t="s">
        <v>268</v>
      </c>
      <c r="W515" s="9" t="str">
        <f t="shared" ca="1" si="36"/>
        <v>18.5%</v>
      </c>
      <c r="X515" t="s">
        <v>321</v>
      </c>
      <c r="Y515" s="9" t="str">
        <f t="shared" ca="1" si="37"/>
        <v>Sin costo</v>
      </c>
      <c r="Z515" t="s">
        <v>327</v>
      </c>
      <c r="AA515" t="s">
        <v>329</v>
      </c>
      <c r="AB515" t="s">
        <v>334</v>
      </c>
      <c r="AC515" s="12" t="s">
        <v>339</v>
      </c>
      <c r="AE515" t="s">
        <v>268</v>
      </c>
      <c r="AG515" s="12" t="s">
        <v>268</v>
      </c>
      <c r="AH515" t="s">
        <v>92</v>
      </c>
      <c r="AI515" s="12" t="s">
        <v>268</v>
      </c>
      <c r="AJ515" t="s">
        <v>92</v>
      </c>
      <c r="AK515" t="s">
        <v>92</v>
      </c>
      <c r="AL515" t="s">
        <v>92</v>
      </c>
      <c r="AM515" s="12" t="s">
        <v>268</v>
      </c>
      <c r="AN515" s="12" t="s">
        <v>268</v>
      </c>
      <c r="AO515" s="12" t="s">
        <v>268</v>
      </c>
      <c r="AP515" s="12" t="s">
        <v>268</v>
      </c>
      <c r="AQ515" s="12" t="s">
        <v>268</v>
      </c>
      <c r="AR515" s="28" t="str">
        <f t="shared" ca="1" si="38"/>
        <v/>
      </c>
      <c r="AS515" s="28" t="str">
        <f t="shared" ca="1" si="39"/>
        <v/>
      </c>
    </row>
    <row r="516" spans="2:45" ht="27.6" customHeight="1">
      <c r="B516">
        <f t="shared" ca="1" si="35"/>
        <v>0</v>
      </c>
      <c r="C516" t="s">
        <v>85</v>
      </c>
      <c r="D516" t="s">
        <v>92</v>
      </c>
      <c r="E516" t="s">
        <v>92</v>
      </c>
      <c r="F516" t="s">
        <v>92</v>
      </c>
      <c r="G516" t="s">
        <v>92</v>
      </c>
      <c r="H516" t="s">
        <v>92</v>
      </c>
      <c r="I516" s="12" t="s">
        <v>268</v>
      </c>
      <c r="J516" t="s">
        <v>278</v>
      </c>
      <c r="L516" t="s">
        <v>92</v>
      </c>
      <c r="N516" s="14">
        <v>1</v>
      </c>
      <c r="P516" s="12" t="s">
        <v>268</v>
      </c>
      <c r="W516" s="9" t="str">
        <f t="shared" ca="1" si="36"/>
        <v>18.5%</v>
      </c>
      <c r="X516" t="s">
        <v>321</v>
      </c>
      <c r="Y516" s="9" t="str">
        <f t="shared" ca="1" si="37"/>
        <v>Sin costo</v>
      </c>
      <c r="Z516" t="s">
        <v>327</v>
      </c>
      <c r="AA516" t="s">
        <v>329</v>
      </c>
      <c r="AB516" t="s">
        <v>334</v>
      </c>
      <c r="AC516" s="12" t="s">
        <v>339</v>
      </c>
      <c r="AE516" t="s">
        <v>268</v>
      </c>
      <c r="AG516" s="12" t="s">
        <v>268</v>
      </c>
      <c r="AH516" t="s">
        <v>92</v>
      </c>
      <c r="AI516" s="12" t="s">
        <v>268</v>
      </c>
      <c r="AJ516" t="s">
        <v>92</v>
      </c>
      <c r="AK516" t="s">
        <v>92</v>
      </c>
      <c r="AL516" t="s">
        <v>92</v>
      </c>
      <c r="AM516" s="12" t="s">
        <v>268</v>
      </c>
      <c r="AN516" s="12" t="s">
        <v>268</v>
      </c>
      <c r="AO516" s="12" t="s">
        <v>268</v>
      </c>
      <c r="AP516" s="12" t="s">
        <v>268</v>
      </c>
      <c r="AQ516" s="12" t="s">
        <v>268</v>
      </c>
      <c r="AR516" s="28" t="str">
        <f t="shared" ca="1" si="38"/>
        <v/>
      </c>
      <c r="AS516" s="28" t="str">
        <f t="shared" ca="1" si="39"/>
        <v/>
      </c>
    </row>
    <row r="517" spans="2:45" ht="27.6" customHeight="1">
      <c r="B517">
        <f t="shared" ca="1" si="35"/>
        <v>0</v>
      </c>
      <c r="C517" t="s">
        <v>85</v>
      </c>
      <c r="D517" t="s">
        <v>92</v>
      </c>
      <c r="E517" t="s">
        <v>92</v>
      </c>
      <c r="F517" t="s">
        <v>92</v>
      </c>
      <c r="G517" t="s">
        <v>92</v>
      </c>
      <c r="H517" t="s">
        <v>92</v>
      </c>
      <c r="I517" s="12" t="s">
        <v>268</v>
      </c>
      <c r="J517" t="s">
        <v>278</v>
      </c>
      <c r="L517" t="s">
        <v>92</v>
      </c>
      <c r="N517" s="14">
        <v>1</v>
      </c>
      <c r="P517" s="12" t="s">
        <v>268</v>
      </c>
      <c r="W517" s="9" t="str">
        <f t="shared" ca="1" si="36"/>
        <v>18.5%</v>
      </c>
      <c r="X517" t="s">
        <v>321</v>
      </c>
      <c r="Y517" s="9" t="str">
        <f t="shared" ca="1" si="37"/>
        <v>Sin costo</v>
      </c>
      <c r="Z517" t="s">
        <v>327</v>
      </c>
      <c r="AA517" t="s">
        <v>329</v>
      </c>
      <c r="AB517" t="s">
        <v>334</v>
      </c>
      <c r="AC517" s="12" t="s">
        <v>339</v>
      </c>
      <c r="AE517" t="s">
        <v>268</v>
      </c>
      <c r="AG517" s="12" t="s">
        <v>268</v>
      </c>
      <c r="AH517" t="s">
        <v>92</v>
      </c>
      <c r="AI517" s="12" t="s">
        <v>268</v>
      </c>
      <c r="AJ517" t="s">
        <v>92</v>
      </c>
      <c r="AK517" t="s">
        <v>92</v>
      </c>
      <c r="AL517" t="s">
        <v>92</v>
      </c>
      <c r="AM517" s="12" t="s">
        <v>268</v>
      </c>
      <c r="AN517" s="12" t="s">
        <v>268</v>
      </c>
      <c r="AO517" s="12" t="s">
        <v>268</v>
      </c>
      <c r="AP517" s="12" t="s">
        <v>268</v>
      </c>
      <c r="AQ517" s="12" t="s">
        <v>268</v>
      </c>
      <c r="AR517" s="28" t="str">
        <f t="shared" ca="1" si="38"/>
        <v/>
      </c>
      <c r="AS517" s="28" t="str">
        <f t="shared" ca="1" si="39"/>
        <v/>
      </c>
    </row>
    <row r="518" spans="2:45" ht="27.6" customHeight="1">
      <c r="B518">
        <f t="shared" ca="1" si="35"/>
        <v>0</v>
      </c>
      <c r="C518" t="s">
        <v>85</v>
      </c>
      <c r="D518" t="s">
        <v>92</v>
      </c>
      <c r="E518" t="s">
        <v>92</v>
      </c>
      <c r="F518" t="s">
        <v>92</v>
      </c>
      <c r="G518" t="s">
        <v>92</v>
      </c>
      <c r="H518" t="s">
        <v>92</v>
      </c>
      <c r="I518" s="12" t="s">
        <v>268</v>
      </c>
      <c r="J518" t="s">
        <v>278</v>
      </c>
      <c r="L518" t="s">
        <v>92</v>
      </c>
      <c r="N518" s="14">
        <v>1</v>
      </c>
      <c r="P518" s="12" t="s">
        <v>268</v>
      </c>
      <c r="W518" s="9" t="str">
        <f t="shared" ca="1" si="36"/>
        <v>18.5%</v>
      </c>
      <c r="X518" t="s">
        <v>321</v>
      </c>
      <c r="Y518" s="9" t="str">
        <f t="shared" ca="1" si="37"/>
        <v>Sin costo</v>
      </c>
      <c r="Z518" t="s">
        <v>327</v>
      </c>
      <c r="AA518" t="s">
        <v>329</v>
      </c>
      <c r="AB518" t="s">
        <v>334</v>
      </c>
      <c r="AC518" s="12" t="s">
        <v>339</v>
      </c>
      <c r="AE518" t="s">
        <v>268</v>
      </c>
      <c r="AG518" s="12" t="s">
        <v>268</v>
      </c>
      <c r="AH518" t="s">
        <v>92</v>
      </c>
      <c r="AI518" s="12" t="s">
        <v>268</v>
      </c>
      <c r="AJ518" t="s">
        <v>92</v>
      </c>
      <c r="AK518" t="s">
        <v>92</v>
      </c>
      <c r="AL518" t="s">
        <v>92</v>
      </c>
      <c r="AM518" s="12" t="s">
        <v>268</v>
      </c>
      <c r="AN518" s="12" t="s">
        <v>268</v>
      </c>
      <c r="AO518" s="12" t="s">
        <v>268</v>
      </c>
      <c r="AP518" s="12" t="s">
        <v>268</v>
      </c>
      <c r="AQ518" s="12" t="s">
        <v>268</v>
      </c>
      <c r="AR518" s="28" t="str">
        <f t="shared" ca="1" si="38"/>
        <v/>
      </c>
      <c r="AS518" s="28" t="str">
        <f t="shared" ca="1" si="39"/>
        <v/>
      </c>
    </row>
    <row r="519" spans="2:45" ht="27.6" customHeight="1">
      <c r="B519">
        <f t="shared" ref="B519:B582" ca="1" si="40">LEN(INDIRECT(ADDRESS(ROW() + (0),COLUMN() + (-1))))</f>
        <v>0</v>
      </c>
      <c r="C519" t="s">
        <v>85</v>
      </c>
      <c r="D519" t="s">
        <v>92</v>
      </c>
      <c r="E519" t="s">
        <v>92</v>
      </c>
      <c r="F519" t="s">
        <v>92</v>
      </c>
      <c r="G519" t="s">
        <v>92</v>
      </c>
      <c r="H519" t="s">
        <v>92</v>
      </c>
      <c r="I519" s="12" t="s">
        <v>268</v>
      </c>
      <c r="J519" t="s">
        <v>278</v>
      </c>
      <c r="L519" t="s">
        <v>92</v>
      </c>
      <c r="N519" s="14">
        <v>1</v>
      </c>
      <c r="P519" s="12" t="s">
        <v>268</v>
      </c>
      <c r="W519" s="9" t="str">
        <f t="shared" ref="W519:W582" ca="1" si="41">IF(INDIRECT(ADDRESS(ROW() + (0),COLUMN() + (1)))="Cuotas extra", IF(("21.5%")="", "-", "21.5%"), IF(INDIRECT(ADDRESS(ROW() + (0),COLUMN() + (1)))="Cuotas", IF(("18.5%")="", "-", "18.5%"), "-"))</f>
        <v>18.5%</v>
      </c>
      <c r="X519" t="s">
        <v>321</v>
      </c>
      <c r="Y519" s="9" t="str">
        <f t="shared" ref="Y519:Y582" ca="1" si="42">IF(INDIRECT(ADDRESS(ROW() + (0),COLUMN() + (-1)))="Cuotas extra", IF(("")="", "Sin costo", ""), IF(INDIRECT(ADDRESS(ROW() + (0),COLUMN() + (-1)))="Cuotas", IF(("")="", "Sin costo", ""), "-"))</f>
        <v>Sin costo</v>
      </c>
      <c r="Z519" t="s">
        <v>327</v>
      </c>
      <c r="AA519" t="s">
        <v>329</v>
      </c>
      <c r="AB519" t="s">
        <v>334</v>
      </c>
      <c r="AC519" s="12" t="s">
        <v>339</v>
      </c>
      <c r="AE519" t="s">
        <v>268</v>
      </c>
      <c r="AG519" s="12" t="s">
        <v>268</v>
      </c>
      <c r="AH519" t="s">
        <v>92</v>
      </c>
      <c r="AI519" s="12" t="s">
        <v>268</v>
      </c>
      <c r="AJ519" t="s">
        <v>92</v>
      </c>
      <c r="AK519" t="s">
        <v>92</v>
      </c>
      <c r="AL519" t="s">
        <v>92</v>
      </c>
      <c r="AM519" s="12" t="s">
        <v>268</v>
      </c>
      <c r="AN519" s="12" t="s">
        <v>268</v>
      </c>
      <c r="AO519" s="12" t="s">
        <v>268</v>
      </c>
      <c r="AP519" s="12" t="s">
        <v>268</v>
      </c>
      <c r="AQ519" s="12" t="s">
        <v>268</v>
      </c>
      <c r="AR519" s="28" t="str">
        <f t="shared" ref="AR519:AR582" ca="1" si="4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519" s="28" t="str">
        <f t="shared" ref="AS519:AS582" ca="1" si="44">IF(TRIM(INDIRECT("A"&amp;ROW())) &lt;&gt; "",FALSE,"")</f>
        <v/>
      </c>
    </row>
    <row r="520" spans="2:45" ht="27.6" customHeight="1">
      <c r="B520">
        <f t="shared" ca="1" si="40"/>
        <v>0</v>
      </c>
      <c r="C520" t="s">
        <v>85</v>
      </c>
      <c r="D520" t="s">
        <v>92</v>
      </c>
      <c r="E520" t="s">
        <v>92</v>
      </c>
      <c r="F520" t="s">
        <v>92</v>
      </c>
      <c r="G520" t="s">
        <v>92</v>
      </c>
      <c r="H520" t="s">
        <v>92</v>
      </c>
      <c r="I520" s="12" t="s">
        <v>268</v>
      </c>
      <c r="J520" t="s">
        <v>278</v>
      </c>
      <c r="L520" t="s">
        <v>92</v>
      </c>
      <c r="N520" s="14">
        <v>1</v>
      </c>
      <c r="P520" s="12" t="s">
        <v>268</v>
      </c>
      <c r="W520" s="9" t="str">
        <f t="shared" ca="1" si="41"/>
        <v>18.5%</v>
      </c>
      <c r="X520" t="s">
        <v>321</v>
      </c>
      <c r="Y520" s="9" t="str">
        <f t="shared" ca="1" si="42"/>
        <v>Sin costo</v>
      </c>
      <c r="Z520" t="s">
        <v>327</v>
      </c>
      <c r="AA520" t="s">
        <v>329</v>
      </c>
      <c r="AB520" t="s">
        <v>334</v>
      </c>
      <c r="AC520" s="12" t="s">
        <v>339</v>
      </c>
      <c r="AE520" t="s">
        <v>268</v>
      </c>
      <c r="AG520" s="12" t="s">
        <v>268</v>
      </c>
      <c r="AH520" t="s">
        <v>92</v>
      </c>
      <c r="AI520" s="12" t="s">
        <v>268</v>
      </c>
      <c r="AJ520" t="s">
        <v>92</v>
      </c>
      <c r="AK520" t="s">
        <v>92</v>
      </c>
      <c r="AL520" t="s">
        <v>92</v>
      </c>
      <c r="AM520" s="12" t="s">
        <v>268</v>
      </c>
      <c r="AN520" s="12" t="s">
        <v>268</v>
      </c>
      <c r="AO520" s="12" t="s">
        <v>268</v>
      </c>
      <c r="AP520" s="12" t="s">
        <v>268</v>
      </c>
      <c r="AQ520" s="12" t="s">
        <v>268</v>
      </c>
      <c r="AR520" s="28" t="str">
        <f t="shared" ca="1" si="43"/>
        <v/>
      </c>
      <c r="AS520" s="28" t="str">
        <f t="shared" ca="1" si="44"/>
        <v/>
      </c>
    </row>
    <row r="521" spans="2:45" ht="27.6" customHeight="1">
      <c r="B521">
        <f t="shared" ca="1" si="40"/>
        <v>0</v>
      </c>
      <c r="C521" t="s">
        <v>85</v>
      </c>
      <c r="D521" t="s">
        <v>92</v>
      </c>
      <c r="E521" t="s">
        <v>92</v>
      </c>
      <c r="F521" t="s">
        <v>92</v>
      </c>
      <c r="G521" t="s">
        <v>92</v>
      </c>
      <c r="H521" t="s">
        <v>92</v>
      </c>
      <c r="I521" s="12" t="s">
        <v>268</v>
      </c>
      <c r="J521" t="s">
        <v>278</v>
      </c>
      <c r="L521" t="s">
        <v>92</v>
      </c>
      <c r="N521" s="14">
        <v>1</v>
      </c>
      <c r="P521" s="12" t="s">
        <v>268</v>
      </c>
      <c r="W521" s="9" t="str">
        <f t="shared" ca="1" si="41"/>
        <v>18.5%</v>
      </c>
      <c r="X521" t="s">
        <v>321</v>
      </c>
      <c r="Y521" s="9" t="str">
        <f t="shared" ca="1" si="42"/>
        <v>Sin costo</v>
      </c>
      <c r="Z521" t="s">
        <v>327</v>
      </c>
      <c r="AA521" t="s">
        <v>329</v>
      </c>
      <c r="AB521" t="s">
        <v>334</v>
      </c>
      <c r="AC521" s="12" t="s">
        <v>339</v>
      </c>
      <c r="AE521" t="s">
        <v>268</v>
      </c>
      <c r="AG521" s="12" t="s">
        <v>268</v>
      </c>
      <c r="AH521" t="s">
        <v>92</v>
      </c>
      <c r="AI521" s="12" t="s">
        <v>268</v>
      </c>
      <c r="AJ521" t="s">
        <v>92</v>
      </c>
      <c r="AK521" t="s">
        <v>92</v>
      </c>
      <c r="AL521" t="s">
        <v>92</v>
      </c>
      <c r="AM521" s="12" t="s">
        <v>268</v>
      </c>
      <c r="AN521" s="12" t="s">
        <v>268</v>
      </c>
      <c r="AO521" s="12" t="s">
        <v>268</v>
      </c>
      <c r="AP521" s="12" t="s">
        <v>268</v>
      </c>
      <c r="AQ521" s="12" t="s">
        <v>268</v>
      </c>
      <c r="AR521" s="28" t="str">
        <f t="shared" ca="1" si="43"/>
        <v/>
      </c>
      <c r="AS521" s="28" t="str">
        <f t="shared" ca="1" si="44"/>
        <v/>
      </c>
    </row>
    <row r="522" spans="2:45" ht="27.6" customHeight="1">
      <c r="B522">
        <f t="shared" ca="1" si="40"/>
        <v>0</v>
      </c>
      <c r="C522" t="s">
        <v>85</v>
      </c>
      <c r="D522" t="s">
        <v>92</v>
      </c>
      <c r="E522" t="s">
        <v>92</v>
      </c>
      <c r="F522" t="s">
        <v>92</v>
      </c>
      <c r="G522" t="s">
        <v>92</v>
      </c>
      <c r="H522" t="s">
        <v>92</v>
      </c>
      <c r="I522" s="12" t="s">
        <v>268</v>
      </c>
      <c r="J522" t="s">
        <v>278</v>
      </c>
      <c r="L522" t="s">
        <v>92</v>
      </c>
      <c r="N522" s="14">
        <v>1</v>
      </c>
      <c r="P522" s="12" t="s">
        <v>268</v>
      </c>
      <c r="W522" s="9" t="str">
        <f t="shared" ca="1" si="41"/>
        <v>18.5%</v>
      </c>
      <c r="X522" t="s">
        <v>321</v>
      </c>
      <c r="Y522" s="9" t="str">
        <f t="shared" ca="1" si="42"/>
        <v>Sin costo</v>
      </c>
      <c r="Z522" t="s">
        <v>327</v>
      </c>
      <c r="AA522" t="s">
        <v>329</v>
      </c>
      <c r="AB522" t="s">
        <v>334</v>
      </c>
      <c r="AC522" s="12" t="s">
        <v>339</v>
      </c>
      <c r="AE522" t="s">
        <v>268</v>
      </c>
      <c r="AG522" s="12" t="s">
        <v>268</v>
      </c>
      <c r="AH522" t="s">
        <v>92</v>
      </c>
      <c r="AI522" s="12" t="s">
        <v>268</v>
      </c>
      <c r="AJ522" t="s">
        <v>92</v>
      </c>
      <c r="AK522" t="s">
        <v>92</v>
      </c>
      <c r="AL522" t="s">
        <v>92</v>
      </c>
      <c r="AM522" s="12" t="s">
        <v>268</v>
      </c>
      <c r="AN522" s="12" t="s">
        <v>268</v>
      </c>
      <c r="AO522" s="12" t="s">
        <v>268</v>
      </c>
      <c r="AP522" s="12" t="s">
        <v>268</v>
      </c>
      <c r="AQ522" s="12" t="s">
        <v>268</v>
      </c>
      <c r="AR522" s="28" t="str">
        <f t="shared" ca="1" si="43"/>
        <v/>
      </c>
      <c r="AS522" s="28" t="str">
        <f t="shared" ca="1" si="44"/>
        <v/>
      </c>
    </row>
    <row r="523" spans="2:45" ht="27.6" customHeight="1">
      <c r="B523">
        <f t="shared" ca="1" si="40"/>
        <v>0</v>
      </c>
      <c r="C523" t="s">
        <v>85</v>
      </c>
      <c r="D523" t="s">
        <v>92</v>
      </c>
      <c r="E523" t="s">
        <v>92</v>
      </c>
      <c r="F523" t="s">
        <v>92</v>
      </c>
      <c r="G523" t="s">
        <v>92</v>
      </c>
      <c r="H523" t="s">
        <v>92</v>
      </c>
      <c r="I523" s="12" t="s">
        <v>268</v>
      </c>
      <c r="J523" t="s">
        <v>278</v>
      </c>
      <c r="L523" t="s">
        <v>92</v>
      </c>
      <c r="N523" s="14">
        <v>1</v>
      </c>
      <c r="P523" s="12" t="s">
        <v>268</v>
      </c>
      <c r="W523" s="9" t="str">
        <f t="shared" ca="1" si="41"/>
        <v>18.5%</v>
      </c>
      <c r="X523" t="s">
        <v>321</v>
      </c>
      <c r="Y523" s="9" t="str">
        <f t="shared" ca="1" si="42"/>
        <v>Sin costo</v>
      </c>
      <c r="Z523" t="s">
        <v>327</v>
      </c>
      <c r="AA523" t="s">
        <v>329</v>
      </c>
      <c r="AB523" t="s">
        <v>334</v>
      </c>
      <c r="AC523" s="12" t="s">
        <v>339</v>
      </c>
      <c r="AE523" t="s">
        <v>268</v>
      </c>
      <c r="AG523" s="12" t="s">
        <v>268</v>
      </c>
      <c r="AH523" t="s">
        <v>92</v>
      </c>
      <c r="AI523" s="12" t="s">
        <v>268</v>
      </c>
      <c r="AJ523" t="s">
        <v>92</v>
      </c>
      <c r="AK523" t="s">
        <v>92</v>
      </c>
      <c r="AL523" t="s">
        <v>92</v>
      </c>
      <c r="AM523" s="12" t="s">
        <v>268</v>
      </c>
      <c r="AN523" s="12" t="s">
        <v>268</v>
      </c>
      <c r="AO523" s="12" t="s">
        <v>268</v>
      </c>
      <c r="AP523" s="12" t="s">
        <v>268</v>
      </c>
      <c r="AQ523" s="12" t="s">
        <v>268</v>
      </c>
      <c r="AR523" s="28" t="str">
        <f t="shared" ca="1" si="43"/>
        <v/>
      </c>
      <c r="AS523" s="28" t="str">
        <f t="shared" ca="1" si="44"/>
        <v/>
      </c>
    </row>
    <row r="524" spans="2:45" ht="27.6" customHeight="1">
      <c r="B524">
        <f t="shared" ca="1" si="40"/>
        <v>0</v>
      </c>
      <c r="C524" t="s">
        <v>85</v>
      </c>
      <c r="D524" t="s">
        <v>92</v>
      </c>
      <c r="E524" t="s">
        <v>92</v>
      </c>
      <c r="F524" t="s">
        <v>92</v>
      </c>
      <c r="G524" t="s">
        <v>92</v>
      </c>
      <c r="H524" t="s">
        <v>92</v>
      </c>
      <c r="I524" s="12" t="s">
        <v>268</v>
      </c>
      <c r="J524" t="s">
        <v>278</v>
      </c>
      <c r="L524" t="s">
        <v>92</v>
      </c>
      <c r="N524" s="14">
        <v>1</v>
      </c>
      <c r="P524" s="12" t="s">
        <v>268</v>
      </c>
      <c r="W524" s="9" t="str">
        <f t="shared" ca="1" si="41"/>
        <v>18.5%</v>
      </c>
      <c r="X524" t="s">
        <v>321</v>
      </c>
      <c r="Y524" s="9" t="str">
        <f t="shared" ca="1" si="42"/>
        <v>Sin costo</v>
      </c>
      <c r="Z524" t="s">
        <v>327</v>
      </c>
      <c r="AA524" t="s">
        <v>329</v>
      </c>
      <c r="AB524" t="s">
        <v>334</v>
      </c>
      <c r="AC524" s="12" t="s">
        <v>339</v>
      </c>
      <c r="AE524" t="s">
        <v>268</v>
      </c>
      <c r="AG524" s="12" t="s">
        <v>268</v>
      </c>
      <c r="AH524" t="s">
        <v>92</v>
      </c>
      <c r="AI524" s="12" t="s">
        <v>268</v>
      </c>
      <c r="AJ524" t="s">
        <v>92</v>
      </c>
      <c r="AK524" t="s">
        <v>92</v>
      </c>
      <c r="AL524" t="s">
        <v>92</v>
      </c>
      <c r="AM524" s="12" t="s">
        <v>268</v>
      </c>
      <c r="AN524" s="12" t="s">
        <v>268</v>
      </c>
      <c r="AO524" s="12" t="s">
        <v>268</v>
      </c>
      <c r="AP524" s="12" t="s">
        <v>268</v>
      </c>
      <c r="AQ524" s="12" t="s">
        <v>268</v>
      </c>
      <c r="AR524" s="28" t="str">
        <f t="shared" ca="1" si="43"/>
        <v/>
      </c>
      <c r="AS524" s="28" t="str">
        <f t="shared" ca="1" si="44"/>
        <v/>
      </c>
    </row>
    <row r="525" spans="2:45" ht="27.6" customHeight="1">
      <c r="B525">
        <f t="shared" ca="1" si="40"/>
        <v>0</v>
      </c>
      <c r="C525" t="s">
        <v>85</v>
      </c>
      <c r="D525" t="s">
        <v>92</v>
      </c>
      <c r="E525" t="s">
        <v>92</v>
      </c>
      <c r="F525" t="s">
        <v>92</v>
      </c>
      <c r="G525" t="s">
        <v>92</v>
      </c>
      <c r="H525" t="s">
        <v>92</v>
      </c>
      <c r="I525" s="12" t="s">
        <v>268</v>
      </c>
      <c r="J525" t="s">
        <v>278</v>
      </c>
      <c r="L525" t="s">
        <v>92</v>
      </c>
      <c r="N525" s="14">
        <v>1</v>
      </c>
      <c r="P525" s="12" t="s">
        <v>268</v>
      </c>
      <c r="W525" s="9" t="str">
        <f t="shared" ca="1" si="41"/>
        <v>18.5%</v>
      </c>
      <c r="X525" t="s">
        <v>321</v>
      </c>
      <c r="Y525" s="9" t="str">
        <f t="shared" ca="1" si="42"/>
        <v>Sin costo</v>
      </c>
      <c r="Z525" t="s">
        <v>327</v>
      </c>
      <c r="AA525" t="s">
        <v>329</v>
      </c>
      <c r="AB525" t="s">
        <v>334</v>
      </c>
      <c r="AC525" s="12" t="s">
        <v>339</v>
      </c>
      <c r="AE525" t="s">
        <v>268</v>
      </c>
      <c r="AG525" s="12" t="s">
        <v>268</v>
      </c>
      <c r="AH525" t="s">
        <v>92</v>
      </c>
      <c r="AI525" s="12" t="s">
        <v>268</v>
      </c>
      <c r="AJ525" t="s">
        <v>92</v>
      </c>
      <c r="AK525" t="s">
        <v>92</v>
      </c>
      <c r="AL525" t="s">
        <v>92</v>
      </c>
      <c r="AM525" s="12" t="s">
        <v>268</v>
      </c>
      <c r="AN525" s="12" t="s">
        <v>268</v>
      </c>
      <c r="AO525" s="12" t="s">
        <v>268</v>
      </c>
      <c r="AP525" s="12" t="s">
        <v>268</v>
      </c>
      <c r="AQ525" s="12" t="s">
        <v>268</v>
      </c>
      <c r="AR525" s="28" t="str">
        <f t="shared" ca="1" si="43"/>
        <v/>
      </c>
      <c r="AS525" s="28" t="str">
        <f t="shared" ca="1" si="44"/>
        <v/>
      </c>
    </row>
    <row r="526" spans="2:45" ht="27.6" customHeight="1">
      <c r="B526">
        <f t="shared" ca="1" si="40"/>
        <v>0</v>
      </c>
      <c r="C526" t="s">
        <v>85</v>
      </c>
      <c r="D526" t="s">
        <v>92</v>
      </c>
      <c r="E526" t="s">
        <v>92</v>
      </c>
      <c r="F526" t="s">
        <v>92</v>
      </c>
      <c r="G526" t="s">
        <v>92</v>
      </c>
      <c r="H526" t="s">
        <v>92</v>
      </c>
      <c r="I526" s="12" t="s">
        <v>268</v>
      </c>
      <c r="J526" t="s">
        <v>278</v>
      </c>
      <c r="L526" t="s">
        <v>92</v>
      </c>
      <c r="N526" s="14">
        <v>1</v>
      </c>
      <c r="P526" s="12" t="s">
        <v>268</v>
      </c>
      <c r="W526" s="9" t="str">
        <f t="shared" ca="1" si="41"/>
        <v>18.5%</v>
      </c>
      <c r="X526" t="s">
        <v>321</v>
      </c>
      <c r="Y526" s="9" t="str">
        <f t="shared" ca="1" si="42"/>
        <v>Sin costo</v>
      </c>
      <c r="Z526" t="s">
        <v>327</v>
      </c>
      <c r="AA526" t="s">
        <v>329</v>
      </c>
      <c r="AB526" t="s">
        <v>334</v>
      </c>
      <c r="AC526" s="12" t="s">
        <v>339</v>
      </c>
      <c r="AE526" t="s">
        <v>268</v>
      </c>
      <c r="AG526" s="12" t="s">
        <v>268</v>
      </c>
      <c r="AH526" t="s">
        <v>92</v>
      </c>
      <c r="AI526" s="12" t="s">
        <v>268</v>
      </c>
      <c r="AJ526" t="s">
        <v>92</v>
      </c>
      <c r="AK526" t="s">
        <v>92</v>
      </c>
      <c r="AL526" t="s">
        <v>92</v>
      </c>
      <c r="AM526" s="12" t="s">
        <v>268</v>
      </c>
      <c r="AN526" s="12" t="s">
        <v>268</v>
      </c>
      <c r="AO526" s="12" t="s">
        <v>268</v>
      </c>
      <c r="AP526" s="12" t="s">
        <v>268</v>
      </c>
      <c r="AQ526" s="12" t="s">
        <v>268</v>
      </c>
      <c r="AR526" s="28" t="str">
        <f t="shared" ca="1" si="43"/>
        <v/>
      </c>
      <c r="AS526" s="28" t="str">
        <f t="shared" ca="1" si="44"/>
        <v/>
      </c>
    </row>
    <row r="527" spans="2:45" ht="27.6" customHeight="1">
      <c r="B527">
        <f t="shared" ca="1" si="40"/>
        <v>0</v>
      </c>
      <c r="C527" t="s">
        <v>85</v>
      </c>
      <c r="D527" t="s">
        <v>92</v>
      </c>
      <c r="E527" t="s">
        <v>92</v>
      </c>
      <c r="F527" t="s">
        <v>92</v>
      </c>
      <c r="G527" t="s">
        <v>92</v>
      </c>
      <c r="H527" t="s">
        <v>92</v>
      </c>
      <c r="I527" s="12" t="s">
        <v>268</v>
      </c>
      <c r="J527" t="s">
        <v>278</v>
      </c>
      <c r="L527" t="s">
        <v>92</v>
      </c>
      <c r="N527" s="14">
        <v>1</v>
      </c>
      <c r="P527" s="12" t="s">
        <v>268</v>
      </c>
      <c r="W527" s="9" t="str">
        <f t="shared" ca="1" si="41"/>
        <v>18.5%</v>
      </c>
      <c r="X527" t="s">
        <v>321</v>
      </c>
      <c r="Y527" s="9" t="str">
        <f t="shared" ca="1" si="42"/>
        <v>Sin costo</v>
      </c>
      <c r="Z527" t="s">
        <v>327</v>
      </c>
      <c r="AA527" t="s">
        <v>329</v>
      </c>
      <c r="AB527" t="s">
        <v>334</v>
      </c>
      <c r="AC527" s="12" t="s">
        <v>339</v>
      </c>
      <c r="AE527" t="s">
        <v>268</v>
      </c>
      <c r="AG527" s="12" t="s">
        <v>268</v>
      </c>
      <c r="AH527" t="s">
        <v>92</v>
      </c>
      <c r="AI527" s="12" t="s">
        <v>268</v>
      </c>
      <c r="AJ527" t="s">
        <v>92</v>
      </c>
      <c r="AK527" t="s">
        <v>92</v>
      </c>
      <c r="AL527" t="s">
        <v>92</v>
      </c>
      <c r="AM527" s="12" t="s">
        <v>268</v>
      </c>
      <c r="AN527" s="12" t="s">
        <v>268</v>
      </c>
      <c r="AO527" s="12" t="s">
        <v>268</v>
      </c>
      <c r="AP527" s="12" t="s">
        <v>268</v>
      </c>
      <c r="AQ527" s="12" t="s">
        <v>268</v>
      </c>
      <c r="AR527" s="28" t="str">
        <f t="shared" ca="1" si="43"/>
        <v/>
      </c>
      <c r="AS527" s="28" t="str">
        <f t="shared" ca="1" si="44"/>
        <v/>
      </c>
    </row>
    <row r="528" spans="2:45" ht="27.6" customHeight="1">
      <c r="B528">
        <f t="shared" ca="1" si="40"/>
        <v>0</v>
      </c>
      <c r="C528" t="s">
        <v>85</v>
      </c>
      <c r="D528" t="s">
        <v>92</v>
      </c>
      <c r="E528" t="s">
        <v>92</v>
      </c>
      <c r="F528" t="s">
        <v>92</v>
      </c>
      <c r="G528" t="s">
        <v>92</v>
      </c>
      <c r="H528" t="s">
        <v>92</v>
      </c>
      <c r="I528" s="12" t="s">
        <v>268</v>
      </c>
      <c r="J528" t="s">
        <v>278</v>
      </c>
      <c r="L528" t="s">
        <v>92</v>
      </c>
      <c r="N528" s="14">
        <v>1</v>
      </c>
      <c r="P528" s="12" t="s">
        <v>268</v>
      </c>
      <c r="W528" s="9" t="str">
        <f t="shared" ca="1" si="41"/>
        <v>18.5%</v>
      </c>
      <c r="X528" t="s">
        <v>321</v>
      </c>
      <c r="Y528" s="9" t="str">
        <f t="shared" ca="1" si="42"/>
        <v>Sin costo</v>
      </c>
      <c r="Z528" t="s">
        <v>327</v>
      </c>
      <c r="AA528" t="s">
        <v>329</v>
      </c>
      <c r="AB528" t="s">
        <v>334</v>
      </c>
      <c r="AC528" s="12" t="s">
        <v>339</v>
      </c>
      <c r="AE528" t="s">
        <v>268</v>
      </c>
      <c r="AG528" s="12" t="s">
        <v>268</v>
      </c>
      <c r="AH528" t="s">
        <v>92</v>
      </c>
      <c r="AI528" s="12" t="s">
        <v>268</v>
      </c>
      <c r="AJ528" t="s">
        <v>92</v>
      </c>
      <c r="AK528" t="s">
        <v>92</v>
      </c>
      <c r="AL528" t="s">
        <v>92</v>
      </c>
      <c r="AM528" s="12" t="s">
        <v>268</v>
      </c>
      <c r="AN528" s="12" t="s">
        <v>268</v>
      </c>
      <c r="AO528" s="12" t="s">
        <v>268</v>
      </c>
      <c r="AP528" s="12" t="s">
        <v>268</v>
      </c>
      <c r="AQ528" s="12" t="s">
        <v>268</v>
      </c>
      <c r="AR528" s="28" t="str">
        <f t="shared" ca="1" si="43"/>
        <v/>
      </c>
      <c r="AS528" s="28" t="str">
        <f t="shared" ca="1" si="44"/>
        <v/>
      </c>
    </row>
    <row r="529" spans="2:45" ht="27.6" customHeight="1">
      <c r="B529">
        <f t="shared" ca="1" si="40"/>
        <v>0</v>
      </c>
      <c r="C529" t="s">
        <v>85</v>
      </c>
      <c r="D529" t="s">
        <v>92</v>
      </c>
      <c r="E529" t="s">
        <v>92</v>
      </c>
      <c r="F529" t="s">
        <v>92</v>
      </c>
      <c r="G529" t="s">
        <v>92</v>
      </c>
      <c r="H529" t="s">
        <v>92</v>
      </c>
      <c r="I529" s="12" t="s">
        <v>268</v>
      </c>
      <c r="J529" t="s">
        <v>278</v>
      </c>
      <c r="L529" t="s">
        <v>92</v>
      </c>
      <c r="N529" s="14">
        <v>1</v>
      </c>
      <c r="P529" s="12" t="s">
        <v>268</v>
      </c>
      <c r="W529" s="9" t="str">
        <f t="shared" ca="1" si="41"/>
        <v>18.5%</v>
      </c>
      <c r="X529" t="s">
        <v>321</v>
      </c>
      <c r="Y529" s="9" t="str">
        <f t="shared" ca="1" si="42"/>
        <v>Sin costo</v>
      </c>
      <c r="Z529" t="s">
        <v>327</v>
      </c>
      <c r="AA529" t="s">
        <v>329</v>
      </c>
      <c r="AB529" t="s">
        <v>334</v>
      </c>
      <c r="AC529" s="12" t="s">
        <v>339</v>
      </c>
      <c r="AE529" t="s">
        <v>268</v>
      </c>
      <c r="AG529" s="12" t="s">
        <v>268</v>
      </c>
      <c r="AH529" t="s">
        <v>92</v>
      </c>
      <c r="AI529" s="12" t="s">
        <v>268</v>
      </c>
      <c r="AJ529" t="s">
        <v>92</v>
      </c>
      <c r="AK529" t="s">
        <v>92</v>
      </c>
      <c r="AL529" t="s">
        <v>92</v>
      </c>
      <c r="AM529" s="12" t="s">
        <v>268</v>
      </c>
      <c r="AN529" s="12" t="s">
        <v>268</v>
      </c>
      <c r="AO529" s="12" t="s">
        <v>268</v>
      </c>
      <c r="AP529" s="12" t="s">
        <v>268</v>
      </c>
      <c r="AQ529" s="12" t="s">
        <v>268</v>
      </c>
      <c r="AR529" s="28" t="str">
        <f t="shared" ca="1" si="43"/>
        <v/>
      </c>
      <c r="AS529" s="28" t="str">
        <f t="shared" ca="1" si="44"/>
        <v/>
      </c>
    </row>
    <row r="530" spans="2:45" ht="27.6" customHeight="1">
      <c r="B530">
        <f t="shared" ca="1" si="40"/>
        <v>0</v>
      </c>
      <c r="C530" t="s">
        <v>85</v>
      </c>
      <c r="D530" t="s">
        <v>92</v>
      </c>
      <c r="E530" t="s">
        <v>92</v>
      </c>
      <c r="F530" t="s">
        <v>92</v>
      </c>
      <c r="G530" t="s">
        <v>92</v>
      </c>
      <c r="H530" t="s">
        <v>92</v>
      </c>
      <c r="I530" s="12" t="s">
        <v>268</v>
      </c>
      <c r="J530" t="s">
        <v>278</v>
      </c>
      <c r="L530" t="s">
        <v>92</v>
      </c>
      <c r="N530" s="14">
        <v>1</v>
      </c>
      <c r="P530" s="12" t="s">
        <v>268</v>
      </c>
      <c r="W530" s="9" t="str">
        <f t="shared" ca="1" si="41"/>
        <v>18.5%</v>
      </c>
      <c r="X530" t="s">
        <v>321</v>
      </c>
      <c r="Y530" s="9" t="str">
        <f t="shared" ca="1" si="42"/>
        <v>Sin costo</v>
      </c>
      <c r="Z530" t="s">
        <v>327</v>
      </c>
      <c r="AA530" t="s">
        <v>329</v>
      </c>
      <c r="AB530" t="s">
        <v>334</v>
      </c>
      <c r="AC530" s="12" t="s">
        <v>339</v>
      </c>
      <c r="AE530" t="s">
        <v>268</v>
      </c>
      <c r="AG530" s="12" t="s">
        <v>268</v>
      </c>
      <c r="AH530" t="s">
        <v>92</v>
      </c>
      <c r="AI530" s="12" t="s">
        <v>268</v>
      </c>
      <c r="AJ530" t="s">
        <v>92</v>
      </c>
      <c r="AK530" t="s">
        <v>92</v>
      </c>
      <c r="AL530" t="s">
        <v>92</v>
      </c>
      <c r="AM530" s="12" t="s">
        <v>268</v>
      </c>
      <c r="AN530" s="12" t="s">
        <v>268</v>
      </c>
      <c r="AO530" s="12" t="s">
        <v>268</v>
      </c>
      <c r="AP530" s="12" t="s">
        <v>268</v>
      </c>
      <c r="AQ530" s="12" t="s">
        <v>268</v>
      </c>
      <c r="AR530" s="28" t="str">
        <f t="shared" ca="1" si="43"/>
        <v/>
      </c>
      <c r="AS530" s="28" t="str">
        <f t="shared" ca="1" si="44"/>
        <v/>
      </c>
    </row>
    <row r="531" spans="2:45" ht="27.6" customHeight="1">
      <c r="B531">
        <f t="shared" ca="1" si="40"/>
        <v>0</v>
      </c>
      <c r="C531" t="s">
        <v>85</v>
      </c>
      <c r="D531" t="s">
        <v>92</v>
      </c>
      <c r="E531" t="s">
        <v>92</v>
      </c>
      <c r="F531" t="s">
        <v>92</v>
      </c>
      <c r="G531" t="s">
        <v>92</v>
      </c>
      <c r="H531" t="s">
        <v>92</v>
      </c>
      <c r="I531" s="12" t="s">
        <v>268</v>
      </c>
      <c r="J531" t="s">
        <v>278</v>
      </c>
      <c r="L531" t="s">
        <v>92</v>
      </c>
      <c r="N531" s="14">
        <v>1</v>
      </c>
      <c r="P531" s="12" t="s">
        <v>268</v>
      </c>
      <c r="W531" s="9" t="str">
        <f t="shared" ca="1" si="41"/>
        <v>18.5%</v>
      </c>
      <c r="X531" t="s">
        <v>321</v>
      </c>
      <c r="Y531" s="9" t="str">
        <f t="shared" ca="1" si="42"/>
        <v>Sin costo</v>
      </c>
      <c r="Z531" t="s">
        <v>327</v>
      </c>
      <c r="AA531" t="s">
        <v>329</v>
      </c>
      <c r="AB531" t="s">
        <v>334</v>
      </c>
      <c r="AC531" s="12" t="s">
        <v>339</v>
      </c>
      <c r="AE531" t="s">
        <v>268</v>
      </c>
      <c r="AG531" s="12" t="s">
        <v>268</v>
      </c>
      <c r="AH531" t="s">
        <v>92</v>
      </c>
      <c r="AI531" s="12" t="s">
        <v>268</v>
      </c>
      <c r="AJ531" t="s">
        <v>92</v>
      </c>
      <c r="AK531" t="s">
        <v>92</v>
      </c>
      <c r="AL531" t="s">
        <v>92</v>
      </c>
      <c r="AM531" s="12" t="s">
        <v>268</v>
      </c>
      <c r="AN531" s="12" t="s">
        <v>268</v>
      </c>
      <c r="AO531" s="12" t="s">
        <v>268</v>
      </c>
      <c r="AP531" s="12" t="s">
        <v>268</v>
      </c>
      <c r="AQ531" s="12" t="s">
        <v>268</v>
      </c>
      <c r="AR531" s="28" t="str">
        <f t="shared" ca="1" si="43"/>
        <v/>
      </c>
      <c r="AS531" s="28" t="str">
        <f t="shared" ca="1" si="44"/>
        <v/>
      </c>
    </row>
    <row r="532" spans="2:45" ht="27.6" customHeight="1">
      <c r="B532">
        <f t="shared" ca="1" si="40"/>
        <v>0</v>
      </c>
      <c r="C532" t="s">
        <v>85</v>
      </c>
      <c r="D532" t="s">
        <v>92</v>
      </c>
      <c r="E532" t="s">
        <v>92</v>
      </c>
      <c r="F532" t="s">
        <v>92</v>
      </c>
      <c r="G532" t="s">
        <v>92</v>
      </c>
      <c r="H532" t="s">
        <v>92</v>
      </c>
      <c r="I532" s="12" t="s">
        <v>268</v>
      </c>
      <c r="J532" t="s">
        <v>278</v>
      </c>
      <c r="L532" t="s">
        <v>92</v>
      </c>
      <c r="N532" s="14">
        <v>1</v>
      </c>
      <c r="P532" s="12" t="s">
        <v>268</v>
      </c>
      <c r="W532" s="9" t="str">
        <f t="shared" ca="1" si="41"/>
        <v>18.5%</v>
      </c>
      <c r="X532" t="s">
        <v>321</v>
      </c>
      <c r="Y532" s="9" t="str">
        <f t="shared" ca="1" si="42"/>
        <v>Sin costo</v>
      </c>
      <c r="Z532" t="s">
        <v>327</v>
      </c>
      <c r="AA532" t="s">
        <v>329</v>
      </c>
      <c r="AB532" t="s">
        <v>334</v>
      </c>
      <c r="AC532" s="12" t="s">
        <v>339</v>
      </c>
      <c r="AE532" t="s">
        <v>268</v>
      </c>
      <c r="AG532" s="12" t="s">
        <v>268</v>
      </c>
      <c r="AH532" t="s">
        <v>92</v>
      </c>
      <c r="AI532" s="12" t="s">
        <v>268</v>
      </c>
      <c r="AJ532" t="s">
        <v>92</v>
      </c>
      <c r="AK532" t="s">
        <v>92</v>
      </c>
      <c r="AL532" t="s">
        <v>92</v>
      </c>
      <c r="AM532" s="12" t="s">
        <v>268</v>
      </c>
      <c r="AN532" s="12" t="s">
        <v>268</v>
      </c>
      <c r="AO532" s="12" t="s">
        <v>268</v>
      </c>
      <c r="AP532" s="12" t="s">
        <v>268</v>
      </c>
      <c r="AQ532" s="12" t="s">
        <v>268</v>
      </c>
      <c r="AR532" s="28" t="str">
        <f t="shared" ca="1" si="43"/>
        <v/>
      </c>
      <c r="AS532" s="28" t="str">
        <f t="shared" ca="1" si="44"/>
        <v/>
      </c>
    </row>
    <row r="533" spans="2:45" ht="27.6" customHeight="1">
      <c r="B533">
        <f t="shared" ca="1" si="40"/>
        <v>0</v>
      </c>
      <c r="C533" t="s">
        <v>85</v>
      </c>
      <c r="D533" t="s">
        <v>92</v>
      </c>
      <c r="E533" t="s">
        <v>92</v>
      </c>
      <c r="F533" t="s">
        <v>92</v>
      </c>
      <c r="G533" t="s">
        <v>92</v>
      </c>
      <c r="H533" t="s">
        <v>92</v>
      </c>
      <c r="I533" s="12" t="s">
        <v>268</v>
      </c>
      <c r="J533" t="s">
        <v>278</v>
      </c>
      <c r="L533" t="s">
        <v>92</v>
      </c>
      <c r="N533" s="14">
        <v>1</v>
      </c>
      <c r="P533" s="12" t="s">
        <v>268</v>
      </c>
      <c r="W533" s="9" t="str">
        <f t="shared" ca="1" si="41"/>
        <v>18.5%</v>
      </c>
      <c r="X533" t="s">
        <v>321</v>
      </c>
      <c r="Y533" s="9" t="str">
        <f t="shared" ca="1" si="42"/>
        <v>Sin costo</v>
      </c>
      <c r="Z533" t="s">
        <v>327</v>
      </c>
      <c r="AA533" t="s">
        <v>329</v>
      </c>
      <c r="AB533" t="s">
        <v>334</v>
      </c>
      <c r="AC533" s="12" t="s">
        <v>339</v>
      </c>
      <c r="AE533" t="s">
        <v>268</v>
      </c>
      <c r="AG533" s="12" t="s">
        <v>268</v>
      </c>
      <c r="AH533" t="s">
        <v>92</v>
      </c>
      <c r="AI533" s="12" t="s">
        <v>268</v>
      </c>
      <c r="AJ533" t="s">
        <v>92</v>
      </c>
      <c r="AK533" t="s">
        <v>92</v>
      </c>
      <c r="AL533" t="s">
        <v>92</v>
      </c>
      <c r="AM533" s="12" t="s">
        <v>268</v>
      </c>
      <c r="AN533" s="12" t="s">
        <v>268</v>
      </c>
      <c r="AO533" s="12" t="s">
        <v>268</v>
      </c>
      <c r="AP533" s="12" t="s">
        <v>268</v>
      </c>
      <c r="AQ533" s="12" t="s">
        <v>268</v>
      </c>
      <c r="AR533" s="28" t="str">
        <f t="shared" ca="1" si="43"/>
        <v/>
      </c>
      <c r="AS533" s="28" t="str">
        <f t="shared" ca="1" si="44"/>
        <v/>
      </c>
    </row>
    <row r="534" spans="2:45" ht="27.6" customHeight="1">
      <c r="B534">
        <f t="shared" ca="1" si="40"/>
        <v>0</v>
      </c>
      <c r="C534" t="s">
        <v>85</v>
      </c>
      <c r="D534" t="s">
        <v>92</v>
      </c>
      <c r="E534" t="s">
        <v>92</v>
      </c>
      <c r="F534" t="s">
        <v>92</v>
      </c>
      <c r="G534" t="s">
        <v>92</v>
      </c>
      <c r="H534" t="s">
        <v>92</v>
      </c>
      <c r="I534" s="12" t="s">
        <v>268</v>
      </c>
      <c r="J534" t="s">
        <v>278</v>
      </c>
      <c r="L534" t="s">
        <v>92</v>
      </c>
      <c r="N534" s="14">
        <v>1</v>
      </c>
      <c r="P534" s="12" t="s">
        <v>268</v>
      </c>
      <c r="W534" s="9" t="str">
        <f t="shared" ca="1" si="41"/>
        <v>18.5%</v>
      </c>
      <c r="X534" t="s">
        <v>321</v>
      </c>
      <c r="Y534" s="9" t="str">
        <f t="shared" ca="1" si="42"/>
        <v>Sin costo</v>
      </c>
      <c r="Z534" t="s">
        <v>327</v>
      </c>
      <c r="AA534" t="s">
        <v>329</v>
      </c>
      <c r="AB534" t="s">
        <v>334</v>
      </c>
      <c r="AC534" s="12" t="s">
        <v>339</v>
      </c>
      <c r="AE534" t="s">
        <v>268</v>
      </c>
      <c r="AG534" s="12" t="s">
        <v>268</v>
      </c>
      <c r="AH534" t="s">
        <v>92</v>
      </c>
      <c r="AI534" s="12" t="s">
        <v>268</v>
      </c>
      <c r="AJ534" t="s">
        <v>92</v>
      </c>
      <c r="AK534" t="s">
        <v>92</v>
      </c>
      <c r="AL534" t="s">
        <v>92</v>
      </c>
      <c r="AM534" s="12" t="s">
        <v>268</v>
      </c>
      <c r="AN534" s="12" t="s">
        <v>268</v>
      </c>
      <c r="AO534" s="12" t="s">
        <v>268</v>
      </c>
      <c r="AP534" s="12" t="s">
        <v>268</v>
      </c>
      <c r="AQ534" s="12" t="s">
        <v>268</v>
      </c>
      <c r="AR534" s="28" t="str">
        <f t="shared" ca="1" si="43"/>
        <v/>
      </c>
      <c r="AS534" s="28" t="str">
        <f t="shared" ca="1" si="44"/>
        <v/>
      </c>
    </row>
    <row r="535" spans="2:45" ht="27.6" customHeight="1">
      <c r="B535">
        <f t="shared" ca="1" si="40"/>
        <v>0</v>
      </c>
      <c r="C535" t="s">
        <v>85</v>
      </c>
      <c r="D535" t="s">
        <v>92</v>
      </c>
      <c r="E535" t="s">
        <v>92</v>
      </c>
      <c r="F535" t="s">
        <v>92</v>
      </c>
      <c r="G535" t="s">
        <v>92</v>
      </c>
      <c r="H535" t="s">
        <v>92</v>
      </c>
      <c r="I535" s="12" t="s">
        <v>268</v>
      </c>
      <c r="J535" t="s">
        <v>278</v>
      </c>
      <c r="L535" t="s">
        <v>92</v>
      </c>
      <c r="N535" s="14">
        <v>1</v>
      </c>
      <c r="P535" s="12" t="s">
        <v>268</v>
      </c>
      <c r="W535" s="9" t="str">
        <f t="shared" ca="1" si="41"/>
        <v>18.5%</v>
      </c>
      <c r="X535" t="s">
        <v>321</v>
      </c>
      <c r="Y535" s="9" t="str">
        <f t="shared" ca="1" si="42"/>
        <v>Sin costo</v>
      </c>
      <c r="Z535" t="s">
        <v>327</v>
      </c>
      <c r="AA535" t="s">
        <v>329</v>
      </c>
      <c r="AB535" t="s">
        <v>334</v>
      </c>
      <c r="AC535" s="12" t="s">
        <v>339</v>
      </c>
      <c r="AE535" t="s">
        <v>268</v>
      </c>
      <c r="AG535" s="12" t="s">
        <v>268</v>
      </c>
      <c r="AH535" t="s">
        <v>92</v>
      </c>
      <c r="AI535" s="12" t="s">
        <v>268</v>
      </c>
      <c r="AJ535" t="s">
        <v>92</v>
      </c>
      <c r="AK535" t="s">
        <v>92</v>
      </c>
      <c r="AL535" t="s">
        <v>92</v>
      </c>
      <c r="AM535" s="12" t="s">
        <v>268</v>
      </c>
      <c r="AN535" s="12" t="s">
        <v>268</v>
      </c>
      <c r="AO535" s="12" t="s">
        <v>268</v>
      </c>
      <c r="AP535" s="12" t="s">
        <v>268</v>
      </c>
      <c r="AQ535" s="12" t="s">
        <v>268</v>
      </c>
      <c r="AR535" s="28" t="str">
        <f t="shared" ca="1" si="43"/>
        <v/>
      </c>
      <c r="AS535" s="28" t="str">
        <f t="shared" ca="1" si="44"/>
        <v/>
      </c>
    </row>
    <row r="536" spans="2:45" ht="27.6" customHeight="1">
      <c r="B536">
        <f t="shared" ca="1" si="40"/>
        <v>0</v>
      </c>
      <c r="C536" t="s">
        <v>85</v>
      </c>
      <c r="D536" t="s">
        <v>92</v>
      </c>
      <c r="E536" t="s">
        <v>92</v>
      </c>
      <c r="F536" t="s">
        <v>92</v>
      </c>
      <c r="G536" t="s">
        <v>92</v>
      </c>
      <c r="H536" t="s">
        <v>92</v>
      </c>
      <c r="I536" s="12" t="s">
        <v>268</v>
      </c>
      <c r="J536" t="s">
        <v>278</v>
      </c>
      <c r="L536" t="s">
        <v>92</v>
      </c>
      <c r="N536" s="14">
        <v>1</v>
      </c>
      <c r="P536" s="12" t="s">
        <v>268</v>
      </c>
      <c r="W536" s="9" t="str">
        <f t="shared" ca="1" si="41"/>
        <v>18.5%</v>
      </c>
      <c r="X536" t="s">
        <v>321</v>
      </c>
      <c r="Y536" s="9" t="str">
        <f t="shared" ca="1" si="42"/>
        <v>Sin costo</v>
      </c>
      <c r="Z536" t="s">
        <v>327</v>
      </c>
      <c r="AA536" t="s">
        <v>329</v>
      </c>
      <c r="AB536" t="s">
        <v>334</v>
      </c>
      <c r="AC536" s="12" t="s">
        <v>339</v>
      </c>
      <c r="AE536" t="s">
        <v>268</v>
      </c>
      <c r="AG536" s="12" t="s">
        <v>268</v>
      </c>
      <c r="AH536" t="s">
        <v>92</v>
      </c>
      <c r="AI536" s="12" t="s">
        <v>268</v>
      </c>
      <c r="AJ536" t="s">
        <v>92</v>
      </c>
      <c r="AK536" t="s">
        <v>92</v>
      </c>
      <c r="AL536" t="s">
        <v>92</v>
      </c>
      <c r="AM536" s="12" t="s">
        <v>268</v>
      </c>
      <c r="AN536" s="12" t="s">
        <v>268</v>
      </c>
      <c r="AO536" s="12" t="s">
        <v>268</v>
      </c>
      <c r="AP536" s="12" t="s">
        <v>268</v>
      </c>
      <c r="AQ536" s="12" t="s">
        <v>268</v>
      </c>
      <c r="AR536" s="28" t="str">
        <f t="shared" ca="1" si="43"/>
        <v/>
      </c>
      <c r="AS536" s="28" t="str">
        <f t="shared" ca="1" si="44"/>
        <v/>
      </c>
    </row>
    <row r="537" spans="2:45" ht="27.6" customHeight="1">
      <c r="B537">
        <f t="shared" ca="1" si="40"/>
        <v>0</v>
      </c>
      <c r="C537" t="s">
        <v>85</v>
      </c>
      <c r="D537" t="s">
        <v>92</v>
      </c>
      <c r="E537" t="s">
        <v>92</v>
      </c>
      <c r="F537" t="s">
        <v>92</v>
      </c>
      <c r="G537" t="s">
        <v>92</v>
      </c>
      <c r="H537" t="s">
        <v>92</v>
      </c>
      <c r="I537" s="12" t="s">
        <v>268</v>
      </c>
      <c r="J537" t="s">
        <v>278</v>
      </c>
      <c r="L537" t="s">
        <v>92</v>
      </c>
      <c r="N537" s="14">
        <v>1</v>
      </c>
      <c r="P537" s="12" t="s">
        <v>268</v>
      </c>
      <c r="W537" s="9" t="str">
        <f t="shared" ca="1" si="41"/>
        <v>18.5%</v>
      </c>
      <c r="X537" t="s">
        <v>321</v>
      </c>
      <c r="Y537" s="9" t="str">
        <f t="shared" ca="1" si="42"/>
        <v>Sin costo</v>
      </c>
      <c r="Z537" t="s">
        <v>327</v>
      </c>
      <c r="AA537" t="s">
        <v>329</v>
      </c>
      <c r="AB537" t="s">
        <v>334</v>
      </c>
      <c r="AC537" s="12" t="s">
        <v>339</v>
      </c>
      <c r="AE537" t="s">
        <v>268</v>
      </c>
      <c r="AG537" s="12" t="s">
        <v>268</v>
      </c>
      <c r="AH537" t="s">
        <v>92</v>
      </c>
      <c r="AI537" s="12" t="s">
        <v>268</v>
      </c>
      <c r="AJ537" t="s">
        <v>92</v>
      </c>
      <c r="AK537" t="s">
        <v>92</v>
      </c>
      <c r="AL537" t="s">
        <v>92</v>
      </c>
      <c r="AM537" s="12" t="s">
        <v>268</v>
      </c>
      <c r="AN537" s="12" t="s">
        <v>268</v>
      </c>
      <c r="AO537" s="12" t="s">
        <v>268</v>
      </c>
      <c r="AP537" s="12" t="s">
        <v>268</v>
      </c>
      <c r="AQ537" s="12" t="s">
        <v>268</v>
      </c>
      <c r="AR537" s="28" t="str">
        <f t="shared" ca="1" si="43"/>
        <v/>
      </c>
      <c r="AS537" s="28" t="str">
        <f t="shared" ca="1" si="44"/>
        <v/>
      </c>
    </row>
    <row r="538" spans="2:45" ht="27.6" customHeight="1">
      <c r="B538">
        <f t="shared" ca="1" si="40"/>
        <v>0</v>
      </c>
      <c r="C538" t="s">
        <v>85</v>
      </c>
      <c r="D538" t="s">
        <v>92</v>
      </c>
      <c r="E538" t="s">
        <v>92</v>
      </c>
      <c r="F538" t="s">
        <v>92</v>
      </c>
      <c r="G538" t="s">
        <v>92</v>
      </c>
      <c r="H538" t="s">
        <v>92</v>
      </c>
      <c r="I538" s="12" t="s">
        <v>268</v>
      </c>
      <c r="J538" t="s">
        <v>278</v>
      </c>
      <c r="L538" t="s">
        <v>92</v>
      </c>
      <c r="N538" s="14">
        <v>1</v>
      </c>
      <c r="P538" s="12" t="s">
        <v>268</v>
      </c>
      <c r="W538" s="9" t="str">
        <f t="shared" ca="1" si="41"/>
        <v>18.5%</v>
      </c>
      <c r="X538" t="s">
        <v>321</v>
      </c>
      <c r="Y538" s="9" t="str">
        <f t="shared" ca="1" si="42"/>
        <v>Sin costo</v>
      </c>
      <c r="Z538" t="s">
        <v>327</v>
      </c>
      <c r="AA538" t="s">
        <v>329</v>
      </c>
      <c r="AB538" t="s">
        <v>334</v>
      </c>
      <c r="AC538" s="12" t="s">
        <v>339</v>
      </c>
      <c r="AE538" t="s">
        <v>268</v>
      </c>
      <c r="AG538" s="12" t="s">
        <v>268</v>
      </c>
      <c r="AH538" t="s">
        <v>92</v>
      </c>
      <c r="AI538" s="12" t="s">
        <v>268</v>
      </c>
      <c r="AJ538" t="s">
        <v>92</v>
      </c>
      <c r="AK538" t="s">
        <v>92</v>
      </c>
      <c r="AL538" t="s">
        <v>92</v>
      </c>
      <c r="AM538" s="12" t="s">
        <v>268</v>
      </c>
      <c r="AN538" s="12" t="s">
        <v>268</v>
      </c>
      <c r="AO538" s="12" t="s">
        <v>268</v>
      </c>
      <c r="AP538" s="12" t="s">
        <v>268</v>
      </c>
      <c r="AQ538" s="12" t="s">
        <v>268</v>
      </c>
      <c r="AR538" s="28" t="str">
        <f t="shared" ca="1" si="43"/>
        <v/>
      </c>
      <c r="AS538" s="28" t="str">
        <f t="shared" ca="1" si="44"/>
        <v/>
      </c>
    </row>
    <row r="539" spans="2:45" ht="27.6" customHeight="1">
      <c r="B539">
        <f t="shared" ca="1" si="40"/>
        <v>0</v>
      </c>
      <c r="C539" t="s">
        <v>85</v>
      </c>
      <c r="D539" t="s">
        <v>92</v>
      </c>
      <c r="E539" t="s">
        <v>92</v>
      </c>
      <c r="F539" t="s">
        <v>92</v>
      </c>
      <c r="G539" t="s">
        <v>92</v>
      </c>
      <c r="H539" t="s">
        <v>92</v>
      </c>
      <c r="I539" s="12" t="s">
        <v>268</v>
      </c>
      <c r="J539" t="s">
        <v>278</v>
      </c>
      <c r="L539" t="s">
        <v>92</v>
      </c>
      <c r="N539" s="14">
        <v>1</v>
      </c>
      <c r="P539" s="12" t="s">
        <v>268</v>
      </c>
      <c r="W539" s="9" t="str">
        <f t="shared" ca="1" si="41"/>
        <v>18.5%</v>
      </c>
      <c r="X539" t="s">
        <v>321</v>
      </c>
      <c r="Y539" s="9" t="str">
        <f t="shared" ca="1" si="42"/>
        <v>Sin costo</v>
      </c>
      <c r="Z539" t="s">
        <v>327</v>
      </c>
      <c r="AA539" t="s">
        <v>329</v>
      </c>
      <c r="AB539" t="s">
        <v>334</v>
      </c>
      <c r="AC539" s="12" t="s">
        <v>339</v>
      </c>
      <c r="AE539" t="s">
        <v>268</v>
      </c>
      <c r="AG539" s="12" t="s">
        <v>268</v>
      </c>
      <c r="AH539" t="s">
        <v>92</v>
      </c>
      <c r="AI539" s="12" t="s">
        <v>268</v>
      </c>
      <c r="AJ539" t="s">
        <v>92</v>
      </c>
      <c r="AK539" t="s">
        <v>92</v>
      </c>
      <c r="AL539" t="s">
        <v>92</v>
      </c>
      <c r="AM539" s="12" t="s">
        <v>268</v>
      </c>
      <c r="AN539" s="12" t="s">
        <v>268</v>
      </c>
      <c r="AO539" s="12" t="s">
        <v>268</v>
      </c>
      <c r="AP539" s="12" t="s">
        <v>268</v>
      </c>
      <c r="AQ539" s="12" t="s">
        <v>268</v>
      </c>
      <c r="AR539" s="28" t="str">
        <f t="shared" ca="1" si="43"/>
        <v/>
      </c>
      <c r="AS539" s="28" t="str">
        <f t="shared" ca="1" si="44"/>
        <v/>
      </c>
    </row>
    <row r="540" spans="2:45" ht="27.6" customHeight="1">
      <c r="B540">
        <f t="shared" ca="1" si="40"/>
        <v>0</v>
      </c>
      <c r="C540" t="s">
        <v>85</v>
      </c>
      <c r="D540" t="s">
        <v>92</v>
      </c>
      <c r="E540" t="s">
        <v>92</v>
      </c>
      <c r="F540" t="s">
        <v>92</v>
      </c>
      <c r="G540" t="s">
        <v>92</v>
      </c>
      <c r="H540" t="s">
        <v>92</v>
      </c>
      <c r="I540" s="12" t="s">
        <v>268</v>
      </c>
      <c r="J540" t="s">
        <v>278</v>
      </c>
      <c r="L540" t="s">
        <v>92</v>
      </c>
      <c r="N540" s="14">
        <v>1</v>
      </c>
      <c r="P540" s="12" t="s">
        <v>268</v>
      </c>
      <c r="W540" s="9" t="str">
        <f t="shared" ca="1" si="41"/>
        <v>18.5%</v>
      </c>
      <c r="X540" t="s">
        <v>321</v>
      </c>
      <c r="Y540" s="9" t="str">
        <f t="shared" ca="1" si="42"/>
        <v>Sin costo</v>
      </c>
      <c r="Z540" t="s">
        <v>327</v>
      </c>
      <c r="AA540" t="s">
        <v>329</v>
      </c>
      <c r="AB540" t="s">
        <v>334</v>
      </c>
      <c r="AC540" s="12" t="s">
        <v>339</v>
      </c>
      <c r="AE540" t="s">
        <v>268</v>
      </c>
      <c r="AG540" s="12" t="s">
        <v>268</v>
      </c>
      <c r="AH540" t="s">
        <v>92</v>
      </c>
      <c r="AI540" s="12" t="s">
        <v>268</v>
      </c>
      <c r="AJ540" t="s">
        <v>92</v>
      </c>
      <c r="AK540" t="s">
        <v>92</v>
      </c>
      <c r="AL540" t="s">
        <v>92</v>
      </c>
      <c r="AM540" s="12" t="s">
        <v>268</v>
      </c>
      <c r="AN540" s="12" t="s">
        <v>268</v>
      </c>
      <c r="AO540" s="12" t="s">
        <v>268</v>
      </c>
      <c r="AP540" s="12" t="s">
        <v>268</v>
      </c>
      <c r="AQ540" s="12" t="s">
        <v>268</v>
      </c>
      <c r="AR540" s="28" t="str">
        <f t="shared" ca="1" si="43"/>
        <v/>
      </c>
      <c r="AS540" s="28" t="str">
        <f t="shared" ca="1" si="44"/>
        <v/>
      </c>
    </row>
    <row r="541" spans="2:45" ht="27.6" customHeight="1">
      <c r="B541">
        <f t="shared" ca="1" si="40"/>
        <v>0</v>
      </c>
      <c r="C541" t="s">
        <v>85</v>
      </c>
      <c r="D541" t="s">
        <v>92</v>
      </c>
      <c r="E541" t="s">
        <v>92</v>
      </c>
      <c r="F541" t="s">
        <v>92</v>
      </c>
      <c r="G541" t="s">
        <v>92</v>
      </c>
      <c r="H541" t="s">
        <v>92</v>
      </c>
      <c r="I541" s="12" t="s">
        <v>268</v>
      </c>
      <c r="J541" t="s">
        <v>278</v>
      </c>
      <c r="L541" t="s">
        <v>92</v>
      </c>
      <c r="N541" s="14">
        <v>1</v>
      </c>
      <c r="P541" s="12" t="s">
        <v>268</v>
      </c>
      <c r="W541" s="9" t="str">
        <f t="shared" ca="1" si="41"/>
        <v>18.5%</v>
      </c>
      <c r="X541" t="s">
        <v>321</v>
      </c>
      <c r="Y541" s="9" t="str">
        <f t="shared" ca="1" si="42"/>
        <v>Sin costo</v>
      </c>
      <c r="Z541" t="s">
        <v>327</v>
      </c>
      <c r="AA541" t="s">
        <v>329</v>
      </c>
      <c r="AB541" t="s">
        <v>334</v>
      </c>
      <c r="AC541" s="12" t="s">
        <v>339</v>
      </c>
      <c r="AE541" t="s">
        <v>268</v>
      </c>
      <c r="AG541" s="12" t="s">
        <v>268</v>
      </c>
      <c r="AH541" t="s">
        <v>92</v>
      </c>
      <c r="AI541" s="12" t="s">
        <v>268</v>
      </c>
      <c r="AJ541" t="s">
        <v>92</v>
      </c>
      <c r="AK541" t="s">
        <v>92</v>
      </c>
      <c r="AL541" t="s">
        <v>92</v>
      </c>
      <c r="AM541" s="12" t="s">
        <v>268</v>
      </c>
      <c r="AN541" s="12" t="s">
        <v>268</v>
      </c>
      <c r="AO541" s="12" t="s">
        <v>268</v>
      </c>
      <c r="AP541" s="12" t="s">
        <v>268</v>
      </c>
      <c r="AQ541" s="12" t="s">
        <v>268</v>
      </c>
      <c r="AR541" s="28" t="str">
        <f t="shared" ca="1" si="43"/>
        <v/>
      </c>
      <c r="AS541" s="28" t="str">
        <f t="shared" ca="1" si="44"/>
        <v/>
      </c>
    </row>
    <row r="542" spans="2:45" ht="27.6" customHeight="1">
      <c r="B542">
        <f t="shared" ca="1" si="40"/>
        <v>0</v>
      </c>
      <c r="C542" t="s">
        <v>85</v>
      </c>
      <c r="D542" t="s">
        <v>92</v>
      </c>
      <c r="E542" t="s">
        <v>92</v>
      </c>
      <c r="F542" t="s">
        <v>92</v>
      </c>
      <c r="G542" t="s">
        <v>92</v>
      </c>
      <c r="H542" t="s">
        <v>92</v>
      </c>
      <c r="I542" s="12" t="s">
        <v>268</v>
      </c>
      <c r="J542" t="s">
        <v>278</v>
      </c>
      <c r="L542" t="s">
        <v>92</v>
      </c>
      <c r="N542" s="14">
        <v>1</v>
      </c>
      <c r="P542" s="12" t="s">
        <v>268</v>
      </c>
      <c r="W542" s="9" t="str">
        <f t="shared" ca="1" si="41"/>
        <v>18.5%</v>
      </c>
      <c r="X542" t="s">
        <v>321</v>
      </c>
      <c r="Y542" s="9" t="str">
        <f t="shared" ca="1" si="42"/>
        <v>Sin costo</v>
      </c>
      <c r="Z542" t="s">
        <v>327</v>
      </c>
      <c r="AA542" t="s">
        <v>329</v>
      </c>
      <c r="AB542" t="s">
        <v>334</v>
      </c>
      <c r="AC542" s="12" t="s">
        <v>339</v>
      </c>
      <c r="AE542" t="s">
        <v>268</v>
      </c>
      <c r="AG542" s="12" t="s">
        <v>268</v>
      </c>
      <c r="AH542" t="s">
        <v>92</v>
      </c>
      <c r="AI542" s="12" t="s">
        <v>268</v>
      </c>
      <c r="AJ542" t="s">
        <v>92</v>
      </c>
      <c r="AK542" t="s">
        <v>92</v>
      </c>
      <c r="AL542" t="s">
        <v>92</v>
      </c>
      <c r="AM542" s="12" t="s">
        <v>268</v>
      </c>
      <c r="AN542" s="12" t="s">
        <v>268</v>
      </c>
      <c r="AO542" s="12" t="s">
        <v>268</v>
      </c>
      <c r="AP542" s="12" t="s">
        <v>268</v>
      </c>
      <c r="AQ542" s="12" t="s">
        <v>268</v>
      </c>
      <c r="AR542" s="28" t="str">
        <f t="shared" ca="1" si="43"/>
        <v/>
      </c>
      <c r="AS542" s="28" t="str">
        <f t="shared" ca="1" si="44"/>
        <v/>
      </c>
    </row>
    <row r="543" spans="2:45" ht="27.6" customHeight="1">
      <c r="B543">
        <f t="shared" ca="1" si="40"/>
        <v>0</v>
      </c>
      <c r="C543" t="s">
        <v>85</v>
      </c>
      <c r="D543" t="s">
        <v>92</v>
      </c>
      <c r="E543" t="s">
        <v>92</v>
      </c>
      <c r="F543" t="s">
        <v>92</v>
      </c>
      <c r="G543" t="s">
        <v>92</v>
      </c>
      <c r="H543" t="s">
        <v>92</v>
      </c>
      <c r="I543" s="12" t="s">
        <v>268</v>
      </c>
      <c r="J543" t="s">
        <v>278</v>
      </c>
      <c r="L543" t="s">
        <v>92</v>
      </c>
      <c r="N543" s="14">
        <v>1</v>
      </c>
      <c r="P543" s="12" t="s">
        <v>268</v>
      </c>
      <c r="W543" s="9" t="str">
        <f t="shared" ca="1" si="41"/>
        <v>18.5%</v>
      </c>
      <c r="X543" t="s">
        <v>321</v>
      </c>
      <c r="Y543" s="9" t="str">
        <f t="shared" ca="1" si="42"/>
        <v>Sin costo</v>
      </c>
      <c r="Z543" t="s">
        <v>327</v>
      </c>
      <c r="AA543" t="s">
        <v>329</v>
      </c>
      <c r="AB543" t="s">
        <v>334</v>
      </c>
      <c r="AC543" s="12" t="s">
        <v>339</v>
      </c>
      <c r="AE543" t="s">
        <v>268</v>
      </c>
      <c r="AG543" s="12" t="s">
        <v>268</v>
      </c>
      <c r="AH543" t="s">
        <v>92</v>
      </c>
      <c r="AI543" s="12" t="s">
        <v>268</v>
      </c>
      <c r="AJ543" t="s">
        <v>92</v>
      </c>
      <c r="AK543" t="s">
        <v>92</v>
      </c>
      <c r="AL543" t="s">
        <v>92</v>
      </c>
      <c r="AM543" s="12" t="s">
        <v>268</v>
      </c>
      <c r="AN543" s="12" t="s">
        <v>268</v>
      </c>
      <c r="AO543" s="12" t="s">
        <v>268</v>
      </c>
      <c r="AP543" s="12" t="s">
        <v>268</v>
      </c>
      <c r="AQ543" s="12" t="s">
        <v>268</v>
      </c>
      <c r="AR543" s="28" t="str">
        <f t="shared" ca="1" si="43"/>
        <v/>
      </c>
      <c r="AS543" s="28" t="str">
        <f t="shared" ca="1" si="44"/>
        <v/>
      </c>
    </row>
    <row r="544" spans="2:45" ht="27.6" customHeight="1">
      <c r="B544">
        <f t="shared" ca="1" si="40"/>
        <v>0</v>
      </c>
      <c r="C544" t="s">
        <v>85</v>
      </c>
      <c r="D544" t="s">
        <v>92</v>
      </c>
      <c r="E544" t="s">
        <v>92</v>
      </c>
      <c r="F544" t="s">
        <v>92</v>
      </c>
      <c r="G544" t="s">
        <v>92</v>
      </c>
      <c r="H544" t="s">
        <v>92</v>
      </c>
      <c r="I544" s="12" t="s">
        <v>268</v>
      </c>
      <c r="J544" t="s">
        <v>278</v>
      </c>
      <c r="L544" t="s">
        <v>92</v>
      </c>
      <c r="N544" s="14">
        <v>1</v>
      </c>
      <c r="P544" s="12" t="s">
        <v>268</v>
      </c>
      <c r="W544" s="9" t="str">
        <f t="shared" ca="1" si="41"/>
        <v>18.5%</v>
      </c>
      <c r="X544" t="s">
        <v>321</v>
      </c>
      <c r="Y544" s="9" t="str">
        <f t="shared" ca="1" si="42"/>
        <v>Sin costo</v>
      </c>
      <c r="Z544" t="s">
        <v>327</v>
      </c>
      <c r="AA544" t="s">
        <v>329</v>
      </c>
      <c r="AB544" t="s">
        <v>334</v>
      </c>
      <c r="AC544" s="12" t="s">
        <v>339</v>
      </c>
      <c r="AE544" t="s">
        <v>268</v>
      </c>
      <c r="AG544" s="12" t="s">
        <v>268</v>
      </c>
      <c r="AH544" t="s">
        <v>92</v>
      </c>
      <c r="AI544" s="12" t="s">
        <v>268</v>
      </c>
      <c r="AJ544" t="s">
        <v>92</v>
      </c>
      <c r="AK544" t="s">
        <v>92</v>
      </c>
      <c r="AL544" t="s">
        <v>92</v>
      </c>
      <c r="AM544" s="12" t="s">
        <v>268</v>
      </c>
      <c r="AN544" s="12" t="s">
        <v>268</v>
      </c>
      <c r="AO544" s="12" t="s">
        <v>268</v>
      </c>
      <c r="AP544" s="12" t="s">
        <v>268</v>
      </c>
      <c r="AQ544" s="12" t="s">
        <v>268</v>
      </c>
      <c r="AR544" s="28" t="str">
        <f t="shared" ca="1" si="43"/>
        <v/>
      </c>
      <c r="AS544" s="28" t="str">
        <f t="shared" ca="1" si="44"/>
        <v/>
      </c>
    </row>
    <row r="545" spans="2:45" ht="27.6" customHeight="1">
      <c r="B545">
        <f t="shared" ca="1" si="40"/>
        <v>0</v>
      </c>
      <c r="C545" t="s">
        <v>85</v>
      </c>
      <c r="D545" t="s">
        <v>92</v>
      </c>
      <c r="E545" t="s">
        <v>92</v>
      </c>
      <c r="F545" t="s">
        <v>92</v>
      </c>
      <c r="G545" t="s">
        <v>92</v>
      </c>
      <c r="H545" t="s">
        <v>92</v>
      </c>
      <c r="I545" s="12" t="s">
        <v>268</v>
      </c>
      <c r="J545" t="s">
        <v>278</v>
      </c>
      <c r="L545" t="s">
        <v>92</v>
      </c>
      <c r="N545" s="14">
        <v>1</v>
      </c>
      <c r="P545" s="12" t="s">
        <v>268</v>
      </c>
      <c r="W545" s="9" t="str">
        <f t="shared" ca="1" si="41"/>
        <v>18.5%</v>
      </c>
      <c r="X545" t="s">
        <v>321</v>
      </c>
      <c r="Y545" s="9" t="str">
        <f t="shared" ca="1" si="42"/>
        <v>Sin costo</v>
      </c>
      <c r="Z545" t="s">
        <v>327</v>
      </c>
      <c r="AA545" t="s">
        <v>329</v>
      </c>
      <c r="AB545" t="s">
        <v>334</v>
      </c>
      <c r="AC545" s="12" t="s">
        <v>339</v>
      </c>
      <c r="AE545" t="s">
        <v>268</v>
      </c>
      <c r="AG545" s="12" t="s">
        <v>268</v>
      </c>
      <c r="AH545" t="s">
        <v>92</v>
      </c>
      <c r="AI545" s="12" t="s">
        <v>268</v>
      </c>
      <c r="AJ545" t="s">
        <v>92</v>
      </c>
      <c r="AK545" t="s">
        <v>92</v>
      </c>
      <c r="AL545" t="s">
        <v>92</v>
      </c>
      <c r="AM545" s="12" t="s">
        <v>268</v>
      </c>
      <c r="AN545" s="12" t="s">
        <v>268</v>
      </c>
      <c r="AO545" s="12" t="s">
        <v>268</v>
      </c>
      <c r="AP545" s="12" t="s">
        <v>268</v>
      </c>
      <c r="AQ545" s="12" t="s">
        <v>268</v>
      </c>
      <c r="AR545" s="28" t="str">
        <f t="shared" ca="1" si="43"/>
        <v/>
      </c>
      <c r="AS545" s="28" t="str">
        <f t="shared" ca="1" si="44"/>
        <v/>
      </c>
    </row>
    <row r="546" spans="2:45" ht="27.6" customHeight="1">
      <c r="B546">
        <f t="shared" ca="1" si="40"/>
        <v>0</v>
      </c>
      <c r="C546" t="s">
        <v>85</v>
      </c>
      <c r="D546" t="s">
        <v>92</v>
      </c>
      <c r="E546" t="s">
        <v>92</v>
      </c>
      <c r="F546" t="s">
        <v>92</v>
      </c>
      <c r="G546" t="s">
        <v>92</v>
      </c>
      <c r="H546" t="s">
        <v>92</v>
      </c>
      <c r="I546" s="12" t="s">
        <v>268</v>
      </c>
      <c r="J546" t="s">
        <v>278</v>
      </c>
      <c r="L546" t="s">
        <v>92</v>
      </c>
      <c r="N546" s="14">
        <v>1</v>
      </c>
      <c r="P546" s="12" t="s">
        <v>268</v>
      </c>
      <c r="W546" s="9" t="str">
        <f t="shared" ca="1" si="41"/>
        <v>18.5%</v>
      </c>
      <c r="X546" t="s">
        <v>321</v>
      </c>
      <c r="Y546" s="9" t="str">
        <f t="shared" ca="1" si="42"/>
        <v>Sin costo</v>
      </c>
      <c r="Z546" t="s">
        <v>327</v>
      </c>
      <c r="AA546" t="s">
        <v>329</v>
      </c>
      <c r="AB546" t="s">
        <v>334</v>
      </c>
      <c r="AC546" s="12" t="s">
        <v>339</v>
      </c>
      <c r="AE546" t="s">
        <v>268</v>
      </c>
      <c r="AG546" s="12" t="s">
        <v>268</v>
      </c>
      <c r="AH546" t="s">
        <v>92</v>
      </c>
      <c r="AI546" s="12" t="s">
        <v>268</v>
      </c>
      <c r="AJ546" t="s">
        <v>92</v>
      </c>
      <c r="AK546" t="s">
        <v>92</v>
      </c>
      <c r="AL546" t="s">
        <v>92</v>
      </c>
      <c r="AM546" s="12" t="s">
        <v>268</v>
      </c>
      <c r="AN546" s="12" t="s">
        <v>268</v>
      </c>
      <c r="AO546" s="12" t="s">
        <v>268</v>
      </c>
      <c r="AP546" s="12" t="s">
        <v>268</v>
      </c>
      <c r="AQ546" s="12" t="s">
        <v>268</v>
      </c>
      <c r="AR546" s="28" t="str">
        <f t="shared" ca="1" si="43"/>
        <v/>
      </c>
      <c r="AS546" s="28" t="str">
        <f t="shared" ca="1" si="44"/>
        <v/>
      </c>
    </row>
    <row r="547" spans="2:45" ht="27.6" customHeight="1">
      <c r="B547">
        <f t="shared" ca="1" si="40"/>
        <v>0</v>
      </c>
      <c r="C547" t="s">
        <v>85</v>
      </c>
      <c r="D547" t="s">
        <v>92</v>
      </c>
      <c r="E547" t="s">
        <v>92</v>
      </c>
      <c r="F547" t="s">
        <v>92</v>
      </c>
      <c r="G547" t="s">
        <v>92</v>
      </c>
      <c r="H547" t="s">
        <v>92</v>
      </c>
      <c r="I547" s="12" t="s">
        <v>268</v>
      </c>
      <c r="J547" t="s">
        <v>278</v>
      </c>
      <c r="L547" t="s">
        <v>92</v>
      </c>
      <c r="N547" s="14">
        <v>1</v>
      </c>
      <c r="P547" s="12" t="s">
        <v>268</v>
      </c>
      <c r="W547" s="9" t="str">
        <f t="shared" ca="1" si="41"/>
        <v>18.5%</v>
      </c>
      <c r="X547" t="s">
        <v>321</v>
      </c>
      <c r="Y547" s="9" t="str">
        <f t="shared" ca="1" si="42"/>
        <v>Sin costo</v>
      </c>
      <c r="Z547" t="s">
        <v>327</v>
      </c>
      <c r="AA547" t="s">
        <v>329</v>
      </c>
      <c r="AB547" t="s">
        <v>334</v>
      </c>
      <c r="AC547" s="12" t="s">
        <v>339</v>
      </c>
      <c r="AE547" t="s">
        <v>268</v>
      </c>
      <c r="AG547" s="12" t="s">
        <v>268</v>
      </c>
      <c r="AH547" t="s">
        <v>92</v>
      </c>
      <c r="AI547" s="12" t="s">
        <v>268</v>
      </c>
      <c r="AJ547" t="s">
        <v>92</v>
      </c>
      <c r="AK547" t="s">
        <v>92</v>
      </c>
      <c r="AL547" t="s">
        <v>92</v>
      </c>
      <c r="AM547" s="12" t="s">
        <v>268</v>
      </c>
      <c r="AN547" s="12" t="s">
        <v>268</v>
      </c>
      <c r="AO547" s="12" t="s">
        <v>268</v>
      </c>
      <c r="AP547" s="12" t="s">
        <v>268</v>
      </c>
      <c r="AQ547" s="12" t="s">
        <v>268</v>
      </c>
      <c r="AR547" s="28" t="str">
        <f t="shared" ca="1" si="43"/>
        <v/>
      </c>
      <c r="AS547" s="28" t="str">
        <f t="shared" ca="1" si="44"/>
        <v/>
      </c>
    </row>
    <row r="548" spans="2:45" ht="27.6" customHeight="1">
      <c r="B548">
        <f t="shared" ca="1" si="40"/>
        <v>0</v>
      </c>
      <c r="C548" t="s">
        <v>85</v>
      </c>
      <c r="D548" t="s">
        <v>92</v>
      </c>
      <c r="E548" t="s">
        <v>92</v>
      </c>
      <c r="F548" t="s">
        <v>92</v>
      </c>
      <c r="G548" t="s">
        <v>92</v>
      </c>
      <c r="H548" t="s">
        <v>92</v>
      </c>
      <c r="I548" s="12" t="s">
        <v>268</v>
      </c>
      <c r="J548" t="s">
        <v>278</v>
      </c>
      <c r="L548" t="s">
        <v>92</v>
      </c>
      <c r="N548" s="14">
        <v>1</v>
      </c>
      <c r="P548" s="12" t="s">
        <v>268</v>
      </c>
      <c r="W548" s="9" t="str">
        <f t="shared" ca="1" si="41"/>
        <v>18.5%</v>
      </c>
      <c r="X548" t="s">
        <v>321</v>
      </c>
      <c r="Y548" s="9" t="str">
        <f t="shared" ca="1" si="42"/>
        <v>Sin costo</v>
      </c>
      <c r="Z548" t="s">
        <v>327</v>
      </c>
      <c r="AA548" t="s">
        <v>329</v>
      </c>
      <c r="AB548" t="s">
        <v>334</v>
      </c>
      <c r="AC548" s="12" t="s">
        <v>339</v>
      </c>
      <c r="AE548" t="s">
        <v>268</v>
      </c>
      <c r="AG548" s="12" t="s">
        <v>268</v>
      </c>
      <c r="AH548" t="s">
        <v>92</v>
      </c>
      <c r="AI548" s="12" t="s">
        <v>268</v>
      </c>
      <c r="AJ548" t="s">
        <v>92</v>
      </c>
      <c r="AK548" t="s">
        <v>92</v>
      </c>
      <c r="AL548" t="s">
        <v>92</v>
      </c>
      <c r="AM548" s="12" t="s">
        <v>268</v>
      </c>
      <c r="AN548" s="12" t="s">
        <v>268</v>
      </c>
      <c r="AO548" s="12" t="s">
        <v>268</v>
      </c>
      <c r="AP548" s="12" t="s">
        <v>268</v>
      </c>
      <c r="AQ548" s="12" t="s">
        <v>268</v>
      </c>
      <c r="AR548" s="28" t="str">
        <f t="shared" ca="1" si="43"/>
        <v/>
      </c>
      <c r="AS548" s="28" t="str">
        <f t="shared" ca="1" si="44"/>
        <v/>
      </c>
    </row>
    <row r="549" spans="2:45" ht="27.6" customHeight="1">
      <c r="B549">
        <f t="shared" ca="1" si="40"/>
        <v>0</v>
      </c>
      <c r="C549" t="s">
        <v>85</v>
      </c>
      <c r="D549" t="s">
        <v>92</v>
      </c>
      <c r="E549" t="s">
        <v>92</v>
      </c>
      <c r="F549" t="s">
        <v>92</v>
      </c>
      <c r="G549" t="s">
        <v>92</v>
      </c>
      <c r="H549" t="s">
        <v>92</v>
      </c>
      <c r="I549" s="12" t="s">
        <v>268</v>
      </c>
      <c r="J549" t="s">
        <v>278</v>
      </c>
      <c r="L549" t="s">
        <v>92</v>
      </c>
      <c r="N549" s="14">
        <v>1</v>
      </c>
      <c r="P549" s="12" t="s">
        <v>268</v>
      </c>
      <c r="W549" s="9" t="str">
        <f t="shared" ca="1" si="41"/>
        <v>18.5%</v>
      </c>
      <c r="X549" t="s">
        <v>321</v>
      </c>
      <c r="Y549" s="9" t="str">
        <f t="shared" ca="1" si="42"/>
        <v>Sin costo</v>
      </c>
      <c r="Z549" t="s">
        <v>327</v>
      </c>
      <c r="AA549" t="s">
        <v>329</v>
      </c>
      <c r="AB549" t="s">
        <v>334</v>
      </c>
      <c r="AC549" s="12" t="s">
        <v>339</v>
      </c>
      <c r="AE549" t="s">
        <v>268</v>
      </c>
      <c r="AG549" s="12" t="s">
        <v>268</v>
      </c>
      <c r="AH549" t="s">
        <v>92</v>
      </c>
      <c r="AI549" s="12" t="s">
        <v>268</v>
      </c>
      <c r="AJ549" t="s">
        <v>92</v>
      </c>
      <c r="AK549" t="s">
        <v>92</v>
      </c>
      <c r="AL549" t="s">
        <v>92</v>
      </c>
      <c r="AM549" s="12" t="s">
        <v>268</v>
      </c>
      <c r="AN549" s="12" t="s">
        <v>268</v>
      </c>
      <c r="AO549" s="12" t="s">
        <v>268</v>
      </c>
      <c r="AP549" s="12" t="s">
        <v>268</v>
      </c>
      <c r="AQ549" s="12" t="s">
        <v>268</v>
      </c>
      <c r="AR549" s="28" t="str">
        <f t="shared" ca="1" si="43"/>
        <v/>
      </c>
      <c r="AS549" s="28" t="str">
        <f t="shared" ca="1" si="44"/>
        <v/>
      </c>
    </row>
    <row r="550" spans="2:45" ht="27.6" customHeight="1">
      <c r="B550">
        <f t="shared" ca="1" si="40"/>
        <v>0</v>
      </c>
      <c r="C550" t="s">
        <v>85</v>
      </c>
      <c r="D550" t="s">
        <v>92</v>
      </c>
      <c r="E550" t="s">
        <v>92</v>
      </c>
      <c r="F550" t="s">
        <v>92</v>
      </c>
      <c r="G550" t="s">
        <v>92</v>
      </c>
      <c r="H550" t="s">
        <v>92</v>
      </c>
      <c r="I550" s="12" t="s">
        <v>268</v>
      </c>
      <c r="J550" t="s">
        <v>278</v>
      </c>
      <c r="L550" t="s">
        <v>92</v>
      </c>
      <c r="N550" s="14">
        <v>1</v>
      </c>
      <c r="P550" s="12" t="s">
        <v>268</v>
      </c>
      <c r="W550" s="9" t="str">
        <f t="shared" ca="1" si="41"/>
        <v>18.5%</v>
      </c>
      <c r="X550" t="s">
        <v>321</v>
      </c>
      <c r="Y550" s="9" t="str">
        <f t="shared" ca="1" si="42"/>
        <v>Sin costo</v>
      </c>
      <c r="Z550" t="s">
        <v>327</v>
      </c>
      <c r="AA550" t="s">
        <v>329</v>
      </c>
      <c r="AB550" t="s">
        <v>334</v>
      </c>
      <c r="AC550" s="12" t="s">
        <v>339</v>
      </c>
      <c r="AE550" t="s">
        <v>268</v>
      </c>
      <c r="AG550" s="12" t="s">
        <v>268</v>
      </c>
      <c r="AH550" t="s">
        <v>92</v>
      </c>
      <c r="AI550" s="12" t="s">
        <v>268</v>
      </c>
      <c r="AJ550" t="s">
        <v>92</v>
      </c>
      <c r="AK550" t="s">
        <v>92</v>
      </c>
      <c r="AL550" t="s">
        <v>92</v>
      </c>
      <c r="AM550" s="12" t="s">
        <v>268</v>
      </c>
      <c r="AN550" s="12" t="s">
        <v>268</v>
      </c>
      <c r="AO550" s="12" t="s">
        <v>268</v>
      </c>
      <c r="AP550" s="12" t="s">
        <v>268</v>
      </c>
      <c r="AQ550" s="12" t="s">
        <v>268</v>
      </c>
      <c r="AR550" s="28" t="str">
        <f t="shared" ca="1" si="43"/>
        <v/>
      </c>
      <c r="AS550" s="28" t="str">
        <f t="shared" ca="1" si="44"/>
        <v/>
      </c>
    </row>
    <row r="551" spans="2:45" ht="27.6" customHeight="1">
      <c r="B551">
        <f t="shared" ca="1" si="40"/>
        <v>0</v>
      </c>
      <c r="C551" t="s">
        <v>85</v>
      </c>
      <c r="D551" t="s">
        <v>92</v>
      </c>
      <c r="E551" t="s">
        <v>92</v>
      </c>
      <c r="F551" t="s">
        <v>92</v>
      </c>
      <c r="G551" t="s">
        <v>92</v>
      </c>
      <c r="H551" t="s">
        <v>92</v>
      </c>
      <c r="I551" s="12" t="s">
        <v>268</v>
      </c>
      <c r="J551" t="s">
        <v>278</v>
      </c>
      <c r="L551" t="s">
        <v>92</v>
      </c>
      <c r="N551" s="14">
        <v>1</v>
      </c>
      <c r="P551" s="12" t="s">
        <v>268</v>
      </c>
      <c r="W551" s="9" t="str">
        <f t="shared" ca="1" si="41"/>
        <v>18.5%</v>
      </c>
      <c r="X551" t="s">
        <v>321</v>
      </c>
      <c r="Y551" s="9" t="str">
        <f t="shared" ca="1" si="42"/>
        <v>Sin costo</v>
      </c>
      <c r="Z551" t="s">
        <v>327</v>
      </c>
      <c r="AA551" t="s">
        <v>329</v>
      </c>
      <c r="AB551" t="s">
        <v>334</v>
      </c>
      <c r="AC551" s="12" t="s">
        <v>339</v>
      </c>
      <c r="AE551" t="s">
        <v>268</v>
      </c>
      <c r="AG551" s="12" t="s">
        <v>268</v>
      </c>
      <c r="AH551" t="s">
        <v>92</v>
      </c>
      <c r="AI551" s="12" t="s">
        <v>268</v>
      </c>
      <c r="AJ551" t="s">
        <v>92</v>
      </c>
      <c r="AK551" t="s">
        <v>92</v>
      </c>
      <c r="AL551" t="s">
        <v>92</v>
      </c>
      <c r="AM551" s="12" t="s">
        <v>268</v>
      </c>
      <c r="AN551" s="12" t="s">
        <v>268</v>
      </c>
      <c r="AO551" s="12" t="s">
        <v>268</v>
      </c>
      <c r="AP551" s="12" t="s">
        <v>268</v>
      </c>
      <c r="AQ551" s="12" t="s">
        <v>268</v>
      </c>
      <c r="AR551" s="28" t="str">
        <f t="shared" ca="1" si="43"/>
        <v/>
      </c>
      <c r="AS551" s="28" t="str">
        <f t="shared" ca="1" si="44"/>
        <v/>
      </c>
    </row>
    <row r="552" spans="2:45" ht="27.6" customHeight="1">
      <c r="B552">
        <f t="shared" ca="1" si="40"/>
        <v>0</v>
      </c>
      <c r="C552" t="s">
        <v>85</v>
      </c>
      <c r="D552" t="s">
        <v>92</v>
      </c>
      <c r="E552" t="s">
        <v>92</v>
      </c>
      <c r="F552" t="s">
        <v>92</v>
      </c>
      <c r="G552" t="s">
        <v>92</v>
      </c>
      <c r="H552" t="s">
        <v>92</v>
      </c>
      <c r="I552" s="12" t="s">
        <v>268</v>
      </c>
      <c r="J552" t="s">
        <v>278</v>
      </c>
      <c r="L552" t="s">
        <v>92</v>
      </c>
      <c r="N552" s="14">
        <v>1</v>
      </c>
      <c r="P552" s="12" t="s">
        <v>268</v>
      </c>
      <c r="W552" s="9" t="str">
        <f t="shared" ca="1" si="41"/>
        <v>18.5%</v>
      </c>
      <c r="X552" t="s">
        <v>321</v>
      </c>
      <c r="Y552" s="9" t="str">
        <f t="shared" ca="1" si="42"/>
        <v>Sin costo</v>
      </c>
      <c r="Z552" t="s">
        <v>327</v>
      </c>
      <c r="AA552" t="s">
        <v>329</v>
      </c>
      <c r="AB552" t="s">
        <v>334</v>
      </c>
      <c r="AC552" s="12" t="s">
        <v>339</v>
      </c>
      <c r="AE552" t="s">
        <v>268</v>
      </c>
      <c r="AG552" s="12" t="s">
        <v>268</v>
      </c>
      <c r="AH552" t="s">
        <v>92</v>
      </c>
      <c r="AI552" s="12" t="s">
        <v>268</v>
      </c>
      <c r="AJ552" t="s">
        <v>92</v>
      </c>
      <c r="AK552" t="s">
        <v>92</v>
      </c>
      <c r="AL552" t="s">
        <v>92</v>
      </c>
      <c r="AM552" s="12" t="s">
        <v>268</v>
      </c>
      <c r="AN552" s="12" t="s">
        <v>268</v>
      </c>
      <c r="AO552" s="12" t="s">
        <v>268</v>
      </c>
      <c r="AP552" s="12" t="s">
        <v>268</v>
      </c>
      <c r="AQ552" s="12" t="s">
        <v>268</v>
      </c>
      <c r="AR552" s="28" t="str">
        <f t="shared" ca="1" si="43"/>
        <v/>
      </c>
      <c r="AS552" s="28" t="str">
        <f t="shared" ca="1" si="44"/>
        <v/>
      </c>
    </row>
    <row r="553" spans="2:45" ht="27.6" customHeight="1">
      <c r="B553">
        <f t="shared" ca="1" si="40"/>
        <v>0</v>
      </c>
      <c r="C553" t="s">
        <v>85</v>
      </c>
      <c r="D553" t="s">
        <v>92</v>
      </c>
      <c r="E553" t="s">
        <v>92</v>
      </c>
      <c r="F553" t="s">
        <v>92</v>
      </c>
      <c r="G553" t="s">
        <v>92</v>
      </c>
      <c r="H553" t="s">
        <v>92</v>
      </c>
      <c r="I553" s="12" t="s">
        <v>268</v>
      </c>
      <c r="J553" t="s">
        <v>278</v>
      </c>
      <c r="L553" t="s">
        <v>92</v>
      </c>
      <c r="N553" s="14">
        <v>1</v>
      </c>
      <c r="P553" s="12" t="s">
        <v>268</v>
      </c>
      <c r="W553" s="9" t="str">
        <f t="shared" ca="1" si="41"/>
        <v>18.5%</v>
      </c>
      <c r="X553" t="s">
        <v>321</v>
      </c>
      <c r="Y553" s="9" t="str">
        <f t="shared" ca="1" si="42"/>
        <v>Sin costo</v>
      </c>
      <c r="Z553" t="s">
        <v>327</v>
      </c>
      <c r="AA553" t="s">
        <v>329</v>
      </c>
      <c r="AB553" t="s">
        <v>334</v>
      </c>
      <c r="AC553" s="12" t="s">
        <v>339</v>
      </c>
      <c r="AE553" t="s">
        <v>268</v>
      </c>
      <c r="AG553" s="12" t="s">
        <v>268</v>
      </c>
      <c r="AH553" t="s">
        <v>92</v>
      </c>
      <c r="AI553" s="12" t="s">
        <v>268</v>
      </c>
      <c r="AJ553" t="s">
        <v>92</v>
      </c>
      <c r="AK553" t="s">
        <v>92</v>
      </c>
      <c r="AL553" t="s">
        <v>92</v>
      </c>
      <c r="AM553" s="12" t="s">
        <v>268</v>
      </c>
      <c r="AN553" s="12" t="s">
        <v>268</v>
      </c>
      <c r="AO553" s="12" t="s">
        <v>268</v>
      </c>
      <c r="AP553" s="12" t="s">
        <v>268</v>
      </c>
      <c r="AQ553" s="12" t="s">
        <v>268</v>
      </c>
      <c r="AR553" s="28" t="str">
        <f t="shared" ca="1" si="43"/>
        <v/>
      </c>
      <c r="AS553" s="28" t="str">
        <f t="shared" ca="1" si="44"/>
        <v/>
      </c>
    </row>
    <row r="554" spans="2:45" ht="27.6" customHeight="1">
      <c r="B554">
        <f t="shared" ca="1" si="40"/>
        <v>0</v>
      </c>
      <c r="C554" t="s">
        <v>85</v>
      </c>
      <c r="D554" t="s">
        <v>92</v>
      </c>
      <c r="E554" t="s">
        <v>92</v>
      </c>
      <c r="F554" t="s">
        <v>92</v>
      </c>
      <c r="G554" t="s">
        <v>92</v>
      </c>
      <c r="H554" t="s">
        <v>92</v>
      </c>
      <c r="I554" s="12" t="s">
        <v>268</v>
      </c>
      <c r="J554" t="s">
        <v>278</v>
      </c>
      <c r="L554" t="s">
        <v>92</v>
      </c>
      <c r="N554" s="14">
        <v>1</v>
      </c>
      <c r="P554" s="12" t="s">
        <v>268</v>
      </c>
      <c r="W554" s="9" t="str">
        <f t="shared" ca="1" si="41"/>
        <v>18.5%</v>
      </c>
      <c r="X554" t="s">
        <v>321</v>
      </c>
      <c r="Y554" s="9" t="str">
        <f t="shared" ca="1" si="42"/>
        <v>Sin costo</v>
      </c>
      <c r="Z554" t="s">
        <v>327</v>
      </c>
      <c r="AA554" t="s">
        <v>329</v>
      </c>
      <c r="AB554" t="s">
        <v>334</v>
      </c>
      <c r="AC554" s="12" t="s">
        <v>339</v>
      </c>
      <c r="AE554" t="s">
        <v>268</v>
      </c>
      <c r="AG554" s="12" t="s">
        <v>268</v>
      </c>
      <c r="AH554" t="s">
        <v>92</v>
      </c>
      <c r="AI554" s="12" t="s">
        <v>268</v>
      </c>
      <c r="AJ554" t="s">
        <v>92</v>
      </c>
      <c r="AK554" t="s">
        <v>92</v>
      </c>
      <c r="AL554" t="s">
        <v>92</v>
      </c>
      <c r="AM554" s="12" t="s">
        <v>268</v>
      </c>
      <c r="AN554" s="12" t="s">
        <v>268</v>
      </c>
      <c r="AO554" s="12" t="s">
        <v>268</v>
      </c>
      <c r="AP554" s="12" t="s">
        <v>268</v>
      </c>
      <c r="AQ554" s="12" t="s">
        <v>268</v>
      </c>
      <c r="AR554" s="28" t="str">
        <f t="shared" ca="1" si="43"/>
        <v/>
      </c>
      <c r="AS554" s="28" t="str">
        <f t="shared" ca="1" si="44"/>
        <v/>
      </c>
    </row>
    <row r="555" spans="2:45" ht="27.6" customHeight="1">
      <c r="B555">
        <f t="shared" ca="1" si="40"/>
        <v>0</v>
      </c>
      <c r="C555" t="s">
        <v>85</v>
      </c>
      <c r="D555" t="s">
        <v>92</v>
      </c>
      <c r="E555" t="s">
        <v>92</v>
      </c>
      <c r="F555" t="s">
        <v>92</v>
      </c>
      <c r="G555" t="s">
        <v>92</v>
      </c>
      <c r="H555" t="s">
        <v>92</v>
      </c>
      <c r="I555" s="12" t="s">
        <v>268</v>
      </c>
      <c r="J555" t="s">
        <v>278</v>
      </c>
      <c r="L555" t="s">
        <v>92</v>
      </c>
      <c r="N555" s="14">
        <v>1</v>
      </c>
      <c r="P555" s="12" t="s">
        <v>268</v>
      </c>
      <c r="W555" s="9" t="str">
        <f t="shared" ca="1" si="41"/>
        <v>18.5%</v>
      </c>
      <c r="X555" t="s">
        <v>321</v>
      </c>
      <c r="Y555" s="9" t="str">
        <f t="shared" ca="1" si="42"/>
        <v>Sin costo</v>
      </c>
      <c r="Z555" t="s">
        <v>327</v>
      </c>
      <c r="AA555" t="s">
        <v>329</v>
      </c>
      <c r="AB555" t="s">
        <v>334</v>
      </c>
      <c r="AC555" s="12" t="s">
        <v>339</v>
      </c>
      <c r="AE555" t="s">
        <v>268</v>
      </c>
      <c r="AG555" s="12" t="s">
        <v>268</v>
      </c>
      <c r="AH555" t="s">
        <v>92</v>
      </c>
      <c r="AI555" s="12" t="s">
        <v>268</v>
      </c>
      <c r="AJ555" t="s">
        <v>92</v>
      </c>
      <c r="AK555" t="s">
        <v>92</v>
      </c>
      <c r="AL555" t="s">
        <v>92</v>
      </c>
      <c r="AM555" s="12" t="s">
        <v>268</v>
      </c>
      <c r="AN555" s="12" t="s">
        <v>268</v>
      </c>
      <c r="AO555" s="12" t="s">
        <v>268</v>
      </c>
      <c r="AP555" s="12" t="s">
        <v>268</v>
      </c>
      <c r="AQ555" s="12" t="s">
        <v>268</v>
      </c>
      <c r="AR555" s="28" t="str">
        <f t="shared" ca="1" si="43"/>
        <v/>
      </c>
      <c r="AS555" s="28" t="str">
        <f t="shared" ca="1" si="44"/>
        <v/>
      </c>
    </row>
    <row r="556" spans="2:45" ht="27.6" customHeight="1">
      <c r="B556">
        <f t="shared" ca="1" si="40"/>
        <v>0</v>
      </c>
      <c r="C556" t="s">
        <v>85</v>
      </c>
      <c r="D556" t="s">
        <v>92</v>
      </c>
      <c r="E556" t="s">
        <v>92</v>
      </c>
      <c r="F556" t="s">
        <v>92</v>
      </c>
      <c r="G556" t="s">
        <v>92</v>
      </c>
      <c r="H556" t="s">
        <v>92</v>
      </c>
      <c r="I556" s="12" t="s">
        <v>268</v>
      </c>
      <c r="J556" t="s">
        <v>278</v>
      </c>
      <c r="L556" t="s">
        <v>92</v>
      </c>
      <c r="N556" s="14">
        <v>1</v>
      </c>
      <c r="P556" s="12" t="s">
        <v>268</v>
      </c>
      <c r="W556" s="9" t="str">
        <f t="shared" ca="1" si="41"/>
        <v>18.5%</v>
      </c>
      <c r="X556" t="s">
        <v>321</v>
      </c>
      <c r="Y556" s="9" t="str">
        <f t="shared" ca="1" si="42"/>
        <v>Sin costo</v>
      </c>
      <c r="Z556" t="s">
        <v>327</v>
      </c>
      <c r="AA556" t="s">
        <v>329</v>
      </c>
      <c r="AB556" t="s">
        <v>334</v>
      </c>
      <c r="AC556" s="12" t="s">
        <v>339</v>
      </c>
      <c r="AE556" t="s">
        <v>268</v>
      </c>
      <c r="AG556" s="12" t="s">
        <v>268</v>
      </c>
      <c r="AH556" t="s">
        <v>92</v>
      </c>
      <c r="AI556" s="12" t="s">
        <v>268</v>
      </c>
      <c r="AJ556" t="s">
        <v>92</v>
      </c>
      <c r="AK556" t="s">
        <v>92</v>
      </c>
      <c r="AL556" t="s">
        <v>92</v>
      </c>
      <c r="AM556" s="12" t="s">
        <v>268</v>
      </c>
      <c r="AN556" s="12" t="s">
        <v>268</v>
      </c>
      <c r="AO556" s="12" t="s">
        <v>268</v>
      </c>
      <c r="AP556" s="12" t="s">
        <v>268</v>
      </c>
      <c r="AQ556" s="12" t="s">
        <v>268</v>
      </c>
      <c r="AR556" s="28" t="str">
        <f t="shared" ca="1" si="43"/>
        <v/>
      </c>
      <c r="AS556" s="28" t="str">
        <f t="shared" ca="1" si="44"/>
        <v/>
      </c>
    </row>
    <row r="557" spans="2:45" ht="27.6" customHeight="1">
      <c r="B557">
        <f t="shared" ca="1" si="40"/>
        <v>0</v>
      </c>
      <c r="C557" t="s">
        <v>85</v>
      </c>
      <c r="D557" t="s">
        <v>92</v>
      </c>
      <c r="E557" t="s">
        <v>92</v>
      </c>
      <c r="F557" t="s">
        <v>92</v>
      </c>
      <c r="G557" t="s">
        <v>92</v>
      </c>
      <c r="H557" t="s">
        <v>92</v>
      </c>
      <c r="I557" s="12" t="s">
        <v>268</v>
      </c>
      <c r="J557" t="s">
        <v>278</v>
      </c>
      <c r="L557" t="s">
        <v>92</v>
      </c>
      <c r="N557" s="14">
        <v>1</v>
      </c>
      <c r="P557" s="12" t="s">
        <v>268</v>
      </c>
      <c r="W557" s="9" t="str">
        <f t="shared" ca="1" si="41"/>
        <v>18.5%</v>
      </c>
      <c r="X557" t="s">
        <v>321</v>
      </c>
      <c r="Y557" s="9" t="str">
        <f t="shared" ca="1" si="42"/>
        <v>Sin costo</v>
      </c>
      <c r="Z557" t="s">
        <v>327</v>
      </c>
      <c r="AA557" t="s">
        <v>329</v>
      </c>
      <c r="AB557" t="s">
        <v>334</v>
      </c>
      <c r="AC557" s="12" t="s">
        <v>339</v>
      </c>
      <c r="AE557" t="s">
        <v>268</v>
      </c>
      <c r="AG557" s="12" t="s">
        <v>268</v>
      </c>
      <c r="AH557" t="s">
        <v>92</v>
      </c>
      <c r="AI557" s="12" t="s">
        <v>268</v>
      </c>
      <c r="AJ557" t="s">
        <v>92</v>
      </c>
      <c r="AK557" t="s">
        <v>92</v>
      </c>
      <c r="AL557" t="s">
        <v>92</v>
      </c>
      <c r="AM557" s="12" t="s">
        <v>268</v>
      </c>
      <c r="AN557" s="12" t="s">
        <v>268</v>
      </c>
      <c r="AO557" s="12" t="s">
        <v>268</v>
      </c>
      <c r="AP557" s="12" t="s">
        <v>268</v>
      </c>
      <c r="AQ557" s="12" t="s">
        <v>268</v>
      </c>
      <c r="AR557" s="28" t="str">
        <f t="shared" ca="1" si="43"/>
        <v/>
      </c>
      <c r="AS557" s="28" t="str">
        <f t="shared" ca="1" si="44"/>
        <v/>
      </c>
    </row>
    <row r="558" spans="2:45" ht="27.6" customHeight="1">
      <c r="B558">
        <f t="shared" ca="1" si="40"/>
        <v>0</v>
      </c>
      <c r="C558" t="s">
        <v>85</v>
      </c>
      <c r="D558" t="s">
        <v>92</v>
      </c>
      <c r="E558" t="s">
        <v>92</v>
      </c>
      <c r="F558" t="s">
        <v>92</v>
      </c>
      <c r="G558" t="s">
        <v>92</v>
      </c>
      <c r="H558" t="s">
        <v>92</v>
      </c>
      <c r="I558" s="12" t="s">
        <v>268</v>
      </c>
      <c r="J558" t="s">
        <v>278</v>
      </c>
      <c r="L558" t="s">
        <v>92</v>
      </c>
      <c r="N558" s="14">
        <v>1</v>
      </c>
      <c r="P558" s="12" t="s">
        <v>268</v>
      </c>
      <c r="W558" s="9" t="str">
        <f t="shared" ca="1" si="41"/>
        <v>18.5%</v>
      </c>
      <c r="X558" t="s">
        <v>321</v>
      </c>
      <c r="Y558" s="9" t="str">
        <f t="shared" ca="1" si="42"/>
        <v>Sin costo</v>
      </c>
      <c r="Z558" t="s">
        <v>327</v>
      </c>
      <c r="AA558" t="s">
        <v>329</v>
      </c>
      <c r="AB558" t="s">
        <v>334</v>
      </c>
      <c r="AC558" s="12" t="s">
        <v>339</v>
      </c>
      <c r="AE558" t="s">
        <v>268</v>
      </c>
      <c r="AG558" s="12" t="s">
        <v>268</v>
      </c>
      <c r="AH558" t="s">
        <v>92</v>
      </c>
      <c r="AI558" s="12" t="s">
        <v>268</v>
      </c>
      <c r="AJ558" t="s">
        <v>92</v>
      </c>
      <c r="AK558" t="s">
        <v>92</v>
      </c>
      <c r="AL558" t="s">
        <v>92</v>
      </c>
      <c r="AM558" s="12" t="s">
        <v>268</v>
      </c>
      <c r="AN558" s="12" t="s">
        <v>268</v>
      </c>
      <c r="AO558" s="12" t="s">
        <v>268</v>
      </c>
      <c r="AP558" s="12" t="s">
        <v>268</v>
      </c>
      <c r="AQ558" s="12" t="s">
        <v>268</v>
      </c>
      <c r="AR558" s="28" t="str">
        <f t="shared" ca="1" si="43"/>
        <v/>
      </c>
      <c r="AS558" s="28" t="str">
        <f t="shared" ca="1" si="44"/>
        <v/>
      </c>
    </row>
    <row r="559" spans="2:45" ht="27.6" customHeight="1">
      <c r="B559">
        <f t="shared" ca="1" si="40"/>
        <v>0</v>
      </c>
      <c r="C559" t="s">
        <v>85</v>
      </c>
      <c r="D559" t="s">
        <v>92</v>
      </c>
      <c r="E559" t="s">
        <v>92</v>
      </c>
      <c r="F559" t="s">
        <v>92</v>
      </c>
      <c r="G559" t="s">
        <v>92</v>
      </c>
      <c r="H559" t="s">
        <v>92</v>
      </c>
      <c r="I559" s="12" t="s">
        <v>268</v>
      </c>
      <c r="J559" t="s">
        <v>278</v>
      </c>
      <c r="L559" t="s">
        <v>92</v>
      </c>
      <c r="N559" s="14">
        <v>1</v>
      </c>
      <c r="P559" s="12" t="s">
        <v>268</v>
      </c>
      <c r="W559" s="9" t="str">
        <f t="shared" ca="1" si="41"/>
        <v>18.5%</v>
      </c>
      <c r="X559" t="s">
        <v>321</v>
      </c>
      <c r="Y559" s="9" t="str">
        <f t="shared" ca="1" si="42"/>
        <v>Sin costo</v>
      </c>
      <c r="Z559" t="s">
        <v>327</v>
      </c>
      <c r="AA559" t="s">
        <v>329</v>
      </c>
      <c r="AB559" t="s">
        <v>334</v>
      </c>
      <c r="AC559" s="12" t="s">
        <v>339</v>
      </c>
      <c r="AE559" t="s">
        <v>268</v>
      </c>
      <c r="AG559" s="12" t="s">
        <v>268</v>
      </c>
      <c r="AH559" t="s">
        <v>92</v>
      </c>
      <c r="AI559" s="12" t="s">
        <v>268</v>
      </c>
      <c r="AJ559" t="s">
        <v>92</v>
      </c>
      <c r="AK559" t="s">
        <v>92</v>
      </c>
      <c r="AL559" t="s">
        <v>92</v>
      </c>
      <c r="AM559" s="12" t="s">
        <v>268</v>
      </c>
      <c r="AN559" s="12" t="s">
        <v>268</v>
      </c>
      <c r="AO559" s="12" t="s">
        <v>268</v>
      </c>
      <c r="AP559" s="12" t="s">
        <v>268</v>
      </c>
      <c r="AQ559" s="12" t="s">
        <v>268</v>
      </c>
      <c r="AR559" s="28" t="str">
        <f t="shared" ca="1" si="43"/>
        <v/>
      </c>
      <c r="AS559" s="28" t="str">
        <f t="shared" ca="1" si="44"/>
        <v/>
      </c>
    </row>
    <row r="560" spans="2:45" ht="27.6" customHeight="1">
      <c r="B560">
        <f t="shared" ca="1" si="40"/>
        <v>0</v>
      </c>
      <c r="C560" t="s">
        <v>85</v>
      </c>
      <c r="D560" t="s">
        <v>92</v>
      </c>
      <c r="E560" t="s">
        <v>92</v>
      </c>
      <c r="F560" t="s">
        <v>92</v>
      </c>
      <c r="G560" t="s">
        <v>92</v>
      </c>
      <c r="H560" t="s">
        <v>92</v>
      </c>
      <c r="I560" s="12" t="s">
        <v>268</v>
      </c>
      <c r="J560" t="s">
        <v>278</v>
      </c>
      <c r="L560" t="s">
        <v>92</v>
      </c>
      <c r="N560" s="14">
        <v>1</v>
      </c>
      <c r="P560" s="12" t="s">
        <v>268</v>
      </c>
      <c r="W560" s="9" t="str">
        <f t="shared" ca="1" si="41"/>
        <v>18.5%</v>
      </c>
      <c r="X560" t="s">
        <v>321</v>
      </c>
      <c r="Y560" s="9" t="str">
        <f t="shared" ca="1" si="42"/>
        <v>Sin costo</v>
      </c>
      <c r="Z560" t="s">
        <v>327</v>
      </c>
      <c r="AA560" t="s">
        <v>329</v>
      </c>
      <c r="AB560" t="s">
        <v>334</v>
      </c>
      <c r="AC560" s="12" t="s">
        <v>339</v>
      </c>
      <c r="AE560" t="s">
        <v>268</v>
      </c>
      <c r="AG560" s="12" t="s">
        <v>268</v>
      </c>
      <c r="AH560" t="s">
        <v>92</v>
      </c>
      <c r="AI560" s="12" t="s">
        <v>268</v>
      </c>
      <c r="AJ560" t="s">
        <v>92</v>
      </c>
      <c r="AK560" t="s">
        <v>92</v>
      </c>
      <c r="AL560" t="s">
        <v>92</v>
      </c>
      <c r="AM560" s="12" t="s">
        <v>268</v>
      </c>
      <c r="AN560" s="12" t="s">
        <v>268</v>
      </c>
      <c r="AO560" s="12" t="s">
        <v>268</v>
      </c>
      <c r="AP560" s="12" t="s">
        <v>268</v>
      </c>
      <c r="AQ560" s="12" t="s">
        <v>268</v>
      </c>
      <c r="AR560" s="28" t="str">
        <f t="shared" ca="1" si="43"/>
        <v/>
      </c>
      <c r="AS560" s="28" t="str">
        <f t="shared" ca="1" si="44"/>
        <v/>
      </c>
    </row>
    <row r="561" spans="2:45" ht="27.6" customHeight="1">
      <c r="B561">
        <f t="shared" ca="1" si="40"/>
        <v>0</v>
      </c>
      <c r="C561" t="s">
        <v>85</v>
      </c>
      <c r="D561" t="s">
        <v>92</v>
      </c>
      <c r="E561" t="s">
        <v>92</v>
      </c>
      <c r="F561" t="s">
        <v>92</v>
      </c>
      <c r="G561" t="s">
        <v>92</v>
      </c>
      <c r="H561" t="s">
        <v>92</v>
      </c>
      <c r="I561" s="12" t="s">
        <v>268</v>
      </c>
      <c r="J561" t="s">
        <v>278</v>
      </c>
      <c r="L561" t="s">
        <v>92</v>
      </c>
      <c r="N561" s="14">
        <v>1</v>
      </c>
      <c r="P561" s="12" t="s">
        <v>268</v>
      </c>
      <c r="W561" s="9" t="str">
        <f t="shared" ca="1" si="41"/>
        <v>18.5%</v>
      </c>
      <c r="X561" t="s">
        <v>321</v>
      </c>
      <c r="Y561" s="9" t="str">
        <f t="shared" ca="1" si="42"/>
        <v>Sin costo</v>
      </c>
      <c r="Z561" t="s">
        <v>327</v>
      </c>
      <c r="AA561" t="s">
        <v>329</v>
      </c>
      <c r="AB561" t="s">
        <v>334</v>
      </c>
      <c r="AC561" s="12" t="s">
        <v>339</v>
      </c>
      <c r="AE561" t="s">
        <v>268</v>
      </c>
      <c r="AG561" s="12" t="s">
        <v>268</v>
      </c>
      <c r="AH561" t="s">
        <v>92</v>
      </c>
      <c r="AI561" s="12" t="s">
        <v>268</v>
      </c>
      <c r="AJ561" t="s">
        <v>92</v>
      </c>
      <c r="AK561" t="s">
        <v>92</v>
      </c>
      <c r="AL561" t="s">
        <v>92</v>
      </c>
      <c r="AM561" s="12" t="s">
        <v>268</v>
      </c>
      <c r="AN561" s="12" t="s">
        <v>268</v>
      </c>
      <c r="AO561" s="12" t="s">
        <v>268</v>
      </c>
      <c r="AP561" s="12" t="s">
        <v>268</v>
      </c>
      <c r="AQ561" s="12" t="s">
        <v>268</v>
      </c>
      <c r="AR561" s="28" t="str">
        <f t="shared" ca="1" si="43"/>
        <v/>
      </c>
      <c r="AS561" s="28" t="str">
        <f t="shared" ca="1" si="44"/>
        <v/>
      </c>
    </row>
    <row r="562" spans="2:45" ht="27.6" customHeight="1">
      <c r="B562">
        <f t="shared" ca="1" si="40"/>
        <v>0</v>
      </c>
      <c r="C562" t="s">
        <v>85</v>
      </c>
      <c r="D562" t="s">
        <v>92</v>
      </c>
      <c r="E562" t="s">
        <v>92</v>
      </c>
      <c r="F562" t="s">
        <v>92</v>
      </c>
      <c r="G562" t="s">
        <v>92</v>
      </c>
      <c r="H562" t="s">
        <v>92</v>
      </c>
      <c r="I562" s="12" t="s">
        <v>268</v>
      </c>
      <c r="J562" t="s">
        <v>278</v>
      </c>
      <c r="L562" t="s">
        <v>92</v>
      </c>
      <c r="N562" s="14">
        <v>1</v>
      </c>
      <c r="P562" s="12" t="s">
        <v>268</v>
      </c>
      <c r="W562" s="9" t="str">
        <f t="shared" ca="1" si="41"/>
        <v>18.5%</v>
      </c>
      <c r="X562" t="s">
        <v>321</v>
      </c>
      <c r="Y562" s="9" t="str">
        <f t="shared" ca="1" si="42"/>
        <v>Sin costo</v>
      </c>
      <c r="Z562" t="s">
        <v>327</v>
      </c>
      <c r="AA562" t="s">
        <v>329</v>
      </c>
      <c r="AB562" t="s">
        <v>334</v>
      </c>
      <c r="AC562" s="12" t="s">
        <v>339</v>
      </c>
      <c r="AE562" t="s">
        <v>268</v>
      </c>
      <c r="AG562" s="12" t="s">
        <v>268</v>
      </c>
      <c r="AH562" t="s">
        <v>92</v>
      </c>
      <c r="AI562" s="12" t="s">
        <v>268</v>
      </c>
      <c r="AJ562" t="s">
        <v>92</v>
      </c>
      <c r="AK562" t="s">
        <v>92</v>
      </c>
      <c r="AL562" t="s">
        <v>92</v>
      </c>
      <c r="AM562" s="12" t="s">
        <v>268</v>
      </c>
      <c r="AN562" s="12" t="s">
        <v>268</v>
      </c>
      <c r="AO562" s="12" t="s">
        <v>268</v>
      </c>
      <c r="AP562" s="12" t="s">
        <v>268</v>
      </c>
      <c r="AQ562" s="12" t="s">
        <v>268</v>
      </c>
      <c r="AR562" s="28" t="str">
        <f t="shared" ca="1" si="43"/>
        <v/>
      </c>
      <c r="AS562" s="28" t="str">
        <f t="shared" ca="1" si="44"/>
        <v/>
      </c>
    </row>
    <row r="563" spans="2:45" ht="27.6" customHeight="1">
      <c r="B563">
        <f t="shared" ca="1" si="40"/>
        <v>0</v>
      </c>
      <c r="C563" t="s">
        <v>85</v>
      </c>
      <c r="D563" t="s">
        <v>92</v>
      </c>
      <c r="E563" t="s">
        <v>92</v>
      </c>
      <c r="F563" t="s">
        <v>92</v>
      </c>
      <c r="G563" t="s">
        <v>92</v>
      </c>
      <c r="H563" t="s">
        <v>92</v>
      </c>
      <c r="I563" s="12" t="s">
        <v>268</v>
      </c>
      <c r="J563" t="s">
        <v>278</v>
      </c>
      <c r="L563" t="s">
        <v>92</v>
      </c>
      <c r="N563" s="14">
        <v>1</v>
      </c>
      <c r="P563" s="12" t="s">
        <v>268</v>
      </c>
      <c r="W563" s="9" t="str">
        <f t="shared" ca="1" si="41"/>
        <v>18.5%</v>
      </c>
      <c r="X563" t="s">
        <v>321</v>
      </c>
      <c r="Y563" s="9" t="str">
        <f t="shared" ca="1" si="42"/>
        <v>Sin costo</v>
      </c>
      <c r="Z563" t="s">
        <v>327</v>
      </c>
      <c r="AA563" t="s">
        <v>329</v>
      </c>
      <c r="AB563" t="s">
        <v>334</v>
      </c>
      <c r="AC563" s="12" t="s">
        <v>339</v>
      </c>
      <c r="AE563" t="s">
        <v>268</v>
      </c>
      <c r="AG563" s="12" t="s">
        <v>268</v>
      </c>
      <c r="AH563" t="s">
        <v>92</v>
      </c>
      <c r="AI563" s="12" t="s">
        <v>268</v>
      </c>
      <c r="AJ563" t="s">
        <v>92</v>
      </c>
      <c r="AK563" t="s">
        <v>92</v>
      </c>
      <c r="AL563" t="s">
        <v>92</v>
      </c>
      <c r="AM563" s="12" t="s">
        <v>268</v>
      </c>
      <c r="AN563" s="12" t="s">
        <v>268</v>
      </c>
      <c r="AO563" s="12" t="s">
        <v>268</v>
      </c>
      <c r="AP563" s="12" t="s">
        <v>268</v>
      </c>
      <c r="AQ563" s="12" t="s">
        <v>268</v>
      </c>
      <c r="AR563" s="28" t="str">
        <f t="shared" ca="1" si="43"/>
        <v/>
      </c>
      <c r="AS563" s="28" t="str">
        <f t="shared" ca="1" si="44"/>
        <v/>
      </c>
    </row>
    <row r="564" spans="2:45" ht="27.6" customHeight="1">
      <c r="B564">
        <f t="shared" ca="1" si="40"/>
        <v>0</v>
      </c>
      <c r="C564" t="s">
        <v>85</v>
      </c>
      <c r="D564" t="s">
        <v>92</v>
      </c>
      <c r="E564" t="s">
        <v>92</v>
      </c>
      <c r="F564" t="s">
        <v>92</v>
      </c>
      <c r="G564" t="s">
        <v>92</v>
      </c>
      <c r="H564" t="s">
        <v>92</v>
      </c>
      <c r="I564" s="12" t="s">
        <v>268</v>
      </c>
      <c r="J564" t="s">
        <v>278</v>
      </c>
      <c r="L564" t="s">
        <v>92</v>
      </c>
      <c r="N564" s="14">
        <v>1</v>
      </c>
      <c r="P564" s="12" t="s">
        <v>268</v>
      </c>
      <c r="W564" s="9" t="str">
        <f t="shared" ca="1" si="41"/>
        <v>18.5%</v>
      </c>
      <c r="X564" t="s">
        <v>321</v>
      </c>
      <c r="Y564" s="9" t="str">
        <f t="shared" ca="1" si="42"/>
        <v>Sin costo</v>
      </c>
      <c r="Z564" t="s">
        <v>327</v>
      </c>
      <c r="AA564" t="s">
        <v>329</v>
      </c>
      <c r="AB564" t="s">
        <v>334</v>
      </c>
      <c r="AC564" s="12" t="s">
        <v>339</v>
      </c>
      <c r="AE564" t="s">
        <v>268</v>
      </c>
      <c r="AG564" s="12" t="s">
        <v>268</v>
      </c>
      <c r="AH564" t="s">
        <v>92</v>
      </c>
      <c r="AI564" s="12" t="s">
        <v>268</v>
      </c>
      <c r="AJ564" t="s">
        <v>92</v>
      </c>
      <c r="AK564" t="s">
        <v>92</v>
      </c>
      <c r="AL564" t="s">
        <v>92</v>
      </c>
      <c r="AM564" s="12" t="s">
        <v>268</v>
      </c>
      <c r="AN564" s="12" t="s">
        <v>268</v>
      </c>
      <c r="AO564" s="12" t="s">
        <v>268</v>
      </c>
      <c r="AP564" s="12" t="s">
        <v>268</v>
      </c>
      <c r="AQ564" s="12" t="s">
        <v>268</v>
      </c>
      <c r="AR564" s="28" t="str">
        <f t="shared" ca="1" si="43"/>
        <v/>
      </c>
      <c r="AS564" s="28" t="str">
        <f t="shared" ca="1" si="44"/>
        <v/>
      </c>
    </row>
    <row r="565" spans="2:45" ht="27.6" customHeight="1">
      <c r="B565">
        <f t="shared" ca="1" si="40"/>
        <v>0</v>
      </c>
      <c r="C565" t="s">
        <v>85</v>
      </c>
      <c r="D565" t="s">
        <v>92</v>
      </c>
      <c r="E565" t="s">
        <v>92</v>
      </c>
      <c r="F565" t="s">
        <v>92</v>
      </c>
      <c r="G565" t="s">
        <v>92</v>
      </c>
      <c r="H565" t="s">
        <v>92</v>
      </c>
      <c r="I565" s="12" t="s">
        <v>268</v>
      </c>
      <c r="J565" t="s">
        <v>278</v>
      </c>
      <c r="L565" t="s">
        <v>92</v>
      </c>
      <c r="N565" s="14">
        <v>1</v>
      </c>
      <c r="P565" s="12" t="s">
        <v>268</v>
      </c>
      <c r="W565" s="9" t="str">
        <f t="shared" ca="1" si="41"/>
        <v>18.5%</v>
      </c>
      <c r="X565" t="s">
        <v>321</v>
      </c>
      <c r="Y565" s="9" t="str">
        <f t="shared" ca="1" si="42"/>
        <v>Sin costo</v>
      </c>
      <c r="Z565" t="s">
        <v>327</v>
      </c>
      <c r="AA565" t="s">
        <v>329</v>
      </c>
      <c r="AB565" t="s">
        <v>334</v>
      </c>
      <c r="AC565" s="12" t="s">
        <v>339</v>
      </c>
      <c r="AE565" t="s">
        <v>268</v>
      </c>
      <c r="AG565" s="12" t="s">
        <v>268</v>
      </c>
      <c r="AH565" t="s">
        <v>92</v>
      </c>
      <c r="AI565" s="12" t="s">
        <v>268</v>
      </c>
      <c r="AJ565" t="s">
        <v>92</v>
      </c>
      <c r="AK565" t="s">
        <v>92</v>
      </c>
      <c r="AL565" t="s">
        <v>92</v>
      </c>
      <c r="AM565" s="12" t="s">
        <v>268</v>
      </c>
      <c r="AN565" s="12" t="s">
        <v>268</v>
      </c>
      <c r="AO565" s="12" t="s">
        <v>268</v>
      </c>
      <c r="AP565" s="12" t="s">
        <v>268</v>
      </c>
      <c r="AQ565" s="12" t="s">
        <v>268</v>
      </c>
      <c r="AR565" s="28" t="str">
        <f t="shared" ca="1" si="43"/>
        <v/>
      </c>
      <c r="AS565" s="28" t="str">
        <f t="shared" ca="1" si="44"/>
        <v/>
      </c>
    </row>
    <row r="566" spans="2:45" ht="27.6" customHeight="1">
      <c r="B566">
        <f t="shared" ca="1" si="40"/>
        <v>0</v>
      </c>
      <c r="C566" t="s">
        <v>85</v>
      </c>
      <c r="D566" t="s">
        <v>92</v>
      </c>
      <c r="E566" t="s">
        <v>92</v>
      </c>
      <c r="F566" t="s">
        <v>92</v>
      </c>
      <c r="G566" t="s">
        <v>92</v>
      </c>
      <c r="H566" t="s">
        <v>92</v>
      </c>
      <c r="I566" s="12" t="s">
        <v>268</v>
      </c>
      <c r="J566" t="s">
        <v>278</v>
      </c>
      <c r="L566" t="s">
        <v>92</v>
      </c>
      <c r="N566" s="14">
        <v>1</v>
      </c>
      <c r="P566" s="12" t="s">
        <v>268</v>
      </c>
      <c r="W566" s="9" t="str">
        <f t="shared" ca="1" si="41"/>
        <v>18.5%</v>
      </c>
      <c r="X566" t="s">
        <v>321</v>
      </c>
      <c r="Y566" s="9" t="str">
        <f t="shared" ca="1" si="42"/>
        <v>Sin costo</v>
      </c>
      <c r="Z566" t="s">
        <v>327</v>
      </c>
      <c r="AA566" t="s">
        <v>329</v>
      </c>
      <c r="AB566" t="s">
        <v>334</v>
      </c>
      <c r="AC566" s="12" t="s">
        <v>339</v>
      </c>
      <c r="AE566" t="s">
        <v>268</v>
      </c>
      <c r="AG566" s="12" t="s">
        <v>268</v>
      </c>
      <c r="AH566" t="s">
        <v>92</v>
      </c>
      <c r="AI566" s="12" t="s">
        <v>268</v>
      </c>
      <c r="AJ566" t="s">
        <v>92</v>
      </c>
      <c r="AK566" t="s">
        <v>92</v>
      </c>
      <c r="AL566" t="s">
        <v>92</v>
      </c>
      <c r="AM566" s="12" t="s">
        <v>268</v>
      </c>
      <c r="AN566" s="12" t="s">
        <v>268</v>
      </c>
      <c r="AO566" s="12" t="s">
        <v>268</v>
      </c>
      <c r="AP566" s="12" t="s">
        <v>268</v>
      </c>
      <c r="AQ566" s="12" t="s">
        <v>268</v>
      </c>
      <c r="AR566" s="28" t="str">
        <f t="shared" ca="1" si="43"/>
        <v/>
      </c>
      <c r="AS566" s="28" t="str">
        <f t="shared" ca="1" si="44"/>
        <v/>
      </c>
    </row>
    <row r="567" spans="2:45" ht="27.6" customHeight="1">
      <c r="B567">
        <f t="shared" ca="1" si="40"/>
        <v>0</v>
      </c>
      <c r="C567" t="s">
        <v>85</v>
      </c>
      <c r="D567" t="s">
        <v>92</v>
      </c>
      <c r="E567" t="s">
        <v>92</v>
      </c>
      <c r="F567" t="s">
        <v>92</v>
      </c>
      <c r="G567" t="s">
        <v>92</v>
      </c>
      <c r="H567" t="s">
        <v>92</v>
      </c>
      <c r="I567" s="12" t="s">
        <v>268</v>
      </c>
      <c r="J567" t="s">
        <v>278</v>
      </c>
      <c r="L567" t="s">
        <v>92</v>
      </c>
      <c r="N567" s="14">
        <v>1</v>
      </c>
      <c r="P567" s="12" t="s">
        <v>268</v>
      </c>
      <c r="W567" s="9" t="str">
        <f t="shared" ca="1" si="41"/>
        <v>18.5%</v>
      </c>
      <c r="X567" t="s">
        <v>321</v>
      </c>
      <c r="Y567" s="9" t="str">
        <f t="shared" ca="1" si="42"/>
        <v>Sin costo</v>
      </c>
      <c r="Z567" t="s">
        <v>327</v>
      </c>
      <c r="AA567" t="s">
        <v>329</v>
      </c>
      <c r="AB567" t="s">
        <v>334</v>
      </c>
      <c r="AC567" s="12" t="s">
        <v>339</v>
      </c>
      <c r="AE567" t="s">
        <v>268</v>
      </c>
      <c r="AG567" s="12" t="s">
        <v>268</v>
      </c>
      <c r="AH567" t="s">
        <v>92</v>
      </c>
      <c r="AI567" s="12" t="s">
        <v>268</v>
      </c>
      <c r="AJ567" t="s">
        <v>92</v>
      </c>
      <c r="AK567" t="s">
        <v>92</v>
      </c>
      <c r="AL567" t="s">
        <v>92</v>
      </c>
      <c r="AM567" s="12" t="s">
        <v>268</v>
      </c>
      <c r="AN567" s="12" t="s">
        <v>268</v>
      </c>
      <c r="AO567" s="12" t="s">
        <v>268</v>
      </c>
      <c r="AP567" s="12" t="s">
        <v>268</v>
      </c>
      <c r="AQ567" s="12" t="s">
        <v>268</v>
      </c>
      <c r="AR567" s="28" t="str">
        <f t="shared" ca="1" si="43"/>
        <v/>
      </c>
      <c r="AS567" s="28" t="str">
        <f t="shared" ca="1" si="44"/>
        <v/>
      </c>
    </row>
    <row r="568" spans="2:45" ht="27.6" customHeight="1">
      <c r="B568">
        <f t="shared" ca="1" si="40"/>
        <v>0</v>
      </c>
      <c r="C568" t="s">
        <v>85</v>
      </c>
      <c r="D568" t="s">
        <v>92</v>
      </c>
      <c r="E568" t="s">
        <v>92</v>
      </c>
      <c r="F568" t="s">
        <v>92</v>
      </c>
      <c r="G568" t="s">
        <v>92</v>
      </c>
      <c r="H568" t="s">
        <v>92</v>
      </c>
      <c r="I568" s="12" t="s">
        <v>268</v>
      </c>
      <c r="J568" t="s">
        <v>278</v>
      </c>
      <c r="L568" t="s">
        <v>92</v>
      </c>
      <c r="N568" s="14">
        <v>1</v>
      </c>
      <c r="P568" s="12" t="s">
        <v>268</v>
      </c>
      <c r="W568" s="9" t="str">
        <f t="shared" ca="1" si="41"/>
        <v>18.5%</v>
      </c>
      <c r="X568" t="s">
        <v>321</v>
      </c>
      <c r="Y568" s="9" t="str">
        <f t="shared" ca="1" si="42"/>
        <v>Sin costo</v>
      </c>
      <c r="Z568" t="s">
        <v>327</v>
      </c>
      <c r="AA568" t="s">
        <v>329</v>
      </c>
      <c r="AB568" t="s">
        <v>334</v>
      </c>
      <c r="AC568" s="12" t="s">
        <v>339</v>
      </c>
      <c r="AE568" t="s">
        <v>268</v>
      </c>
      <c r="AG568" s="12" t="s">
        <v>268</v>
      </c>
      <c r="AH568" t="s">
        <v>92</v>
      </c>
      <c r="AI568" s="12" t="s">
        <v>268</v>
      </c>
      <c r="AJ568" t="s">
        <v>92</v>
      </c>
      <c r="AK568" t="s">
        <v>92</v>
      </c>
      <c r="AL568" t="s">
        <v>92</v>
      </c>
      <c r="AM568" s="12" t="s">
        <v>268</v>
      </c>
      <c r="AN568" s="12" t="s">
        <v>268</v>
      </c>
      <c r="AO568" s="12" t="s">
        <v>268</v>
      </c>
      <c r="AP568" s="12" t="s">
        <v>268</v>
      </c>
      <c r="AQ568" s="12" t="s">
        <v>268</v>
      </c>
      <c r="AR568" s="28" t="str">
        <f t="shared" ca="1" si="43"/>
        <v/>
      </c>
      <c r="AS568" s="28" t="str">
        <f t="shared" ca="1" si="44"/>
        <v/>
      </c>
    </row>
    <row r="569" spans="2:45" ht="27.6" customHeight="1">
      <c r="B569">
        <f t="shared" ca="1" si="40"/>
        <v>0</v>
      </c>
      <c r="C569" t="s">
        <v>85</v>
      </c>
      <c r="D569" t="s">
        <v>92</v>
      </c>
      <c r="E569" t="s">
        <v>92</v>
      </c>
      <c r="F569" t="s">
        <v>92</v>
      </c>
      <c r="G569" t="s">
        <v>92</v>
      </c>
      <c r="H569" t="s">
        <v>92</v>
      </c>
      <c r="I569" s="12" t="s">
        <v>268</v>
      </c>
      <c r="J569" t="s">
        <v>278</v>
      </c>
      <c r="L569" t="s">
        <v>92</v>
      </c>
      <c r="N569" s="14">
        <v>1</v>
      </c>
      <c r="P569" s="12" t="s">
        <v>268</v>
      </c>
      <c r="W569" s="9" t="str">
        <f t="shared" ca="1" si="41"/>
        <v>18.5%</v>
      </c>
      <c r="X569" t="s">
        <v>321</v>
      </c>
      <c r="Y569" s="9" t="str">
        <f t="shared" ca="1" si="42"/>
        <v>Sin costo</v>
      </c>
      <c r="Z569" t="s">
        <v>327</v>
      </c>
      <c r="AA569" t="s">
        <v>329</v>
      </c>
      <c r="AB569" t="s">
        <v>334</v>
      </c>
      <c r="AC569" s="12" t="s">
        <v>339</v>
      </c>
      <c r="AE569" t="s">
        <v>268</v>
      </c>
      <c r="AG569" s="12" t="s">
        <v>268</v>
      </c>
      <c r="AH569" t="s">
        <v>92</v>
      </c>
      <c r="AI569" s="12" t="s">
        <v>268</v>
      </c>
      <c r="AJ569" t="s">
        <v>92</v>
      </c>
      <c r="AK569" t="s">
        <v>92</v>
      </c>
      <c r="AL569" t="s">
        <v>92</v>
      </c>
      <c r="AM569" s="12" t="s">
        <v>268</v>
      </c>
      <c r="AN569" s="12" t="s">
        <v>268</v>
      </c>
      <c r="AO569" s="12" t="s">
        <v>268</v>
      </c>
      <c r="AP569" s="12" t="s">
        <v>268</v>
      </c>
      <c r="AQ569" s="12" t="s">
        <v>268</v>
      </c>
      <c r="AR569" s="28" t="str">
        <f t="shared" ca="1" si="43"/>
        <v/>
      </c>
      <c r="AS569" s="28" t="str">
        <f t="shared" ca="1" si="44"/>
        <v/>
      </c>
    </row>
    <row r="570" spans="2:45" ht="27.6" customHeight="1">
      <c r="B570">
        <f t="shared" ca="1" si="40"/>
        <v>0</v>
      </c>
      <c r="C570" t="s">
        <v>85</v>
      </c>
      <c r="D570" t="s">
        <v>92</v>
      </c>
      <c r="E570" t="s">
        <v>92</v>
      </c>
      <c r="F570" t="s">
        <v>92</v>
      </c>
      <c r="G570" t="s">
        <v>92</v>
      </c>
      <c r="H570" t="s">
        <v>92</v>
      </c>
      <c r="I570" s="12" t="s">
        <v>268</v>
      </c>
      <c r="J570" t="s">
        <v>278</v>
      </c>
      <c r="L570" t="s">
        <v>92</v>
      </c>
      <c r="N570" s="14">
        <v>1</v>
      </c>
      <c r="P570" s="12" t="s">
        <v>268</v>
      </c>
      <c r="W570" s="9" t="str">
        <f t="shared" ca="1" si="41"/>
        <v>18.5%</v>
      </c>
      <c r="X570" t="s">
        <v>321</v>
      </c>
      <c r="Y570" s="9" t="str">
        <f t="shared" ca="1" si="42"/>
        <v>Sin costo</v>
      </c>
      <c r="Z570" t="s">
        <v>327</v>
      </c>
      <c r="AA570" t="s">
        <v>329</v>
      </c>
      <c r="AB570" t="s">
        <v>334</v>
      </c>
      <c r="AC570" s="12" t="s">
        <v>339</v>
      </c>
      <c r="AE570" t="s">
        <v>268</v>
      </c>
      <c r="AG570" s="12" t="s">
        <v>268</v>
      </c>
      <c r="AH570" t="s">
        <v>92</v>
      </c>
      <c r="AI570" s="12" t="s">
        <v>268</v>
      </c>
      <c r="AJ570" t="s">
        <v>92</v>
      </c>
      <c r="AK570" t="s">
        <v>92</v>
      </c>
      <c r="AL570" t="s">
        <v>92</v>
      </c>
      <c r="AM570" s="12" t="s">
        <v>268</v>
      </c>
      <c r="AN570" s="12" t="s">
        <v>268</v>
      </c>
      <c r="AO570" s="12" t="s">
        <v>268</v>
      </c>
      <c r="AP570" s="12" t="s">
        <v>268</v>
      </c>
      <c r="AQ570" s="12" t="s">
        <v>268</v>
      </c>
      <c r="AR570" s="28" t="str">
        <f t="shared" ca="1" si="43"/>
        <v/>
      </c>
      <c r="AS570" s="28" t="str">
        <f t="shared" ca="1" si="44"/>
        <v/>
      </c>
    </row>
    <row r="571" spans="2:45" ht="27.6" customHeight="1">
      <c r="B571">
        <f t="shared" ca="1" si="40"/>
        <v>0</v>
      </c>
      <c r="C571" t="s">
        <v>85</v>
      </c>
      <c r="D571" t="s">
        <v>92</v>
      </c>
      <c r="E571" t="s">
        <v>92</v>
      </c>
      <c r="F571" t="s">
        <v>92</v>
      </c>
      <c r="G571" t="s">
        <v>92</v>
      </c>
      <c r="H571" t="s">
        <v>92</v>
      </c>
      <c r="I571" s="12" t="s">
        <v>268</v>
      </c>
      <c r="J571" t="s">
        <v>278</v>
      </c>
      <c r="L571" t="s">
        <v>92</v>
      </c>
      <c r="N571" s="14">
        <v>1</v>
      </c>
      <c r="P571" s="12" t="s">
        <v>268</v>
      </c>
      <c r="W571" s="9" t="str">
        <f t="shared" ca="1" si="41"/>
        <v>18.5%</v>
      </c>
      <c r="X571" t="s">
        <v>321</v>
      </c>
      <c r="Y571" s="9" t="str">
        <f t="shared" ca="1" si="42"/>
        <v>Sin costo</v>
      </c>
      <c r="Z571" t="s">
        <v>327</v>
      </c>
      <c r="AA571" t="s">
        <v>329</v>
      </c>
      <c r="AB571" t="s">
        <v>334</v>
      </c>
      <c r="AC571" s="12" t="s">
        <v>339</v>
      </c>
      <c r="AE571" t="s">
        <v>268</v>
      </c>
      <c r="AG571" s="12" t="s">
        <v>268</v>
      </c>
      <c r="AH571" t="s">
        <v>92</v>
      </c>
      <c r="AI571" s="12" t="s">
        <v>268</v>
      </c>
      <c r="AJ571" t="s">
        <v>92</v>
      </c>
      <c r="AK571" t="s">
        <v>92</v>
      </c>
      <c r="AL571" t="s">
        <v>92</v>
      </c>
      <c r="AM571" s="12" t="s">
        <v>268</v>
      </c>
      <c r="AN571" s="12" t="s">
        <v>268</v>
      </c>
      <c r="AO571" s="12" t="s">
        <v>268</v>
      </c>
      <c r="AP571" s="12" t="s">
        <v>268</v>
      </c>
      <c r="AQ571" s="12" t="s">
        <v>268</v>
      </c>
      <c r="AR571" s="28" t="str">
        <f t="shared" ca="1" si="43"/>
        <v/>
      </c>
      <c r="AS571" s="28" t="str">
        <f t="shared" ca="1" si="44"/>
        <v/>
      </c>
    </row>
    <row r="572" spans="2:45" ht="27.6" customHeight="1">
      <c r="B572">
        <f t="shared" ca="1" si="40"/>
        <v>0</v>
      </c>
      <c r="C572" t="s">
        <v>85</v>
      </c>
      <c r="D572" t="s">
        <v>92</v>
      </c>
      <c r="E572" t="s">
        <v>92</v>
      </c>
      <c r="F572" t="s">
        <v>92</v>
      </c>
      <c r="G572" t="s">
        <v>92</v>
      </c>
      <c r="H572" t="s">
        <v>92</v>
      </c>
      <c r="I572" s="12" t="s">
        <v>268</v>
      </c>
      <c r="J572" t="s">
        <v>278</v>
      </c>
      <c r="L572" t="s">
        <v>92</v>
      </c>
      <c r="N572" s="14">
        <v>1</v>
      </c>
      <c r="P572" s="12" t="s">
        <v>268</v>
      </c>
      <c r="W572" s="9" t="str">
        <f t="shared" ca="1" si="41"/>
        <v>18.5%</v>
      </c>
      <c r="X572" t="s">
        <v>321</v>
      </c>
      <c r="Y572" s="9" t="str">
        <f t="shared" ca="1" si="42"/>
        <v>Sin costo</v>
      </c>
      <c r="Z572" t="s">
        <v>327</v>
      </c>
      <c r="AA572" t="s">
        <v>329</v>
      </c>
      <c r="AB572" t="s">
        <v>334</v>
      </c>
      <c r="AC572" s="12" t="s">
        <v>339</v>
      </c>
      <c r="AE572" t="s">
        <v>268</v>
      </c>
      <c r="AG572" s="12" t="s">
        <v>268</v>
      </c>
      <c r="AH572" t="s">
        <v>92</v>
      </c>
      <c r="AI572" s="12" t="s">
        <v>268</v>
      </c>
      <c r="AJ572" t="s">
        <v>92</v>
      </c>
      <c r="AK572" t="s">
        <v>92</v>
      </c>
      <c r="AL572" t="s">
        <v>92</v>
      </c>
      <c r="AM572" s="12" t="s">
        <v>268</v>
      </c>
      <c r="AN572" s="12" t="s">
        <v>268</v>
      </c>
      <c r="AO572" s="12" t="s">
        <v>268</v>
      </c>
      <c r="AP572" s="12" t="s">
        <v>268</v>
      </c>
      <c r="AQ572" s="12" t="s">
        <v>268</v>
      </c>
      <c r="AR572" s="28" t="str">
        <f t="shared" ca="1" si="43"/>
        <v/>
      </c>
      <c r="AS572" s="28" t="str">
        <f t="shared" ca="1" si="44"/>
        <v/>
      </c>
    </row>
    <row r="573" spans="2:45" ht="27.6" customHeight="1">
      <c r="B573">
        <f t="shared" ca="1" si="40"/>
        <v>0</v>
      </c>
      <c r="C573" t="s">
        <v>85</v>
      </c>
      <c r="D573" t="s">
        <v>92</v>
      </c>
      <c r="E573" t="s">
        <v>92</v>
      </c>
      <c r="F573" t="s">
        <v>92</v>
      </c>
      <c r="G573" t="s">
        <v>92</v>
      </c>
      <c r="H573" t="s">
        <v>92</v>
      </c>
      <c r="I573" s="12" t="s">
        <v>268</v>
      </c>
      <c r="J573" t="s">
        <v>278</v>
      </c>
      <c r="L573" t="s">
        <v>92</v>
      </c>
      <c r="N573" s="14">
        <v>1</v>
      </c>
      <c r="P573" s="12" t="s">
        <v>268</v>
      </c>
      <c r="W573" s="9" t="str">
        <f t="shared" ca="1" si="41"/>
        <v>18.5%</v>
      </c>
      <c r="X573" t="s">
        <v>321</v>
      </c>
      <c r="Y573" s="9" t="str">
        <f t="shared" ca="1" si="42"/>
        <v>Sin costo</v>
      </c>
      <c r="Z573" t="s">
        <v>327</v>
      </c>
      <c r="AA573" t="s">
        <v>329</v>
      </c>
      <c r="AB573" t="s">
        <v>334</v>
      </c>
      <c r="AC573" s="12" t="s">
        <v>339</v>
      </c>
      <c r="AE573" t="s">
        <v>268</v>
      </c>
      <c r="AG573" s="12" t="s">
        <v>268</v>
      </c>
      <c r="AH573" t="s">
        <v>92</v>
      </c>
      <c r="AI573" s="12" t="s">
        <v>268</v>
      </c>
      <c r="AJ573" t="s">
        <v>92</v>
      </c>
      <c r="AK573" t="s">
        <v>92</v>
      </c>
      <c r="AL573" t="s">
        <v>92</v>
      </c>
      <c r="AM573" s="12" t="s">
        <v>268</v>
      </c>
      <c r="AN573" s="12" t="s">
        <v>268</v>
      </c>
      <c r="AO573" s="12" t="s">
        <v>268</v>
      </c>
      <c r="AP573" s="12" t="s">
        <v>268</v>
      </c>
      <c r="AQ573" s="12" t="s">
        <v>268</v>
      </c>
      <c r="AR573" s="28" t="str">
        <f t="shared" ca="1" si="43"/>
        <v/>
      </c>
      <c r="AS573" s="28" t="str">
        <f t="shared" ca="1" si="44"/>
        <v/>
      </c>
    </row>
    <row r="574" spans="2:45" ht="27.6" customHeight="1">
      <c r="B574">
        <f t="shared" ca="1" si="40"/>
        <v>0</v>
      </c>
      <c r="C574" t="s">
        <v>85</v>
      </c>
      <c r="D574" t="s">
        <v>92</v>
      </c>
      <c r="E574" t="s">
        <v>92</v>
      </c>
      <c r="F574" t="s">
        <v>92</v>
      </c>
      <c r="G574" t="s">
        <v>92</v>
      </c>
      <c r="H574" t="s">
        <v>92</v>
      </c>
      <c r="I574" s="12" t="s">
        <v>268</v>
      </c>
      <c r="J574" t="s">
        <v>278</v>
      </c>
      <c r="L574" t="s">
        <v>92</v>
      </c>
      <c r="N574" s="14">
        <v>1</v>
      </c>
      <c r="P574" s="12" t="s">
        <v>268</v>
      </c>
      <c r="W574" s="9" t="str">
        <f t="shared" ca="1" si="41"/>
        <v>18.5%</v>
      </c>
      <c r="X574" t="s">
        <v>321</v>
      </c>
      <c r="Y574" s="9" t="str">
        <f t="shared" ca="1" si="42"/>
        <v>Sin costo</v>
      </c>
      <c r="Z574" t="s">
        <v>327</v>
      </c>
      <c r="AA574" t="s">
        <v>329</v>
      </c>
      <c r="AB574" t="s">
        <v>334</v>
      </c>
      <c r="AC574" s="12" t="s">
        <v>339</v>
      </c>
      <c r="AE574" t="s">
        <v>268</v>
      </c>
      <c r="AG574" s="12" t="s">
        <v>268</v>
      </c>
      <c r="AH574" t="s">
        <v>92</v>
      </c>
      <c r="AI574" s="12" t="s">
        <v>268</v>
      </c>
      <c r="AJ574" t="s">
        <v>92</v>
      </c>
      <c r="AK574" t="s">
        <v>92</v>
      </c>
      <c r="AL574" t="s">
        <v>92</v>
      </c>
      <c r="AM574" s="12" t="s">
        <v>268</v>
      </c>
      <c r="AN574" s="12" t="s">
        <v>268</v>
      </c>
      <c r="AO574" s="12" t="s">
        <v>268</v>
      </c>
      <c r="AP574" s="12" t="s">
        <v>268</v>
      </c>
      <c r="AQ574" s="12" t="s">
        <v>268</v>
      </c>
      <c r="AR574" s="28" t="str">
        <f t="shared" ca="1" si="43"/>
        <v/>
      </c>
      <c r="AS574" s="28" t="str">
        <f t="shared" ca="1" si="44"/>
        <v/>
      </c>
    </row>
    <row r="575" spans="2:45" ht="27.6" customHeight="1">
      <c r="B575">
        <f t="shared" ca="1" si="40"/>
        <v>0</v>
      </c>
      <c r="C575" t="s">
        <v>85</v>
      </c>
      <c r="D575" t="s">
        <v>92</v>
      </c>
      <c r="E575" t="s">
        <v>92</v>
      </c>
      <c r="F575" t="s">
        <v>92</v>
      </c>
      <c r="G575" t="s">
        <v>92</v>
      </c>
      <c r="H575" t="s">
        <v>92</v>
      </c>
      <c r="I575" s="12" t="s">
        <v>268</v>
      </c>
      <c r="J575" t="s">
        <v>278</v>
      </c>
      <c r="L575" t="s">
        <v>92</v>
      </c>
      <c r="N575" s="14">
        <v>1</v>
      </c>
      <c r="P575" s="12" t="s">
        <v>268</v>
      </c>
      <c r="W575" s="9" t="str">
        <f t="shared" ca="1" si="41"/>
        <v>18.5%</v>
      </c>
      <c r="X575" t="s">
        <v>321</v>
      </c>
      <c r="Y575" s="9" t="str">
        <f t="shared" ca="1" si="42"/>
        <v>Sin costo</v>
      </c>
      <c r="Z575" t="s">
        <v>327</v>
      </c>
      <c r="AA575" t="s">
        <v>329</v>
      </c>
      <c r="AB575" t="s">
        <v>334</v>
      </c>
      <c r="AC575" s="12" t="s">
        <v>339</v>
      </c>
      <c r="AE575" t="s">
        <v>268</v>
      </c>
      <c r="AG575" s="12" t="s">
        <v>268</v>
      </c>
      <c r="AH575" t="s">
        <v>92</v>
      </c>
      <c r="AI575" s="12" t="s">
        <v>268</v>
      </c>
      <c r="AJ575" t="s">
        <v>92</v>
      </c>
      <c r="AK575" t="s">
        <v>92</v>
      </c>
      <c r="AL575" t="s">
        <v>92</v>
      </c>
      <c r="AM575" s="12" t="s">
        <v>268</v>
      </c>
      <c r="AN575" s="12" t="s">
        <v>268</v>
      </c>
      <c r="AO575" s="12" t="s">
        <v>268</v>
      </c>
      <c r="AP575" s="12" t="s">
        <v>268</v>
      </c>
      <c r="AQ575" s="12" t="s">
        <v>268</v>
      </c>
      <c r="AR575" s="28" t="str">
        <f t="shared" ca="1" si="43"/>
        <v/>
      </c>
      <c r="AS575" s="28" t="str">
        <f t="shared" ca="1" si="44"/>
        <v/>
      </c>
    </row>
    <row r="576" spans="2:45" ht="27.6" customHeight="1">
      <c r="B576">
        <f t="shared" ca="1" si="40"/>
        <v>0</v>
      </c>
      <c r="C576" t="s">
        <v>85</v>
      </c>
      <c r="D576" t="s">
        <v>92</v>
      </c>
      <c r="E576" t="s">
        <v>92</v>
      </c>
      <c r="F576" t="s">
        <v>92</v>
      </c>
      <c r="G576" t="s">
        <v>92</v>
      </c>
      <c r="H576" t="s">
        <v>92</v>
      </c>
      <c r="I576" s="12" t="s">
        <v>268</v>
      </c>
      <c r="J576" t="s">
        <v>278</v>
      </c>
      <c r="L576" t="s">
        <v>92</v>
      </c>
      <c r="N576" s="14">
        <v>1</v>
      </c>
      <c r="P576" s="12" t="s">
        <v>268</v>
      </c>
      <c r="W576" s="9" t="str">
        <f t="shared" ca="1" si="41"/>
        <v>18.5%</v>
      </c>
      <c r="X576" t="s">
        <v>321</v>
      </c>
      <c r="Y576" s="9" t="str">
        <f t="shared" ca="1" si="42"/>
        <v>Sin costo</v>
      </c>
      <c r="Z576" t="s">
        <v>327</v>
      </c>
      <c r="AA576" t="s">
        <v>329</v>
      </c>
      <c r="AB576" t="s">
        <v>334</v>
      </c>
      <c r="AC576" s="12" t="s">
        <v>339</v>
      </c>
      <c r="AE576" t="s">
        <v>268</v>
      </c>
      <c r="AG576" s="12" t="s">
        <v>268</v>
      </c>
      <c r="AH576" t="s">
        <v>92</v>
      </c>
      <c r="AI576" s="12" t="s">
        <v>268</v>
      </c>
      <c r="AJ576" t="s">
        <v>92</v>
      </c>
      <c r="AK576" t="s">
        <v>92</v>
      </c>
      <c r="AL576" t="s">
        <v>92</v>
      </c>
      <c r="AM576" s="12" t="s">
        <v>268</v>
      </c>
      <c r="AN576" s="12" t="s">
        <v>268</v>
      </c>
      <c r="AO576" s="12" t="s">
        <v>268</v>
      </c>
      <c r="AP576" s="12" t="s">
        <v>268</v>
      </c>
      <c r="AQ576" s="12" t="s">
        <v>268</v>
      </c>
      <c r="AR576" s="28" t="str">
        <f t="shared" ca="1" si="43"/>
        <v/>
      </c>
      <c r="AS576" s="28" t="str">
        <f t="shared" ca="1" si="44"/>
        <v/>
      </c>
    </row>
    <row r="577" spans="2:45" ht="27.6" customHeight="1">
      <c r="B577">
        <f t="shared" ca="1" si="40"/>
        <v>0</v>
      </c>
      <c r="C577" t="s">
        <v>85</v>
      </c>
      <c r="D577" t="s">
        <v>92</v>
      </c>
      <c r="E577" t="s">
        <v>92</v>
      </c>
      <c r="F577" t="s">
        <v>92</v>
      </c>
      <c r="G577" t="s">
        <v>92</v>
      </c>
      <c r="H577" t="s">
        <v>92</v>
      </c>
      <c r="I577" s="12" t="s">
        <v>268</v>
      </c>
      <c r="J577" t="s">
        <v>278</v>
      </c>
      <c r="L577" t="s">
        <v>92</v>
      </c>
      <c r="N577" s="14">
        <v>1</v>
      </c>
      <c r="P577" s="12" t="s">
        <v>268</v>
      </c>
      <c r="W577" s="9" t="str">
        <f t="shared" ca="1" si="41"/>
        <v>18.5%</v>
      </c>
      <c r="X577" t="s">
        <v>321</v>
      </c>
      <c r="Y577" s="9" t="str">
        <f t="shared" ca="1" si="42"/>
        <v>Sin costo</v>
      </c>
      <c r="Z577" t="s">
        <v>327</v>
      </c>
      <c r="AA577" t="s">
        <v>329</v>
      </c>
      <c r="AB577" t="s">
        <v>334</v>
      </c>
      <c r="AC577" s="12" t="s">
        <v>339</v>
      </c>
      <c r="AE577" t="s">
        <v>268</v>
      </c>
      <c r="AG577" s="12" t="s">
        <v>268</v>
      </c>
      <c r="AH577" t="s">
        <v>92</v>
      </c>
      <c r="AI577" s="12" t="s">
        <v>268</v>
      </c>
      <c r="AJ577" t="s">
        <v>92</v>
      </c>
      <c r="AK577" t="s">
        <v>92</v>
      </c>
      <c r="AL577" t="s">
        <v>92</v>
      </c>
      <c r="AM577" s="12" t="s">
        <v>268</v>
      </c>
      <c r="AN577" s="12" t="s">
        <v>268</v>
      </c>
      <c r="AO577" s="12" t="s">
        <v>268</v>
      </c>
      <c r="AP577" s="12" t="s">
        <v>268</v>
      </c>
      <c r="AQ577" s="12" t="s">
        <v>268</v>
      </c>
      <c r="AR577" s="28" t="str">
        <f t="shared" ca="1" si="43"/>
        <v/>
      </c>
      <c r="AS577" s="28" t="str">
        <f t="shared" ca="1" si="44"/>
        <v/>
      </c>
    </row>
    <row r="578" spans="2:45" ht="27.6" customHeight="1">
      <c r="B578">
        <f t="shared" ca="1" si="40"/>
        <v>0</v>
      </c>
      <c r="C578" t="s">
        <v>85</v>
      </c>
      <c r="D578" t="s">
        <v>92</v>
      </c>
      <c r="E578" t="s">
        <v>92</v>
      </c>
      <c r="F578" t="s">
        <v>92</v>
      </c>
      <c r="G578" t="s">
        <v>92</v>
      </c>
      <c r="H578" t="s">
        <v>92</v>
      </c>
      <c r="I578" s="12" t="s">
        <v>268</v>
      </c>
      <c r="J578" t="s">
        <v>278</v>
      </c>
      <c r="L578" t="s">
        <v>92</v>
      </c>
      <c r="N578" s="14">
        <v>1</v>
      </c>
      <c r="P578" s="12" t="s">
        <v>268</v>
      </c>
      <c r="W578" s="9" t="str">
        <f t="shared" ca="1" si="41"/>
        <v>18.5%</v>
      </c>
      <c r="X578" t="s">
        <v>321</v>
      </c>
      <c r="Y578" s="9" t="str">
        <f t="shared" ca="1" si="42"/>
        <v>Sin costo</v>
      </c>
      <c r="Z578" t="s">
        <v>327</v>
      </c>
      <c r="AA578" t="s">
        <v>329</v>
      </c>
      <c r="AB578" t="s">
        <v>334</v>
      </c>
      <c r="AC578" s="12" t="s">
        <v>339</v>
      </c>
      <c r="AE578" t="s">
        <v>268</v>
      </c>
      <c r="AG578" s="12" t="s">
        <v>268</v>
      </c>
      <c r="AH578" t="s">
        <v>92</v>
      </c>
      <c r="AI578" s="12" t="s">
        <v>268</v>
      </c>
      <c r="AJ578" t="s">
        <v>92</v>
      </c>
      <c r="AK578" t="s">
        <v>92</v>
      </c>
      <c r="AL578" t="s">
        <v>92</v>
      </c>
      <c r="AM578" s="12" t="s">
        <v>268</v>
      </c>
      <c r="AN578" s="12" t="s">
        <v>268</v>
      </c>
      <c r="AO578" s="12" t="s">
        <v>268</v>
      </c>
      <c r="AP578" s="12" t="s">
        <v>268</v>
      </c>
      <c r="AQ578" s="12" t="s">
        <v>268</v>
      </c>
      <c r="AR578" s="28" t="str">
        <f t="shared" ca="1" si="43"/>
        <v/>
      </c>
      <c r="AS578" s="28" t="str">
        <f t="shared" ca="1" si="44"/>
        <v/>
      </c>
    </row>
    <row r="579" spans="2:45" ht="27.6" customHeight="1">
      <c r="B579">
        <f t="shared" ca="1" si="40"/>
        <v>0</v>
      </c>
      <c r="C579" t="s">
        <v>85</v>
      </c>
      <c r="D579" t="s">
        <v>92</v>
      </c>
      <c r="E579" t="s">
        <v>92</v>
      </c>
      <c r="F579" t="s">
        <v>92</v>
      </c>
      <c r="G579" t="s">
        <v>92</v>
      </c>
      <c r="H579" t="s">
        <v>92</v>
      </c>
      <c r="I579" s="12" t="s">
        <v>268</v>
      </c>
      <c r="J579" t="s">
        <v>278</v>
      </c>
      <c r="L579" t="s">
        <v>92</v>
      </c>
      <c r="N579" s="14">
        <v>1</v>
      </c>
      <c r="P579" s="12" t="s">
        <v>268</v>
      </c>
      <c r="W579" s="9" t="str">
        <f t="shared" ca="1" si="41"/>
        <v>18.5%</v>
      </c>
      <c r="X579" t="s">
        <v>321</v>
      </c>
      <c r="Y579" s="9" t="str">
        <f t="shared" ca="1" si="42"/>
        <v>Sin costo</v>
      </c>
      <c r="Z579" t="s">
        <v>327</v>
      </c>
      <c r="AA579" t="s">
        <v>329</v>
      </c>
      <c r="AB579" t="s">
        <v>334</v>
      </c>
      <c r="AC579" s="12" t="s">
        <v>339</v>
      </c>
      <c r="AE579" t="s">
        <v>268</v>
      </c>
      <c r="AG579" s="12" t="s">
        <v>268</v>
      </c>
      <c r="AH579" t="s">
        <v>92</v>
      </c>
      <c r="AI579" s="12" t="s">
        <v>268</v>
      </c>
      <c r="AJ579" t="s">
        <v>92</v>
      </c>
      <c r="AK579" t="s">
        <v>92</v>
      </c>
      <c r="AL579" t="s">
        <v>92</v>
      </c>
      <c r="AM579" s="12" t="s">
        <v>268</v>
      </c>
      <c r="AN579" s="12" t="s">
        <v>268</v>
      </c>
      <c r="AO579" s="12" t="s">
        <v>268</v>
      </c>
      <c r="AP579" s="12" t="s">
        <v>268</v>
      </c>
      <c r="AQ579" s="12" t="s">
        <v>268</v>
      </c>
      <c r="AR579" s="28" t="str">
        <f t="shared" ca="1" si="43"/>
        <v/>
      </c>
      <c r="AS579" s="28" t="str">
        <f t="shared" ca="1" si="44"/>
        <v/>
      </c>
    </row>
    <row r="580" spans="2:45" ht="27.6" customHeight="1">
      <c r="B580">
        <f t="shared" ca="1" si="40"/>
        <v>0</v>
      </c>
      <c r="C580" t="s">
        <v>85</v>
      </c>
      <c r="D580" t="s">
        <v>92</v>
      </c>
      <c r="E580" t="s">
        <v>92</v>
      </c>
      <c r="F580" t="s">
        <v>92</v>
      </c>
      <c r="G580" t="s">
        <v>92</v>
      </c>
      <c r="H580" t="s">
        <v>92</v>
      </c>
      <c r="I580" s="12" t="s">
        <v>268</v>
      </c>
      <c r="J580" t="s">
        <v>278</v>
      </c>
      <c r="L580" t="s">
        <v>92</v>
      </c>
      <c r="N580" s="14">
        <v>1</v>
      </c>
      <c r="P580" s="12" t="s">
        <v>268</v>
      </c>
      <c r="W580" s="9" t="str">
        <f t="shared" ca="1" si="41"/>
        <v>18.5%</v>
      </c>
      <c r="X580" t="s">
        <v>321</v>
      </c>
      <c r="Y580" s="9" t="str">
        <f t="shared" ca="1" si="42"/>
        <v>Sin costo</v>
      </c>
      <c r="Z580" t="s">
        <v>327</v>
      </c>
      <c r="AA580" t="s">
        <v>329</v>
      </c>
      <c r="AB580" t="s">
        <v>334</v>
      </c>
      <c r="AC580" s="12" t="s">
        <v>339</v>
      </c>
      <c r="AE580" t="s">
        <v>268</v>
      </c>
      <c r="AG580" s="12" t="s">
        <v>268</v>
      </c>
      <c r="AH580" t="s">
        <v>92</v>
      </c>
      <c r="AI580" s="12" t="s">
        <v>268</v>
      </c>
      <c r="AJ580" t="s">
        <v>92</v>
      </c>
      <c r="AK580" t="s">
        <v>92</v>
      </c>
      <c r="AL580" t="s">
        <v>92</v>
      </c>
      <c r="AM580" s="12" t="s">
        <v>268</v>
      </c>
      <c r="AN580" s="12" t="s">
        <v>268</v>
      </c>
      <c r="AO580" s="12" t="s">
        <v>268</v>
      </c>
      <c r="AP580" s="12" t="s">
        <v>268</v>
      </c>
      <c r="AQ580" s="12" t="s">
        <v>268</v>
      </c>
      <c r="AR580" s="28" t="str">
        <f t="shared" ca="1" si="43"/>
        <v/>
      </c>
      <c r="AS580" s="28" t="str">
        <f t="shared" ca="1" si="44"/>
        <v/>
      </c>
    </row>
    <row r="581" spans="2:45" ht="27.6" customHeight="1">
      <c r="B581">
        <f t="shared" ca="1" si="40"/>
        <v>0</v>
      </c>
      <c r="C581" t="s">
        <v>85</v>
      </c>
      <c r="D581" t="s">
        <v>92</v>
      </c>
      <c r="E581" t="s">
        <v>92</v>
      </c>
      <c r="F581" t="s">
        <v>92</v>
      </c>
      <c r="G581" t="s">
        <v>92</v>
      </c>
      <c r="H581" t="s">
        <v>92</v>
      </c>
      <c r="I581" s="12" t="s">
        <v>268</v>
      </c>
      <c r="J581" t="s">
        <v>278</v>
      </c>
      <c r="L581" t="s">
        <v>92</v>
      </c>
      <c r="N581" s="14">
        <v>1</v>
      </c>
      <c r="P581" s="12" t="s">
        <v>268</v>
      </c>
      <c r="W581" s="9" t="str">
        <f t="shared" ca="1" si="41"/>
        <v>18.5%</v>
      </c>
      <c r="X581" t="s">
        <v>321</v>
      </c>
      <c r="Y581" s="9" t="str">
        <f t="shared" ca="1" si="42"/>
        <v>Sin costo</v>
      </c>
      <c r="Z581" t="s">
        <v>327</v>
      </c>
      <c r="AA581" t="s">
        <v>329</v>
      </c>
      <c r="AB581" t="s">
        <v>334</v>
      </c>
      <c r="AC581" s="12" t="s">
        <v>339</v>
      </c>
      <c r="AE581" t="s">
        <v>268</v>
      </c>
      <c r="AG581" s="12" t="s">
        <v>268</v>
      </c>
      <c r="AH581" t="s">
        <v>92</v>
      </c>
      <c r="AI581" s="12" t="s">
        <v>268</v>
      </c>
      <c r="AJ581" t="s">
        <v>92</v>
      </c>
      <c r="AK581" t="s">
        <v>92</v>
      </c>
      <c r="AL581" t="s">
        <v>92</v>
      </c>
      <c r="AM581" s="12" t="s">
        <v>268</v>
      </c>
      <c r="AN581" s="12" t="s">
        <v>268</v>
      </c>
      <c r="AO581" s="12" t="s">
        <v>268</v>
      </c>
      <c r="AP581" s="12" t="s">
        <v>268</v>
      </c>
      <c r="AQ581" s="12" t="s">
        <v>268</v>
      </c>
      <c r="AR581" s="28" t="str">
        <f t="shared" ca="1" si="43"/>
        <v/>
      </c>
      <c r="AS581" s="28" t="str">
        <f t="shared" ca="1" si="44"/>
        <v/>
      </c>
    </row>
    <row r="582" spans="2:45" ht="27.6" customHeight="1">
      <c r="B582">
        <f t="shared" ca="1" si="40"/>
        <v>0</v>
      </c>
      <c r="C582" t="s">
        <v>85</v>
      </c>
      <c r="D582" t="s">
        <v>92</v>
      </c>
      <c r="E582" t="s">
        <v>92</v>
      </c>
      <c r="F582" t="s">
        <v>92</v>
      </c>
      <c r="G582" t="s">
        <v>92</v>
      </c>
      <c r="H582" t="s">
        <v>92</v>
      </c>
      <c r="I582" s="12" t="s">
        <v>268</v>
      </c>
      <c r="J582" t="s">
        <v>278</v>
      </c>
      <c r="L582" t="s">
        <v>92</v>
      </c>
      <c r="N582" s="14">
        <v>1</v>
      </c>
      <c r="P582" s="12" t="s">
        <v>268</v>
      </c>
      <c r="W582" s="9" t="str">
        <f t="shared" ca="1" si="41"/>
        <v>18.5%</v>
      </c>
      <c r="X582" t="s">
        <v>321</v>
      </c>
      <c r="Y582" s="9" t="str">
        <f t="shared" ca="1" si="42"/>
        <v>Sin costo</v>
      </c>
      <c r="Z582" t="s">
        <v>327</v>
      </c>
      <c r="AA582" t="s">
        <v>329</v>
      </c>
      <c r="AB582" t="s">
        <v>334</v>
      </c>
      <c r="AC582" s="12" t="s">
        <v>339</v>
      </c>
      <c r="AE582" t="s">
        <v>268</v>
      </c>
      <c r="AG582" s="12" t="s">
        <v>268</v>
      </c>
      <c r="AH582" t="s">
        <v>92</v>
      </c>
      <c r="AI582" s="12" t="s">
        <v>268</v>
      </c>
      <c r="AJ582" t="s">
        <v>92</v>
      </c>
      <c r="AK582" t="s">
        <v>92</v>
      </c>
      <c r="AL582" t="s">
        <v>92</v>
      </c>
      <c r="AM582" s="12" t="s">
        <v>268</v>
      </c>
      <c r="AN582" s="12" t="s">
        <v>268</v>
      </c>
      <c r="AO582" s="12" t="s">
        <v>268</v>
      </c>
      <c r="AP582" s="12" t="s">
        <v>268</v>
      </c>
      <c r="AQ582" s="12" t="s">
        <v>268</v>
      </c>
      <c r="AR582" s="28" t="str">
        <f t="shared" ca="1" si="43"/>
        <v/>
      </c>
      <c r="AS582" s="28" t="str">
        <f t="shared" ca="1" si="44"/>
        <v/>
      </c>
    </row>
    <row r="583" spans="2:45" ht="27.6" customHeight="1">
      <c r="B583">
        <f t="shared" ref="B583:B646" ca="1" si="45">LEN(INDIRECT(ADDRESS(ROW() + (0),COLUMN() + (-1))))</f>
        <v>0</v>
      </c>
      <c r="C583" t="s">
        <v>85</v>
      </c>
      <c r="D583" t="s">
        <v>92</v>
      </c>
      <c r="E583" t="s">
        <v>92</v>
      </c>
      <c r="F583" t="s">
        <v>92</v>
      </c>
      <c r="G583" t="s">
        <v>92</v>
      </c>
      <c r="H583" t="s">
        <v>92</v>
      </c>
      <c r="I583" s="12" t="s">
        <v>268</v>
      </c>
      <c r="J583" t="s">
        <v>278</v>
      </c>
      <c r="L583" t="s">
        <v>92</v>
      </c>
      <c r="N583" s="14">
        <v>1</v>
      </c>
      <c r="P583" s="12" t="s">
        <v>268</v>
      </c>
      <c r="W583" s="9" t="str">
        <f t="shared" ref="W583:W646" ca="1" si="46">IF(INDIRECT(ADDRESS(ROW() + (0),COLUMN() + (1)))="Cuotas extra", IF(("21.5%")="", "-", "21.5%"), IF(INDIRECT(ADDRESS(ROW() + (0),COLUMN() + (1)))="Cuotas", IF(("18.5%")="", "-", "18.5%"), "-"))</f>
        <v>18.5%</v>
      </c>
      <c r="X583" t="s">
        <v>321</v>
      </c>
      <c r="Y583" s="9" t="str">
        <f t="shared" ref="Y583:Y646" ca="1" si="47">IF(INDIRECT(ADDRESS(ROW() + (0),COLUMN() + (-1)))="Cuotas extra", IF(("")="", "Sin costo", ""), IF(INDIRECT(ADDRESS(ROW() + (0),COLUMN() + (-1)))="Cuotas", IF(("")="", "Sin costo", ""), "-"))</f>
        <v>Sin costo</v>
      </c>
      <c r="Z583" t="s">
        <v>327</v>
      </c>
      <c r="AA583" t="s">
        <v>329</v>
      </c>
      <c r="AB583" t="s">
        <v>334</v>
      </c>
      <c r="AC583" s="12" t="s">
        <v>339</v>
      </c>
      <c r="AE583" t="s">
        <v>268</v>
      </c>
      <c r="AG583" s="12" t="s">
        <v>268</v>
      </c>
      <c r="AH583" t="s">
        <v>92</v>
      </c>
      <c r="AI583" s="12" t="s">
        <v>268</v>
      </c>
      <c r="AJ583" t="s">
        <v>92</v>
      </c>
      <c r="AK583" t="s">
        <v>92</v>
      </c>
      <c r="AL583" t="s">
        <v>92</v>
      </c>
      <c r="AM583" s="12" t="s">
        <v>268</v>
      </c>
      <c r="AN583" s="12" t="s">
        <v>268</v>
      </c>
      <c r="AO583" s="12" t="s">
        <v>268</v>
      </c>
      <c r="AP583" s="12" t="s">
        <v>268</v>
      </c>
      <c r="AQ583" s="12" t="s">
        <v>268</v>
      </c>
      <c r="AR583" s="28" t="str">
        <f t="shared" ref="AR583:AR646" ca="1" si="4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583" s="28" t="str">
        <f t="shared" ref="AS583:AS646" ca="1" si="49">IF(TRIM(INDIRECT("A"&amp;ROW())) &lt;&gt; "",FALSE,"")</f>
        <v/>
      </c>
    </row>
    <row r="584" spans="2:45" ht="27.6" customHeight="1">
      <c r="B584">
        <f t="shared" ca="1" si="45"/>
        <v>0</v>
      </c>
      <c r="C584" t="s">
        <v>85</v>
      </c>
      <c r="D584" t="s">
        <v>92</v>
      </c>
      <c r="E584" t="s">
        <v>92</v>
      </c>
      <c r="F584" t="s">
        <v>92</v>
      </c>
      <c r="G584" t="s">
        <v>92</v>
      </c>
      <c r="H584" t="s">
        <v>92</v>
      </c>
      <c r="I584" s="12" t="s">
        <v>268</v>
      </c>
      <c r="J584" t="s">
        <v>278</v>
      </c>
      <c r="L584" t="s">
        <v>92</v>
      </c>
      <c r="N584" s="14">
        <v>1</v>
      </c>
      <c r="P584" s="12" t="s">
        <v>268</v>
      </c>
      <c r="W584" s="9" t="str">
        <f t="shared" ca="1" si="46"/>
        <v>18.5%</v>
      </c>
      <c r="X584" t="s">
        <v>321</v>
      </c>
      <c r="Y584" s="9" t="str">
        <f t="shared" ca="1" si="47"/>
        <v>Sin costo</v>
      </c>
      <c r="Z584" t="s">
        <v>327</v>
      </c>
      <c r="AA584" t="s">
        <v>329</v>
      </c>
      <c r="AB584" t="s">
        <v>334</v>
      </c>
      <c r="AC584" s="12" t="s">
        <v>339</v>
      </c>
      <c r="AE584" t="s">
        <v>268</v>
      </c>
      <c r="AG584" s="12" t="s">
        <v>268</v>
      </c>
      <c r="AH584" t="s">
        <v>92</v>
      </c>
      <c r="AI584" s="12" t="s">
        <v>268</v>
      </c>
      <c r="AJ584" t="s">
        <v>92</v>
      </c>
      <c r="AK584" t="s">
        <v>92</v>
      </c>
      <c r="AL584" t="s">
        <v>92</v>
      </c>
      <c r="AM584" s="12" t="s">
        <v>268</v>
      </c>
      <c r="AN584" s="12" t="s">
        <v>268</v>
      </c>
      <c r="AO584" s="12" t="s">
        <v>268</v>
      </c>
      <c r="AP584" s="12" t="s">
        <v>268</v>
      </c>
      <c r="AQ584" s="12" t="s">
        <v>268</v>
      </c>
      <c r="AR584" s="28" t="str">
        <f t="shared" ca="1" si="48"/>
        <v/>
      </c>
      <c r="AS584" s="28" t="str">
        <f t="shared" ca="1" si="49"/>
        <v/>
      </c>
    </row>
    <row r="585" spans="2:45" ht="27.6" customHeight="1">
      <c r="B585">
        <f t="shared" ca="1" si="45"/>
        <v>0</v>
      </c>
      <c r="C585" t="s">
        <v>85</v>
      </c>
      <c r="D585" t="s">
        <v>92</v>
      </c>
      <c r="E585" t="s">
        <v>92</v>
      </c>
      <c r="F585" t="s">
        <v>92</v>
      </c>
      <c r="G585" t="s">
        <v>92</v>
      </c>
      <c r="H585" t="s">
        <v>92</v>
      </c>
      <c r="I585" s="12" t="s">
        <v>268</v>
      </c>
      <c r="J585" t="s">
        <v>278</v>
      </c>
      <c r="L585" t="s">
        <v>92</v>
      </c>
      <c r="N585" s="14">
        <v>1</v>
      </c>
      <c r="P585" s="12" t="s">
        <v>268</v>
      </c>
      <c r="W585" s="9" t="str">
        <f t="shared" ca="1" si="46"/>
        <v>18.5%</v>
      </c>
      <c r="X585" t="s">
        <v>321</v>
      </c>
      <c r="Y585" s="9" t="str">
        <f t="shared" ca="1" si="47"/>
        <v>Sin costo</v>
      </c>
      <c r="Z585" t="s">
        <v>327</v>
      </c>
      <c r="AA585" t="s">
        <v>329</v>
      </c>
      <c r="AB585" t="s">
        <v>334</v>
      </c>
      <c r="AC585" s="12" t="s">
        <v>339</v>
      </c>
      <c r="AE585" t="s">
        <v>268</v>
      </c>
      <c r="AG585" s="12" t="s">
        <v>268</v>
      </c>
      <c r="AH585" t="s">
        <v>92</v>
      </c>
      <c r="AI585" s="12" t="s">
        <v>268</v>
      </c>
      <c r="AJ585" t="s">
        <v>92</v>
      </c>
      <c r="AK585" t="s">
        <v>92</v>
      </c>
      <c r="AL585" t="s">
        <v>92</v>
      </c>
      <c r="AM585" s="12" t="s">
        <v>268</v>
      </c>
      <c r="AN585" s="12" t="s">
        <v>268</v>
      </c>
      <c r="AO585" s="12" t="s">
        <v>268</v>
      </c>
      <c r="AP585" s="12" t="s">
        <v>268</v>
      </c>
      <c r="AQ585" s="12" t="s">
        <v>268</v>
      </c>
      <c r="AR585" s="28" t="str">
        <f t="shared" ca="1" si="48"/>
        <v/>
      </c>
      <c r="AS585" s="28" t="str">
        <f t="shared" ca="1" si="49"/>
        <v/>
      </c>
    </row>
    <row r="586" spans="2:45" ht="27.6" customHeight="1">
      <c r="B586">
        <f t="shared" ca="1" si="45"/>
        <v>0</v>
      </c>
      <c r="C586" t="s">
        <v>85</v>
      </c>
      <c r="D586" t="s">
        <v>92</v>
      </c>
      <c r="E586" t="s">
        <v>92</v>
      </c>
      <c r="F586" t="s">
        <v>92</v>
      </c>
      <c r="G586" t="s">
        <v>92</v>
      </c>
      <c r="H586" t="s">
        <v>92</v>
      </c>
      <c r="I586" s="12" t="s">
        <v>268</v>
      </c>
      <c r="J586" t="s">
        <v>278</v>
      </c>
      <c r="L586" t="s">
        <v>92</v>
      </c>
      <c r="N586" s="14">
        <v>1</v>
      </c>
      <c r="P586" s="12" t="s">
        <v>268</v>
      </c>
      <c r="W586" s="9" t="str">
        <f t="shared" ca="1" si="46"/>
        <v>18.5%</v>
      </c>
      <c r="X586" t="s">
        <v>321</v>
      </c>
      <c r="Y586" s="9" t="str">
        <f t="shared" ca="1" si="47"/>
        <v>Sin costo</v>
      </c>
      <c r="Z586" t="s">
        <v>327</v>
      </c>
      <c r="AA586" t="s">
        <v>329</v>
      </c>
      <c r="AB586" t="s">
        <v>334</v>
      </c>
      <c r="AC586" s="12" t="s">
        <v>339</v>
      </c>
      <c r="AE586" t="s">
        <v>268</v>
      </c>
      <c r="AG586" s="12" t="s">
        <v>268</v>
      </c>
      <c r="AH586" t="s">
        <v>92</v>
      </c>
      <c r="AI586" s="12" t="s">
        <v>268</v>
      </c>
      <c r="AJ586" t="s">
        <v>92</v>
      </c>
      <c r="AK586" t="s">
        <v>92</v>
      </c>
      <c r="AL586" t="s">
        <v>92</v>
      </c>
      <c r="AM586" s="12" t="s">
        <v>268</v>
      </c>
      <c r="AN586" s="12" t="s">
        <v>268</v>
      </c>
      <c r="AO586" s="12" t="s">
        <v>268</v>
      </c>
      <c r="AP586" s="12" t="s">
        <v>268</v>
      </c>
      <c r="AQ586" s="12" t="s">
        <v>268</v>
      </c>
      <c r="AR586" s="28" t="str">
        <f t="shared" ca="1" si="48"/>
        <v/>
      </c>
      <c r="AS586" s="28" t="str">
        <f t="shared" ca="1" si="49"/>
        <v/>
      </c>
    </row>
    <row r="587" spans="2:45" ht="27.6" customHeight="1">
      <c r="B587">
        <f t="shared" ca="1" si="45"/>
        <v>0</v>
      </c>
      <c r="C587" t="s">
        <v>85</v>
      </c>
      <c r="D587" t="s">
        <v>92</v>
      </c>
      <c r="E587" t="s">
        <v>92</v>
      </c>
      <c r="F587" t="s">
        <v>92</v>
      </c>
      <c r="G587" t="s">
        <v>92</v>
      </c>
      <c r="H587" t="s">
        <v>92</v>
      </c>
      <c r="I587" s="12" t="s">
        <v>268</v>
      </c>
      <c r="J587" t="s">
        <v>278</v>
      </c>
      <c r="L587" t="s">
        <v>92</v>
      </c>
      <c r="N587" s="14">
        <v>1</v>
      </c>
      <c r="P587" s="12" t="s">
        <v>268</v>
      </c>
      <c r="W587" s="9" t="str">
        <f t="shared" ca="1" si="46"/>
        <v>18.5%</v>
      </c>
      <c r="X587" t="s">
        <v>321</v>
      </c>
      <c r="Y587" s="9" t="str">
        <f t="shared" ca="1" si="47"/>
        <v>Sin costo</v>
      </c>
      <c r="Z587" t="s">
        <v>327</v>
      </c>
      <c r="AA587" t="s">
        <v>329</v>
      </c>
      <c r="AB587" t="s">
        <v>334</v>
      </c>
      <c r="AC587" s="12" t="s">
        <v>339</v>
      </c>
      <c r="AE587" t="s">
        <v>268</v>
      </c>
      <c r="AG587" s="12" t="s">
        <v>268</v>
      </c>
      <c r="AH587" t="s">
        <v>92</v>
      </c>
      <c r="AI587" s="12" t="s">
        <v>268</v>
      </c>
      <c r="AJ587" t="s">
        <v>92</v>
      </c>
      <c r="AK587" t="s">
        <v>92</v>
      </c>
      <c r="AL587" t="s">
        <v>92</v>
      </c>
      <c r="AM587" s="12" t="s">
        <v>268</v>
      </c>
      <c r="AN587" s="12" t="s">
        <v>268</v>
      </c>
      <c r="AO587" s="12" t="s">
        <v>268</v>
      </c>
      <c r="AP587" s="12" t="s">
        <v>268</v>
      </c>
      <c r="AQ587" s="12" t="s">
        <v>268</v>
      </c>
      <c r="AR587" s="28" t="str">
        <f t="shared" ca="1" si="48"/>
        <v/>
      </c>
      <c r="AS587" s="28" t="str">
        <f t="shared" ca="1" si="49"/>
        <v/>
      </c>
    </row>
    <row r="588" spans="2:45" ht="27.6" customHeight="1">
      <c r="B588">
        <f t="shared" ca="1" si="45"/>
        <v>0</v>
      </c>
      <c r="C588" t="s">
        <v>85</v>
      </c>
      <c r="D588" t="s">
        <v>92</v>
      </c>
      <c r="E588" t="s">
        <v>92</v>
      </c>
      <c r="F588" t="s">
        <v>92</v>
      </c>
      <c r="G588" t="s">
        <v>92</v>
      </c>
      <c r="H588" t="s">
        <v>92</v>
      </c>
      <c r="I588" s="12" t="s">
        <v>268</v>
      </c>
      <c r="J588" t="s">
        <v>278</v>
      </c>
      <c r="L588" t="s">
        <v>92</v>
      </c>
      <c r="N588" s="14">
        <v>1</v>
      </c>
      <c r="P588" s="12" t="s">
        <v>268</v>
      </c>
      <c r="W588" s="9" t="str">
        <f t="shared" ca="1" si="46"/>
        <v>18.5%</v>
      </c>
      <c r="X588" t="s">
        <v>321</v>
      </c>
      <c r="Y588" s="9" t="str">
        <f t="shared" ca="1" si="47"/>
        <v>Sin costo</v>
      </c>
      <c r="Z588" t="s">
        <v>327</v>
      </c>
      <c r="AA588" t="s">
        <v>329</v>
      </c>
      <c r="AB588" t="s">
        <v>334</v>
      </c>
      <c r="AC588" s="12" t="s">
        <v>339</v>
      </c>
      <c r="AE588" t="s">
        <v>268</v>
      </c>
      <c r="AG588" s="12" t="s">
        <v>268</v>
      </c>
      <c r="AH588" t="s">
        <v>92</v>
      </c>
      <c r="AI588" s="12" t="s">
        <v>268</v>
      </c>
      <c r="AJ588" t="s">
        <v>92</v>
      </c>
      <c r="AK588" t="s">
        <v>92</v>
      </c>
      <c r="AL588" t="s">
        <v>92</v>
      </c>
      <c r="AM588" s="12" t="s">
        <v>268</v>
      </c>
      <c r="AN588" s="12" t="s">
        <v>268</v>
      </c>
      <c r="AO588" s="12" t="s">
        <v>268</v>
      </c>
      <c r="AP588" s="12" t="s">
        <v>268</v>
      </c>
      <c r="AQ588" s="12" t="s">
        <v>268</v>
      </c>
      <c r="AR588" s="28" t="str">
        <f t="shared" ca="1" si="48"/>
        <v/>
      </c>
      <c r="AS588" s="28" t="str">
        <f t="shared" ca="1" si="49"/>
        <v/>
      </c>
    </row>
    <row r="589" spans="2:45" ht="27.6" customHeight="1">
      <c r="B589">
        <f t="shared" ca="1" si="45"/>
        <v>0</v>
      </c>
      <c r="C589" t="s">
        <v>85</v>
      </c>
      <c r="D589" t="s">
        <v>92</v>
      </c>
      <c r="E589" t="s">
        <v>92</v>
      </c>
      <c r="F589" t="s">
        <v>92</v>
      </c>
      <c r="G589" t="s">
        <v>92</v>
      </c>
      <c r="H589" t="s">
        <v>92</v>
      </c>
      <c r="I589" s="12" t="s">
        <v>268</v>
      </c>
      <c r="J589" t="s">
        <v>278</v>
      </c>
      <c r="L589" t="s">
        <v>92</v>
      </c>
      <c r="N589" s="14">
        <v>1</v>
      </c>
      <c r="P589" s="12" t="s">
        <v>268</v>
      </c>
      <c r="W589" s="9" t="str">
        <f t="shared" ca="1" si="46"/>
        <v>18.5%</v>
      </c>
      <c r="X589" t="s">
        <v>321</v>
      </c>
      <c r="Y589" s="9" t="str">
        <f t="shared" ca="1" si="47"/>
        <v>Sin costo</v>
      </c>
      <c r="Z589" t="s">
        <v>327</v>
      </c>
      <c r="AA589" t="s">
        <v>329</v>
      </c>
      <c r="AB589" t="s">
        <v>334</v>
      </c>
      <c r="AC589" s="12" t="s">
        <v>339</v>
      </c>
      <c r="AE589" t="s">
        <v>268</v>
      </c>
      <c r="AG589" s="12" t="s">
        <v>268</v>
      </c>
      <c r="AH589" t="s">
        <v>92</v>
      </c>
      <c r="AI589" s="12" t="s">
        <v>268</v>
      </c>
      <c r="AJ589" t="s">
        <v>92</v>
      </c>
      <c r="AK589" t="s">
        <v>92</v>
      </c>
      <c r="AL589" t="s">
        <v>92</v>
      </c>
      <c r="AM589" s="12" t="s">
        <v>268</v>
      </c>
      <c r="AN589" s="12" t="s">
        <v>268</v>
      </c>
      <c r="AO589" s="12" t="s">
        <v>268</v>
      </c>
      <c r="AP589" s="12" t="s">
        <v>268</v>
      </c>
      <c r="AQ589" s="12" t="s">
        <v>268</v>
      </c>
      <c r="AR589" s="28" t="str">
        <f t="shared" ca="1" si="48"/>
        <v/>
      </c>
      <c r="AS589" s="28" t="str">
        <f t="shared" ca="1" si="49"/>
        <v/>
      </c>
    </row>
    <row r="590" spans="2:45" ht="27.6" customHeight="1">
      <c r="B590">
        <f t="shared" ca="1" si="45"/>
        <v>0</v>
      </c>
      <c r="C590" t="s">
        <v>85</v>
      </c>
      <c r="D590" t="s">
        <v>92</v>
      </c>
      <c r="E590" t="s">
        <v>92</v>
      </c>
      <c r="F590" t="s">
        <v>92</v>
      </c>
      <c r="G590" t="s">
        <v>92</v>
      </c>
      <c r="H590" t="s">
        <v>92</v>
      </c>
      <c r="I590" s="12" t="s">
        <v>268</v>
      </c>
      <c r="J590" t="s">
        <v>278</v>
      </c>
      <c r="L590" t="s">
        <v>92</v>
      </c>
      <c r="N590" s="14">
        <v>1</v>
      </c>
      <c r="P590" s="12" t="s">
        <v>268</v>
      </c>
      <c r="W590" s="9" t="str">
        <f t="shared" ca="1" si="46"/>
        <v>18.5%</v>
      </c>
      <c r="X590" t="s">
        <v>321</v>
      </c>
      <c r="Y590" s="9" t="str">
        <f t="shared" ca="1" si="47"/>
        <v>Sin costo</v>
      </c>
      <c r="Z590" t="s">
        <v>327</v>
      </c>
      <c r="AA590" t="s">
        <v>329</v>
      </c>
      <c r="AB590" t="s">
        <v>334</v>
      </c>
      <c r="AC590" s="12" t="s">
        <v>339</v>
      </c>
      <c r="AE590" t="s">
        <v>268</v>
      </c>
      <c r="AG590" s="12" t="s">
        <v>268</v>
      </c>
      <c r="AH590" t="s">
        <v>92</v>
      </c>
      <c r="AI590" s="12" t="s">
        <v>268</v>
      </c>
      <c r="AJ590" t="s">
        <v>92</v>
      </c>
      <c r="AK590" t="s">
        <v>92</v>
      </c>
      <c r="AL590" t="s">
        <v>92</v>
      </c>
      <c r="AM590" s="12" t="s">
        <v>268</v>
      </c>
      <c r="AN590" s="12" t="s">
        <v>268</v>
      </c>
      <c r="AO590" s="12" t="s">
        <v>268</v>
      </c>
      <c r="AP590" s="12" t="s">
        <v>268</v>
      </c>
      <c r="AQ590" s="12" t="s">
        <v>268</v>
      </c>
      <c r="AR590" s="28" t="str">
        <f t="shared" ca="1" si="48"/>
        <v/>
      </c>
      <c r="AS590" s="28" t="str">
        <f t="shared" ca="1" si="49"/>
        <v/>
      </c>
    </row>
    <row r="591" spans="2:45" ht="27.6" customHeight="1">
      <c r="B591">
        <f t="shared" ca="1" si="45"/>
        <v>0</v>
      </c>
      <c r="C591" t="s">
        <v>85</v>
      </c>
      <c r="D591" t="s">
        <v>92</v>
      </c>
      <c r="E591" t="s">
        <v>92</v>
      </c>
      <c r="F591" t="s">
        <v>92</v>
      </c>
      <c r="G591" t="s">
        <v>92</v>
      </c>
      <c r="H591" t="s">
        <v>92</v>
      </c>
      <c r="I591" s="12" t="s">
        <v>268</v>
      </c>
      <c r="J591" t="s">
        <v>278</v>
      </c>
      <c r="L591" t="s">
        <v>92</v>
      </c>
      <c r="N591" s="14">
        <v>1</v>
      </c>
      <c r="P591" s="12" t="s">
        <v>268</v>
      </c>
      <c r="W591" s="9" t="str">
        <f t="shared" ca="1" si="46"/>
        <v>18.5%</v>
      </c>
      <c r="X591" t="s">
        <v>321</v>
      </c>
      <c r="Y591" s="9" t="str">
        <f t="shared" ca="1" si="47"/>
        <v>Sin costo</v>
      </c>
      <c r="Z591" t="s">
        <v>327</v>
      </c>
      <c r="AA591" t="s">
        <v>329</v>
      </c>
      <c r="AB591" t="s">
        <v>334</v>
      </c>
      <c r="AC591" s="12" t="s">
        <v>339</v>
      </c>
      <c r="AE591" t="s">
        <v>268</v>
      </c>
      <c r="AG591" s="12" t="s">
        <v>268</v>
      </c>
      <c r="AH591" t="s">
        <v>92</v>
      </c>
      <c r="AI591" s="12" t="s">
        <v>268</v>
      </c>
      <c r="AJ591" t="s">
        <v>92</v>
      </c>
      <c r="AK591" t="s">
        <v>92</v>
      </c>
      <c r="AL591" t="s">
        <v>92</v>
      </c>
      <c r="AM591" s="12" t="s">
        <v>268</v>
      </c>
      <c r="AN591" s="12" t="s">
        <v>268</v>
      </c>
      <c r="AO591" s="12" t="s">
        <v>268</v>
      </c>
      <c r="AP591" s="12" t="s">
        <v>268</v>
      </c>
      <c r="AQ591" s="12" t="s">
        <v>268</v>
      </c>
      <c r="AR591" s="28" t="str">
        <f t="shared" ca="1" si="48"/>
        <v/>
      </c>
      <c r="AS591" s="28" t="str">
        <f t="shared" ca="1" si="49"/>
        <v/>
      </c>
    </row>
    <row r="592" spans="2:45" ht="27.6" customHeight="1">
      <c r="B592">
        <f t="shared" ca="1" si="45"/>
        <v>0</v>
      </c>
      <c r="C592" t="s">
        <v>85</v>
      </c>
      <c r="D592" t="s">
        <v>92</v>
      </c>
      <c r="E592" t="s">
        <v>92</v>
      </c>
      <c r="F592" t="s">
        <v>92</v>
      </c>
      <c r="G592" t="s">
        <v>92</v>
      </c>
      <c r="H592" t="s">
        <v>92</v>
      </c>
      <c r="I592" s="12" t="s">
        <v>268</v>
      </c>
      <c r="J592" t="s">
        <v>278</v>
      </c>
      <c r="L592" t="s">
        <v>92</v>
      </c>
      <c r="N592" s="14">
        <v>1</v>
      </c>
      <c r="P592" s="12" t="s">
        <v>268</v>
      </c>
      <c r="W592" s="9" t="str">
        <f t="shared" ca="1" si="46"/>
        <v>18.5%</v>
      </c>
      <c r="X592" t="s">
        <v>321</v>
      </c>
      <c r="Y592" s="9" t="str">
        <f t="shared" ca="1" si="47"/>
        <v>Sin costo</v>
      </c>
      <c r="Z592" t="s">
        <v>327</v>
      </c>
      <c r="AA592" t="s">
        <v>329</v>
      </c>
      <c r="AB592" t="s">
        <v>334</v>
      </c>
      <c r="AC592" s="12" t="s">
        <v>339</v>
      </c>
      <c r="AE592" t="s">
        <v>268</v>
      </c>
      <c r="AG592" s="12" t="s">
        <v>268</v>
      </c>
      <c r="AH592" t="s">
        <v>92</v>
      </c>
      <c r="AI592" s="12" t="s">
        <v>268</v>
      </c>
      <c r="AJ592" t="s">
        <v>92</v>
      </c>
      <c r="AK592" t="s">
        <v>92</v>
      </c>
      <c r="AL592" t="s">
        <v>92</v>
      </c>
      <c r="AM592" s="12" t="s">
        <v>268</v>
      </c>
      <c r="AN592" s="12" t="s">
        <v>268</v>
      </c>
      <c r="AO592" s="12" t="s">
        <v>268</v>
      </c>
      <c r="AP592" s="12" t="s">
        <v>268</v>
      </c>
      <c r="AQ592" s="12" t="s">
        <v>268</v>
      </c>
      <c r="AR592" s="28" t="str">
        <f t="shared" ca="1" si="48"/>
        <v/>
      </c>
      <c r="AS592" s="28" t="str">
        <f t="shared" ca="1" si="49"/>
        <v/>
      </c>
    </row>
    <row r="593" spans="2:45" ht="27.6" customHeight="1">
      <c r="B593">
        <f t="shared" ca="1" si="45"/>
        <v>0</v>
      </c>
      <c r="C593" t="s">
        <v>85</v>
      </c>
      <c r="D593" t="s">
        <v>92</v>
      </c>
      <c r="E593" t="s">
        <v>92</v>
      </c>
      <c r="F593" t="s">
        <v>92</v>
      </c>
      <c r="G593" t="s">
        <v>92</v>
      </c>
      <c r="H593" t="s">
        <v>92</v>
      </c>
      <c r="I593" s="12" t="s">
        <v>268</v>
      </c>
      <c r="J593" t="s">
        <v>278</v>
      </c>
      <c r="L593" t="s">
        <v>92</v>
      </c>
      <c r="N593" s="14">
        <v>1</v>
      </c>
      <c r="P593" s="12" t="s">
        <v>268</v>
      </c>
      <c r="W593" s="9" t="str">
        <f t="shared" ca="1" si="46"/>
        <v>18.5%</v>
      </c>
      <c r="X593" t="s">
        <v>321</v>
      </c>
      <c r="Y593" s="9" t="str">
        <f t="shared" ca="1" si="47"/>
        <v>Sin costo</v>
      </c>
      <c r="Z593" t="s">
        <v>327</v>
      </c>
      <c r="AA593" t="s">
        <v>329</v>
      </c>
      <c r="AB593" t="s">
        <v>334</v>
      </c>
      <c r="AC593" s="12" t="s">
        <v>339</v>
      </c>
      <c r="AE593" t="s">
        <v>268</v>
      </c>
      <c r="AG593" s="12" t="s">
        <v>268</v>
      </c>
      <c r="AH593" t="s">
        <v>92</v>
      </c>
      <c r="AI593" s="12" t="s">
        <v>268</v>
      </c>
      <c r="AJ593" t="s">
        <v>92</v>
      </c>
      <c r="AK593" t="s">
        <v>92</v>
      </c>
      <c r="AL593" t="s">
        <v>92</v>
      </c>
      <c r="AM593" s="12" t="s">
        <v>268</v>
      </c>
      <c r="AN593" s="12" t="s">
        <v>268</v>
      </c>
      <c r="AO593" s="12" t="s">
        <v>268</v>
      </c>
      <c r="AP593" s="12" t="s">
        <v>268</v>
      </c>
      <c r="AQ593" s="12" t="s">
        <v>268</v>
      </c>
      <c r="AR593" s="28" t="str">
        <f t="shared" ca="1" si="48"/>
        <v/>
      </c>
      <c r="AS593" s="28" t="str">
        <f t="shared" ca="1" si="49"/>
        <v/>
      </c>
    </row>
    <row r="594" spans="2:45" ht="27.6" customHeight="1">
      <c r="B594">
        <f t="shared" ca="1" si="45"/>
        <v>0</v>
      </c>
      <c r="C594" t="s">
        <v>85</v>
      </c>
      <c r="D594" t="s">
        <v>92</v>
      </c>
      <c r="E594" t="s">
        <v>92</v>
      </c>
      <c r="F594" t="s">
        <v>92</v>
      </c>
      <c r="G594" t="s">
        <v>92</v>
      </c>
      <c r="H594" t="s">
        <v>92</v>
      </c>
      <c r="I594" s="12" t="s">
        <v>268</v>
      </c>
      <c r="J594" t="s">
        <v>278</v>
      </c>
      <c r="L594" t="s">
        <v>92</v>
      </c>
      <c r="N594" s="14">
        <v>1</v>
      </c>
      <c r="P594" s="12" t="s">
        <v>268</v>
      </c>
      <c r="W594" s="9" t="str">
        <f t="shared" ca="1" si="46"/>
        <v>18.5%</v>
      </c>
      <c r="X594" t="s">
        <v>321</v>
      </c>
      <c r="Y594" s="9" t="str">
        <f t="shared" ca="1" si="47"/>
        <v>Sin costo</v>
      </c>
      <c r="Z594" t="s">
        <v>327</v>
      </c>
      <c r="AA594" t="s">
        <v>329</v>
      </c>
      <c r="AB594" t="s">
        <v>334</v>
      </c>
      <c r="AC594" s="12" t="s">
        <v>339</v>
      </c>
      <c r="AE594" t="s">
        <v>268</v>
      </c>
      <c r="AG594" s="12" t="s">
        <v>268</v>
      </c>
      <c r="AH594" t="s">
        <v>92</v>
      </c>
      <c r="AI594" s="12" t="s">
        <v>268</v>
      </c>
      <c r="AJ594" t="s">
        <v>92</v>
      </c>
      <c r="AK594" t="s">
        <v>92</v>
      </c>
      <c r="AL594" t="s">
        <v>92</v>
      </c>
      <c r="AM594" s="12" t="s">
        <v>268</v>
      </c>
      <c r="AN594" s="12" t="s">
        <v>268</v>
      </c>
      <c r="AO594" s="12" t="s">
        <v>268</v>
      </c>
      <c r="AP594" s="12" t="s">
        <v>268</v>
      </c>
      <c r="AQ594" s="12" t="s">
        <v>268</v>
      </c>
      <c r="AR594" s="28" t="str">
        <f t="shared" ca="1" si="48"/>
        <v/>
      </c>
      <c r="AS594" s="28" t="str">
        <f t="shared" ca="1" si="49"/>
        <v/>
      </c>
    </row>
    <row r="595" spans="2:45" ht="27.6" customHeight="1">
      <c r="B595">
        <f t="shared" ca="1" si="45"/>
        <v>0</v>
      </c>
      <c r="C595" t="s">
        <v>85</v>
      </c>
      <c r="D595" t="s">
        <v>92</v>
      </c>
      <c r="E595" t="s">
        <v>92</v>
      </c>
      <c r="F595" t="s">
        <v>92</v>
      </c>
      <c r="G595" t="s">
        <v>92</v>
      </c>
      <c r="H595" t="s">
        <v>92</v>
      </c>
      <c r="I595" s="12" t="s">
        <v>268</v>
      </c>
      <c r="J595" t="s">
        <v>278</v>
      </c>
      <c r="L595" t="s">
        <v>92</v>
      </c>
      <c r="N595" s="14">
        <v>1</v>
      </c>
      <c r="P595" s="12" t="s">
        <v>268</v>
      </c>
      <c r="W595" s="9" t="str">
        <f t="shared" ca="1" si="46"/>
        <v>18.5%</v>
      </c>
      <c r="X595" t="s">
        <v>321</v>
      </c>
      <c r="Y595" s="9" t="str">
        <f t="shared" ca="1" si="47"/>
        <v>Sin costo</v>
      </c>
      <c r="Z595" t="s">
        <v>327</v>
      </c>
      <c r="AA595" t="s">
        <v>329</v>
      </c>
      <c r="AB595" t="s">
        <v>334</v>
      </c>
      <c r="AC595" s="12" t="s">
        <v>339</v>
      </c>
      <c r="AE595" t="s">
        <v>268</v>
      </c>
      <c r="AG595" s="12" t="s">
        <v>268</v>
      </c>
      <c r="AH595" t="s">
        <v>92</v>
      </c>
      <c r="AI595" s="12" t="s">
        <v>268</v>
      </c>
      <c r="AJ595" t="s">
        <v>92</v>
      </c>
      <c r="AK595" t="s">
        <v>92</v>
      </c>
      <c r="AL595" t="s">
        <v>92</v>
      </c>
      <c r="AM595" s="12" t="s">
        <v>268</v>
      </c>
      <c r="AN595" s="12" t="s">
        <v>268</v>
      </c>
      <c r="AO595" s="12" t="s">
        <v>268</v>
      </c>
      <c r="AP595" s="12" t="s">
        <v>268</v>
      </c>
      <c r="AQ595" s="12" t="s">
        <v>268</v>
      </c>
      <c r="AR595" s="28" t="str">
        <f t="shared" ca="1" si="48"/>
        <v/>
      </c>
      <c r="AS595" s="28" t="str">
        <f t="shared" ca="1" si="49"/>
        <v/>
      </c>
    </row>
    <row r="596" spans="2:45" ht="27.6" customHeight="1">
      <c r="B596">
        <f t="shared" ca="1" si="45"/>
        <v>0</v>
      </c>
      <c r="C596" t="s">
        <v>85</v>
      </c>
      <c r="D596" t="s">
        <v>92</v>
      </c>
      <c r="E596" t="s">
        <v>92</v>
      </c>
      <c r="F596" t="s">
        <v>92</v>
      </c>
      <c r="G596" t="s">
        <v>92</v>
      </c>
      <c r="H596" t="s">
        <v>92</v>
      </c>
      <c r="I596" s="12" t="s">
        <v>268</v>
      </c>
      <c r="J596" t="s">
        <v>278</v>
      </c>
      <c r="L596" t="s">
        <v>92</v>
      </c>
      <c r="N596" s="14">
        <v>1</v>
      </c>
      <c r="P596" s="12" t="s">
        <v>268</v>
      </c>
      <c r="W596" s="9" t="str">
        <f t="shared" ca="1" si="46"/>
        <v>18.5%</v>
      </c>
      <c r="X596" t="s">
        <v>321</v>
      </c>
      <c r="Y596" s="9" t="str">
        <f t="shared" ca="1" si="47"/>
        <v>Sin costo</v>
      </c>
      <c r="Z596" t="s">
        <v>327</v>
      </c>
      <c r="AA596" t="s">
        <v>329</v>
      </c>
      <c r="AB596" t="s">
        <v>334</v>
      </c>
      <c r="AC596" s="12" t="s">
        <v>339</v>
      </c>
      <c r="AE596" t="s">
        <v>268</v>
      </c>
      <c r="AG596" s="12" t="s">
        <v>268</v>
      </c>
      <c r="AH596" t="s">
        <v>92</v>
      </c>
      <c r="AI596" s="12" t="s">
        <v>268</v>
      </c>
      <c r="AJ596" t="s">
        <v>92</v>
      </c>
      <c r="AK596" t="s">
        <v>92</v>
      </c>
      <c r="AL596" t="s">
        <v>92</v>
      </c>
      <c r="AM596" s="12" t="s">
        <v>268</v>
      </c>
      <c r="AN596" s="12" t="s">
        <v>268</v>
      </c>
      <c r="AO596" s="12" t="s">
        <v>268</v>
      </c>
      <c r="AP596" s="12" t="s">
        <v>268</v>
      </c>
      <c r="AQ596" s="12" t="s">
        <v>268</v>
      </c>
      <c r="AR596" s="28" t="str">
        <f t="shared" ca="1" si="48"/>
        <v/>
      </c>
      <c r="AS596" s="28" t="str">
        <f t="shared" ca="1" si="49"/>
        <v/>
      </c>
    </row>
    <row r="597" spans="2:45" ht="27.6" customHeight="1">
      <c r="B597">
        <f t="shared" ca="1" si="45"/>
        <v>0</v>
      </c>
      <c r="C597" t="s">
        <v>85</v>
      </c>
      <c r="D597" t="s">
        <v>92</v>
      </c>
      <c r="E597" t="s">
        <v>92</v>
      </c>
      <c r="F597" t="s">
        <v>92</v>
      </c>
      <c r="G597" t="s">
        <v>92</v>
      </c>
      <c r="H597" t="s">
        <v>92</v>
      </c>
      <c r="I597" s="12" t="s">
        <v>268</v>
      </c>
      <c r="J597" t="s">
        <v>278</v>
      </c>
      <c r="L597" t="s">
        <v>92</v>
      </c>
      <c r="N597" s="14">
        <v>1</v>
      </c>
      <c r="P597" s="12" t="s">
        <v>268</v>
      </c>
      <c r="W597" s="9" t="str">
        <f t="shared" ca="1" si="46"/>
        <v>18.5%</v>
      </c>
      <c r="X597" t="s">
        <v>321</v>
      </c>
      <c r="Y597" s="9" t="str">
        <f t="shared" ca="1" si="47"/>
        <v>Sin costo</v>
      </c>
      <c r="Z597" t="s">
        <v>327</v>
      </c>
      <c r="AA597" t="s">
        <v>329</v>
      </c>
      <c r="AB597" t="s">
        <v>334</v>
      </c>
      <c r="AC597" s="12" t="s">
        <v>339</v>
      </c>
      <c r="AE597" t="s">
        <v>268</v>
      </c>
      <c r="AG597" s="12" t="s">
        <v>268</v>
      </c>
      <c r="AH597" t="s">
        <v>92</v>
      </c>
      <c r="AI597" s="12" t="s">
        <v>268</v>
      </c>
      <c r="AJ597" t="s">
        <v>92</v>
      </c>
      <c r="AK597" t="s">
        <v>92</v>
      </c>
      <c r="AL597" t="s">
        <v>92</v>
      </c>
      <c r="AM597" s="12" t="s">
        <v>268</v>
      </c>
      <c r="AN597" s="12" t="s">
        <v>268</v>
      </c>
      <c r="AO597" s="12" t="s">
        <v>268</v>
      </c>
      <c r="AP597" s="12" t="s">
        <v>268</v>
      </c>
      <c r="AQ597" s="12" t="s">
        <v>268</v>
      </c>
      <c r="AR597" s="28" t="str">
        <f t="shared" ca="1" si="48"/>
        <v/>
      </c>
      <c r="AS597" s="28" t="str">
        <f t="shared" ca="1" si="49"/>
        <v/>
      </c>
    </row>
    <row r="598" spans="2:45" ht="27.6" customHeight="1">
      <c r="B598">
        <f t="shared" ca="1" si="45"/>
        <v>0</v>
      </c>
      <c r="C598" t="s">
        <v>85</v>
      </c>
      <c r="D598" t="s">
        <v>92</v>
      </c>
      <c r="E598" t="s">
        <v>92</v>
      </c>
      <c r="F598" t="s">
        <v>92</v>
      </c>
      <c r="G598" t="s">
        <v>92</v>
      </c>
      <c r="H598" t="s">
        <v>92</v>
      </c>
      <c r="I598" s="12" t="s">
        <v>268</v>
      </c>
      <c r="J598" t="s">
        <v>278</v>
      </c>
      <c r="L598" t="s">
        <v>92</v>
      </c>
      <c r="N598" s="14">
        <v>1</v>
      </c>
      <c r="P598" s="12" t="s">
        <v>268</v>
      </c>
      <c r="W598" s="9" t="str">
        <f t="shared" ca="1" si="46"/>
        <v>18.5%</v>
      </c>
      <c r="X598" t="s">
        <v>321</v>
      </c>
      <c r="Y598" s="9" t="str">
        <f t="shared" ca="1" si="47"/>
        <v>Sin costo</v>
      </c>
      <c r="Z598" t="s">
        <v>327</v>
      </c>
      <c r="AA598" t="s">
        <v>329</v>
      </c>
      <c r="AB598" t="s">
        <v>334</v>
      </c>
      <c r="AC598" s="12" t="s">
        <v>339</v>
      </c>
      <c r="AE598" t="s">
        <v>268</v>
      </c>
      <c r="AG598" s="12" t="s">
        <v>268</v>
      </c>
      <c r="AH598" t="s">
        <v>92</v>
      </c>
      <c r="AI598" s="12" t="s">
        <v>268</v>
      </c>
      <c r="AJ598" t="s">
        <v>92</v>
      </c>
      <c r="AK598" t="s">
        <v>92</v>
      </c>
      <c r="AL598" t="s">
        <v>92</v>
      </c>
      <c r="AM598" s="12" t="s">
        <v>268</v>
      </c>
      <c r="AN598" s="12" t="s">
        <v>268</v>
      </c>
      <c r="AO598" s="12" t="s">
        <v>268</v>
      </c>
      <c r="AP598" s="12" t="s">
        <v>268</v>
      </c>
      <c r="AQ598" s="12" t="s">
        <v>268</v>
      </c>
      <c r="AR598" s="28" t="str">
        <f t="shared" ca="1" si="48"/>
        <v/>
      </c>
      <c r="AS598" s="28" t="str">
        <f t="shared" ca="1" si="49"/>
        <v/>
      </c>
    </row>
    <row r="599" spans="2:45" ht="27.6" customHeight="1">
      <c r="B599">
        <f t="shared" ca="1" si="45"/>
        <v>0</v>
      </c>
      <c r="C599" t="s">
        <v>85</v>
      </c>
      <c r="D599" t="s">
        <v>92</v>
      </c>
      <c r="E599" t="s">
        <v>92</v>
      </c>
      <c r="F599" t="s">
        <v>92</v>
      </c>
      <c r="G599" t="s">
        <v>92</v>
      </c>
      <c r="H599" t="s">
        <v>92</v>
      </c>
      <c r="I599" s="12" t="s">
        <v>268</v>
      </c>
      <c r="J599" t="s">
        <v>278</v>
      </c>
      <c r="L599" t="s">
        <v>92</v>
      </c>
      <c r="N599" s="14">
        <v>1</v>
      </c>
      <c r="P599" s="12" t="s">
        <v>268</v>
      </c>
      <c r="W599" s="9" t="str">
        <f t="shared" ca="1" si="46"/>
        <v>18.5%</v>
      </c>
      <c r="X599" t="s">
        <v>321</v>
      </c>
      <c r="Y599" s="9" t="str">
        <f t="shared" ca="1" si="47"/>
        <v>Sin costo</v>
      </c>
      <c r="Z599" t="s">
        <v>327</v>
      </c>
      <c r="AA599" t="s">
        <v>329</v>
      </c>
      <c r="AB599" t="s">
        <v>334</v>
      </c>
      <c r="AC599" s="12" t="s">
        <v>339</v>
      </c>
      <c r="AE599" t="s">
        <v>268</v>
      </c>
      <c r="AG599" s="12" t="s">
        <v>268</v>
      </c>
      <c r="AH599" t="s">
        <v>92</v>
      </c>
      <c r="AI599" s="12" t="s">
        <v>268</v>
      </c>
      <c r="AJ599" t="s">
        <v>92</v>
      </c>
      <c r="AK599" t="s">
        <v>92</v>
      </c>
      <c r="AL599" t="s">
        <v>92</v>
      </c>
      <c r="AM599" s="12" t="s">
        <v>268</v>
      </c>
      <c r="AN599" s="12" t="s">
        <v>268</v>
      </c>
      <c r="AO599" s="12" t="s">
        <v>268</v>
      </c>
      <c r="AP599" s="12" t="s">
        <v>268</v>
      </c>
      <c r="AQ599" s="12" t="s">
        <v>268</v>
      </c>
      <c r="AR599" s="28" t="str">
        <f t="shared" ca="1" si="48"/>
        <v/>
      </c>
      <c r="AS599" s="28" t="str">
        <f t="shared" ca="1" si="49"/>
        <v/>
      </c>
    </row>
    <row r="600" spans="2:45" ht="27.6" customHeight="1">
      <c r="B600">
        <f t="shared" ca="1" si="45"/>
        <v>0</v>
      </c>
      <c r="C600" t="s">
        <v>85</v>
      </c>
      <c r="D600" t="s">
        <v>92</v>
      </c>
      <c r="E600" t="s">
        <v>92</v>
      </c>
      <c r="F600" t="s">
        <v>92</v>
      </c>
      <c r="G600" t="s">
        <v>92</v>
      </c>
      <c r="H600" t="s">
        <v>92</v>
      </c>
      <c r="I600" s="12" t="s">
        <v>268</v>
      </c>
      <c r="J600" t="s">
        <v>278</v>
      </c>
      <c r="L600" t="s">
        <v>92</v>
      </c>
      <c r="N600" s="14">
        <v>1</v>
      </c>
      <c r="P600" s="12" t="s">
        <v>268</v>
      </c>
      <c r="W600" s="9" t="str">
        <f t="shared" ca="1" si="46"/>
        <v>18.5%</v>
      </c>
      <c r="X600" t="s">
        <v>321</v>
      </c>
      <c r="Y600" s="9" t="str">
        <f t="shared" ca="1" si="47"/>
        <v>Sin costo</v>
      </c>
      <c r="Z600" t="s">
        <v>327</v>
      </c>
      <c r="AA600" t="s">
        <v>329</v>
      </c>
      <c r="AB600" t="s">
        <v>334</v>
      </c>
      <c r="AC600" s="12" t="s">
        <v>339</v>
      </c>
      <c r="AE600" t="s">
        <v>268</v>
      </c>
      <c r="AG600" s="12" t="s">
        <v>268</v>
      </c>
      <c r="AH600" t="s">
        <v>92</v>
      </c>
      <c r="AI600" s="12" t="s">
        <v>268</v>
      </c>
      <c r="AJ600" t="s">
        <v>92</v>
      </c>
      <c r="AK600" t="s">
        <v>92</v>
      </c>
      <c r="AL600" t="s">
        <v>92</v>
      </c>
      <c r="AM600" s="12" t="s">
        <v>268</v>
      </c>
      <c r="AN600" s="12" t="s">
        <v>268</v>
      </c>
      <c r="AO600" s="12" t="s">
        <v>268</v>
      </c>
      <c r="AP600" s="12" t="s">
        <v>268</v>
      </c>
      <c r="AQ600" s="12" t="s">
        <v>268</v>
      </c>
      <c r="AR600" s="28" t="str">
        <f t="shared" ca="1" si="48"/>
        <v/>
      </c>
      <c r="AS600" s="28" t="str">
        <f t="shared" ca="1" si="49"/>
        <v/>
      </c>
    </row>
    <row r="601" spans="2:45" ht="27.6" customHeight="1">
      <c r="B601">
        <f t="shared" ca="1" si="45"/>
        <v>0</v>
      </c>
      <c r="C601" t="s">
        <v>85</v>
      </c>
      <c r="D601" t="s">
        <v>92</v>
      </c>
      <c r="E601" t="s">
        <v>92</v>
      </c>
      <c r="F601" t="s">
        <v>92</v>
      </c>
      <c r="G601" t="s">
        <v>92</v>
      </c>
      <c r="H601" t="s">
        <v>92</v>
      </c>
      <c r="I601" s="12" t="s">
        <v>268</v>
      </c>
      <c r="J601" t="s">
        <v>278</v>
      </c>
      <c r="L601" t="s">
        <v>92</v>
      </c>
      <c r="N601" s="14">
        <v>1</v>
      </c>
      <c r="P601" s="12" t="s">
        <v>268</v>
      </c>
      <c r="W601" s="9" t="str">
        <f t="shared" ca="1" si="46"/>
        <v>18.5%</v>
      </c>
      <c r="X601" t="s">
        <v>321</v>
      </c>
      <c r="Y601" s="9" t="str">
        <f t="shared" ca="1" si="47"/>
        <v>Sin costo</v>
      </c>
      <c r="Z601" t="s">
        <v>327</v>
      </c>
      <c r="AA601" t="s">
        <v>329</v>
      </c>
      <c r="AB601" t="s">
        <v>334</v>
      </c>
      <c r="AC601" s="12" t="s">
        <v>339</v>
      </c>
      <c r="AE601" t="s">
        <v>268</v>
      </c>
      <c r="AG601" s="12" t="s">
        <v>268</v>
      </c>
      <c r="AH601" t="s">
        <v>92</v>
      </c>
      <c r="AI601" s="12" t="s">
        <v>268</v>
      </c>
      <c r="AJ601" t="s">
        <v>92</v>
      </c>
      <c r="AK601" t="s">
        <v>92</v>
      </c>
      <c r="AL601" t="s">
        <v>92</v>
      </c>
      <c r="AM601" s="12" t="s">
        <v>268</v>
      </c>
      <c r="AN601" s="12" t="s">
        <v>268</v>
      </c>
      <c r="AO601" s="12" t="s">
        <v>268</v>
      </c>
      <c r="AP601" s="12" t="s">
        <v>268</v>
      </c>
      <c r="AQ601" s="12" t="s">
        <v>268</v>
      </c>
      <c r="AR601" s="28" t="str">
        <f t="shared" ca="1" si="48"/>
        <v/>
      </c>
      <c r="AS601" s="28" t="str">
        <f t="shared" ca="1" si="49"/>
        <v/>
      </c>
    </row>
    <row r="602" spans="2:45" ht="27.6" customHeight="1">
      <c r="B602">
        <f t="shared" ca="1" si="45"/>
        <v>0</v>
      </c>
      <c r="C602" t="s">
        <v>85</v>
      </c>
      <c r="D602" t="s">
        <v>92</v>
      </c>
      <c r="E602" t="s">
        <v>92</v>
      </c>
      <c r="F602" t="s">
        <v>92</v>
      </c>
      <c r="G602" t="s">
        <v>92</v>
      </c>
      <c r="H602" t="s">
        <v>92</v>
      </c>
      <c r="I602" s="12" t="s">
        <v>268</v>
      </c>
      <c r="J602" t="s">
        <v>278</v>
      </c>
      <c r="L602" t="s">
        <v>92</v>
      </c>
      <c r="N602" s="14">
        <v>1</v>
      </c>
      <c r="P602" s="12" t="s">
        <v>268</v>
      </c>
      <c r="W602" s="9" t="str">
        <f t="shared" ca="1" si="46"/>
        <v>18.5%</v>
      </c>
      <c r="X602" t="s">
        <v>321</v>
      </c>
      <c r="Y602" s="9" t="str">
        <f t="shared" ca="1" si="47"/>
        <v>Sin costo</v>
      </c>
      <c r="Z602" t="s">
        <v>327</v>
      </c>
      <c r="AA602" t="s">
        <v>329</v>
      </c>
      <c r="AB602" t="s">
        <v>334</v>
      </c>
      <c r="AC602" s="12" t="s">
        <v>339</v>
      </c>
      <c r="AE602" t="s">
        <v>268</v>
      </c>
      <c r="AG602" s="12" t="s">
        <v>268</v>
      </c>
      <c r="AH602" t="s">
        <v>92</v>
      </c>
      <c r="AI602" s="12" t="s">
        <v>268</v>
      </c>
      <c r="AJ602" t="s">
        <v>92</v>
      </c>
      <c r="AK602" t="s">
        <v>92</v>
      </c>
      <c r="AL602" t="s">
        <v>92</v>
      </c>
      <c r="AM602" s="12" t="s">
        <v>268</v>
      </c>
      <c r="AN602" s="12" t="s">
        <v>268</v>
      </c>
      <c r="AO602" s="12" t="s">
        <v>268</v>
      </c>
      <c r="AP602" s="12" t="s">
        <v>268</v>
      </c>
      <c r="AQ602" s="12" t="s">
        <v>268</v>
      </c>
      <c r="AR602" s="28" t="str">
        <f t="shared" ca="1" si="48"/>
        <v/>
      </c>
      <c r="AS602" s="28" t="str">
        <f t="shared" ca="1" si="49"/>
        <v/>
      </c>
    </row>
    <row r="603" spans="2:45" ht="27.6" customHeight="1">
      <c r="B603">
        <f t="shared" ca="1" si="45"/>
        <v>0</v>
      </c>
      <c r="C603" t="s">
        <v>85</v>
      </c>
      <c r="D603" t="s">
        <v>92</v>
      </c>
      <c r="E603" t="s">
        <v>92</v>
      </c>
      <c r="F603" t="s">
        <v>92</v>
      </c>
      <c r="G603" t="s">
        <v>92</v>
      </c>
      <c r="H603" t="s">
        <v>92</v>
      </c>
      <c r="I603" s="12" t="s">
        <v>268</v>
      </c>
      <c r="J603" t="s">
        <v>278</v>
      </c>
      <c r="L603" t="s">
        <v>92</v>
      </c>
      <c r="N603" s="14">
        <v>1</v>
      </c>
      <c r="P603" s="12" t="s">
        <v>268</v>
      </c>
      <c r="W603" s="9" t="str">
        <f t="shared" ca="1" si="46"/>
        <v>18.5%</v>
      </c>
      <c r="X603" t="s">
        <v>321</v>
      </c>
      <c r="Y603" s="9" t="str">
        <f t="shared" ca="1" si="47"/>
        <v>Sin costo</v>
      </c>
      <c r="Z603" t="s">
        <v>327</v>
      </c>
      <c r="AA603" t="s">
        <v>329</v>
      </c>
      <c r="AB603" t="s">
        <v>334</v>
      </c>
      <c r="AC603" s="12" t="s">
        <v>339</v>
      </c>
      <c r="AE603" t="s">
        <v>268</v>
      </c>
      <c r="AG603" s="12" t="s">
        <v>268</v>
      </c>
      <c r="AH603" t="s">
        <v>92</v>
      </c>
      <c r="AI603" s="12" t="s">
        <v>268</v>
      </c>
      <c r="AJ603" t="s">
        <v>92</v>
      </c>
      <c r="AK603" t="s">
        <v>92</v>
      </c>
      <c r="AL603" t="s">
        <v>92</v>
      </c>
      <c r="AM603" s="12" t="s">
        <v>268</v>
      </c>
      <c r="AN603" s="12" t="s">
        <v>268</v>
      </c>
      <c r="AO603" s="12" t="s">
        <v>268</v>
      </c>
      <c r="AP603" s="12" t="s">
        <v>268</v>
      </c>
      <c r="AQ603" s="12" t="s">
        <v>268</v>
      </c>
      <c r="AR603" s="28" t="str">
        <f t="shared" ca="1" si="48"/>
        <v/>
      </c>
      <c r="AS603" s="28" t="str">
        <f t="shared" ca="1" si="49"/>
        <v/>
      </c>
    </row>
    <row r="604" spans="2:45" ht="27.6" customHeight="1">
      <c r="B604">
        <f t="shared" ca="1" si="45"/>
        <v>0</v>
      </c>
      <c r="C604" t="s">
        <v>85</v>
      </c>
      <c r="D604" t="s">
        <v>92</v>
      </c>
      <c r="E604" t="s">
        <v>92</v>
      </c>
      <c r="F604" t="s">
        <v>92</v>
      </c>
      <c r="G604" t="s">
        <v>92</v>
      </c>
      <c r="H604" t="s">
        <v>92</v>
      </c>
      <c r="I604" s="12" t="s">
        <v>268</v>
      </c>
      <c r="J604" t="s">
        <v>278</v>
      </c>
      <c r="L604" t="s">
        <v>92</v>
      </c>
      <c r="N604" s="14">
        <v>1</v>
      </c>
      <c r="P604" s="12" t="s">
        <v>268</v>
      </c>
      <c r="W604" s="9" t="str">
        <f t="shared" ca="1" si="46"/>
        <v>18.5%</v>
      </c>
      <c r="X604" t="s">
        <v>321</v>
      </c>
      <c r="Y604" s="9" t="str">
        <f t="shared" ca="1" si="47"/>
        <v>Sin costo</v>
      </c>
      <c r="Z604" t="s">
        <v>327</v>
      </c>
      <c r="AA604" t="s">
        <v>329</v>
      </c>
      <c r="AB604" t="s">
        <v>334</v>
      </c>
      <c r="AC604" s="12" t="s">
        <v>339</v>
      </c>
      <c r="AE604" t="s">
        <v>268</v>
      </c>
      <c r="AG604" s="12" t="s">
        <v>268</v>
      </c>
      <c r="AH604" t="s">
        <v>92</v>
      </c>
      <c r="AI604" s="12" t="s">
        <v>268</v>
      </c>
      <c r="AJ604" t="s">
        <v>92</v>
      </c>
      <c r="AK604" t="s">
        <v>92</v>
      </c>
      <c r="AL604" t="s">
        <v>92</v>
      </c>
      <c r="AM604" s="12" t="s">
        <v>268</v>
      </c>
      <c r="AN604" s="12" t="s">
        <v>268</v>
      </c>
      <c r="AO604" s="12" t="s">
        <v>268</v>
      </c>
      <c r="AP604" s="12" t="s">
        <v>268</v>
      </c>
      <c r="AQ604" s="12" t="s">
        <v>268</v>
      </c>
      <c r="AR604" s="28" t="str">
        <f t="shared" ca="1" si="48"/>
        <v/>
      </c>
      <c r="AS604" s="28" t="str">
        <f t="shared" ca="1" si="49"/>
        <v/>
      </c>
    </row>
    <row r="605" spans="2:45" ht="27.6" customHeight="1">
      <c r="B605">
        <f t="shared" ca="1" si="45"/>
        <v>0</v>
      </c>
      <c r="C605" t="s">
        <v>85</v>
      </c>
      <c r="D605" t="s">
        <v>92</v>
      </c>
      <c r="E605" t="s">
        <v>92</v>
      </c>
      <c r="F605" t="s">
        <v>92</v>
      </c>
      <c r="G605" t="s">
        <v>92</v>
      </c>
      <c r="H605" t="s">
        <v>92</v>
      </c>
      <c r="I605" s="12" t="s">
        <v>268</v>
      </c>
      <c r="J605" t="s">
        <v>278</v>
      </c>
      <c r="L605" t="s">
        <v>92</v>
      </c>
      <c r="N605" s="14">
        <v>1</v>
      </c>
      <c r="P605" s="12" t="s">
        <v>268</v>
      </c>
      <c r="W605" s="9" t="str">
        <f t="shared" ca="1" si="46"/>
        <v>18.5%</v>
      </c>
      <c r="X605" t="s">
        <v>321</v>
      </c>
      <c r="Y605" s="9" t="str">
        <f t="shared" ca="1" si="47"/>
        <v>Sin costo</v>
      </c>
      <c r="Z605" t="s">
        <v>327</v>
      </c>
      <c r="AA605" t="s">
        <v>329</v>
      </c>
      <c r="AB605" t="s">
        <v>334</v>
      </c>
      <c r="AC605" s="12" t="s">
        <v>339</v>
      </c>
      <c r="AE605" t="s">
        <v>268</v>
      </c>
      <c r="AG605" s="12" t="s">
        <v>268</v>
      </c>
      <c r="AH605" t="s">
        <v>92</v>
      </c>
      <c r="AI605" s="12" t="s">
        <v>268</v>
      </c>
      <c r="AJ605" t="s">
        <v>92</v>
      </c>
      <c r="AK605" t="s">
        <v>92</v>
      </c>
      <c r="AL605" t="s">
        <v>92</v>
      </c>
      <c r="AM605" s="12" t="s">
        <v>268</v>
      </c>
      <c r="AN605" s="12" t="s">
        <v>268</v>
      </c>
      <c r="AO605" s="12" t="s">
        <v>268</v>
      </c>
      <c r="AP605" s="12" t="s">
        <v>268</v>
      </c>
      <c r="AQ605" s="12" t="s">
        <v>268</v>
      </c>
      <c r="AR605" s="28" t="str">
        <f t="shared" ca="1" si="48"/>
        <v/>
      </c>
      <c r="AS605" s="28" t="str">
        <f t="shared" ca="1" si="49"/>
        <v/>
      </c>
    </row>
    <row r="606" spans="2:45" ht="27.6" customHeight="1">
      <c r="B606">
        <f t="shared" ca="1" si="45"/>
        <v>0</v>
      </c>
      <c r="C606" t="s">
        <v>85</v>
      </c>
      <c r="D606" t="s">
        <v>92</v>
      </c>
      <c r="E606" t="s">
        <v>92</v>
      </c>
      <c r="F606" t="s">
        <v>92</v>
      </c>
      <c r="G606" t="s">
        <v>92</v>
      </c>
      <c r="H606" t="s">
        <v>92</v>
      </c>
      <c r="I606" s="12" t="s">
        <v>268</v>
      </c>
      <c r="J606" t="s">
        <v>278</v>
      </c>
      <c r="L606" t="s">
        <v>92</v>
      </c>
      <c r="N606" s="14">
        <v>1</v>
      </c>
      <c r="P606" s="12" t="s">
        <v>268</v>
      </c>
      <c r="W606" s="9" t="str">
        <f t="shared" ca="1" si="46"/>
        <v>18.5%</v>
      </c>
      <c r="X606" t="s">
        <v>321</v>
      </c>
      <c r="Y606" s="9" t="str">
        <f t="shared" ca="1" si="47"/>
        <v>Sin costo</v>
      </c>
      <c r="Z606" t="s">
        <v>327</v>
      </c>
      <c r="AA606" t="s">
        <v>329</v>
      </c>
      <c r="AB606" t="s">
        <v>334</v>
      </c>
      <c r="AC606" s="12" t="s">
        <v>339</v>
      </c>
      <c r="AE606" t="s">
        <v>268</v>
      </c>
      <c r="AG606" s="12" t="s">
        <v>268</v>
      </c>
      <c r="AH606" t="s">
        <v>92</v>
      </c>
      <c r="AI606" s="12" t="s">
        <v>268</v>
      </c>
      <c r="AJ606" t="s">
        <v>92</v>
      </c>
      <c r="AK606" t="s">
        <v>92</v>
      </c>
      <c r="AL606" t="s">
        <v>92</v>
      </c>
      <c r="AM606" s="12" t="s">
        <v>268</v>
      </c>
      <c r="AN606" s="12" t="s">
        <v>268</v>
      </c>
      <c r="AO606" s="12" t="s">
        <v>268</v>
      </c>
      <c r="AP606" s="12" t="s">
        <v>268</v>
      </c>
      <c r="AQ606" s="12" t="s">
        <v>268</v>
      </c>
      <c r="AR606" s="28" t="str">
        <f t="shared" ca="1" si="48"/>
        <v/>
      </c>
      <c r="AS606" s="28" t="str">
        <f t="shared" ca="1" si="49"/>
        <v/>
      </c>
    </row>
    <row r="607" spans="2:45" ht="27.6" customHeight="1">
      <c r="B607">
        <f t="shared" ca="1" si="45"/>
        <v>0</v>
      </c>
      <c r="C607" t="s">
        <v>85</v>
      </c>
      <c r="D607" t="s">
        <v>92</v>
      </c>
      <c r="E607" t="s">
        <v>92</v>
      </c>
      <c r="F607" t="s">
        <v>92</v>
      </c>
      <c r="G607" t="s">
        <v>92</v>
      </c>
      <c r="H607" t="s">
        <v>92</v>
      </c>
      <c r="I607" s="12" t="s">
        <v>268</v>
      </c>
      <c r="J607" t="s">
        <v>278</v>
      </c>
      <c r="L607" t="s">
        <v>92</v>
      </c>
      <c r="N607" s="14">
        <v>1</v>
      </c>
      <c r="P607" s="12" t="s">
        <v>268</v>
      </c>
      <c r="W607" s="9" t="str">
        <f t="shared" ca="1" si="46"/>
        <v>18.5%</v>
      </c>
      <c r="X607" t="s">
        <v>321</v>
      </c>
      <c r="Y607" s="9" t="str">
        <f t="shared" ca="1" si="47"/>
        <v>Sin costo</v>
      </c>
      <c r="Z607" t="s">
        <v>327</v>
      </c>
      <c r="AA607" t="s">
        <v>329</v>
      </c>
      <c r="AB607" t="s">
        <v>334</v>
      </c>
      <c r="AC607" s="12" t="s">
        <v>339</v>
      </c>
      <c r="AE607" t="s">
        <v>268</v>
      </c>
      <c r="AG607" s="12" t="s">
        <v>268</v>
      </c>
      <c r="AH607" t="s">
        <v>92</v>
      </c>
      <c r="AI607" s="12" t="s">
        <v>268</v>
      </c>
      <c r="AJ607" t="s">
        <v>92</v>
      </c>
      <c r="AK607" t="s">
        <v>92</v>
      </c>
      <c r="AL607" t="s">
        <v>92</v>
      </c>
      <c r="AM607" s="12" t="s">
        <v>268</v>
      </c>
      <c r="AN607" s="12" t="s">
        <v>268</v>
      </c>
      <c r="AO607" s="12" t="s">
        <v>268</v>
      </c>
      <c r="AP607" s="12" t="s">
        <v>268</v>
      </c>
      <c r="AQ607" s="12" t="s">
        <v>268</v>
      </c>
      <c r="AR607" s="28" t="str">
        <f t="shared" ca="1" si="48"/>
        <v/>
      </c>
      <c r="AS607" s="28" t="str">
        <f t="shared" ca="1" si="49"/>
        <v/>
      </c>
    </row>
    <row r="608" spans="2:45" ht="27.6" customHeight="1">
      <c r="B608">
        <f t="shared" ca="1" si="45"/>
        <v>0</v>
      </c>
      <c r="C608" t="s">
        <v>85</v>
      </c>
      <c r="D608" t="s">
        <v>92</v>
      </c>
      <c r="E608" t="s">
        <v>92</v>
      </c>
      <c r="F608" t="s">
        <v>92</v>
      </c>
      <c r="G608" t="s">
        <v>92</v>
      </c>
      <c r="H608" t="s">
        <v>92</v>
      </c>
      <c r="I608" s="12" t="s">
        <v>268</v>
      </c>
      <c r="J608" t="s">
        <v>278</v>
      </c>
      <c r="L608" t="s">
        <v>92</v>
      </c>
      <c r="N608" s="14">
        <v>1</v>
      </c>
      <c r="P608" s="12" t="s">
        <v>268</v>
      </c>
      <c r="W608" s="9" t="str">
        <f t="shared" ca="1" si="46"/>
        <v>18.5%</v>
      </c>
      <c r="X608" t="s">
        <v>321</v>
      </c>
      <c r="Y608" s="9" t="str">
        <f t="shared" ca="1" si="47"/>
        <v>Sin costo</v>
      </c>
      <c r="Z608" t="s">
        <v>327</v>
      </c>
      <c r="AA608" t="s">
        <v>329</v>
      </c>
      <c r="AB608" t="s">
        <v>334</v>
      </c>
      <c r="AC608" s="12" t="s">
        <v>339</v>
      </c>
      <c r="AE608" t="s">
        <v>268</v>
      </c>
      <c r="AG608" s="12" t="s">
        <v>268</v>
      </c>
      <c r="AH608" t="s">
        <v>92</v>
      </c>
      <c r="AI608" s="12" t="s">
        <v>268</v>
      </c>
      <c r="AJ608" t="s">
        <v>92</v>
      </c>
      <c r="AK608" t="s">
        <v>92</v>
      </c>
      <c r="AL608" t="s">
        <v>92</v>
      </c>
      <c r="AM608" s="12" t="s">
        <v>268</v>
      </c>
      <c r="AN608" s="12" t="s">
        <v>268</v>
      </c>
      <c r="AO608" s="12" t="s">
        <v>268</v>
      </c>
      <c r="AP608" s="12" t="s">
        <v>268</v>
      </c>
      <c r="AQ608" s="12" t="s">
        <v>268</v>
      </c>
      <c r="AR608" s="28" t="str">
        <f t="shared" ca="1" si="48"/>
        <v/>
      </c>
      <c r="AS608" s="28" t="str">
        <f t="shared" ca="1" si="49"/>
        <v/>
      </c>
    </row>
    <row r="609" spans="2:45" ht="27.6" customHeight="1">
      <c r="B609">
        <f t="shared" ca="1" si="45"/>
        <v>0</v>
      </c>
      <c r="C609" t="s">
        <v>85</v>
      </c>
      <c r="D609" t="s">
        <v>92</v>
      </c>
      <c r="E609" t="s">
        <v>92</v>
      </c>
      <c r="F609" t="s">
        <v>92</v>
      </c>
      <c r="G609" t="s">
        <v>92</v>
      </c>
      <c r="H609" t="s">
        <v>92</v>
      </c>
      <c r="I609" s="12" t="s">
        <v>268</v>
      </c>
      <c r="J609" t="s">
        <v>278</v>
      </c>
      <c r="L609" t="s">
        <v>92</v>
      </c>
      <c r="N609" s="14">
        <v>1</v>
      </c>
      <c r="P609" s="12" t="s">
        <v>268</v>
      </c>
      <c r="W609" s="9" t="str">
        <f t="shared" ca="1" si="46"/>
        <v>18.5%</v>
      </c>
      <c r="X609" t="s">
        <v>321</v>
      </c>
      <c r="Y609" s="9" t="str">
        <f t="shared" ca="1" si="47"/>
        <v>Sin costo</v>
      </c>
      <c r="Z609" t="s">
        <v>327</v>
      </c>
      <c r="AA609" t="s">
        <v>329</v>
      </c>
      <c r="AB609" t="s">
        <v>334</v>
      </c>
      <c r="AC609" s="12" t="s">
        <v>339</v>
      </c>
      <c r="AE609" t="s">
        <v>268</v>
      </c>
      <c r="AG609" s="12" t="s">
        <v>268</v>
      </c>
      <c r="AH609" t="s">
        <v>92</v>
      </c>
      <c r="AI609" s="12" t="s">
        <v>268</v>
      </c>
      <c r="AJ609" t="s">
        <v>92</v>
      </c>
      <c r="AK609" t="s">
        <v>92</v>
      </c>
      <c r="AL609" t="s">
        <v>92</v>
      </c>
      <c r="AM609" s="12" t="s">
        <v>268</v>
      </c>
      <c r="AN609" s="12" t="s">
        <v>268</v>
      </c>
      <c r="AO609" s="12" t="s">
        <v>268</v>
      </c>
      <c r="AP609" s="12" t="s">
        <v>268</v>
      </c>
      <c r="AQ609" s="12" t="s">
        <v>268</v>
      </c>
      <c r="AR609" s="28" t="str">
        <f t="shared" ca="1" si="48"/>
        <v/>
      </c>
      <c r="AS609" s="28" t="str">
        <f t="shared" ca="1" si="49"/>
        <v/>
      </c>
    </row>
    <row r="610" spans="2:45" ht="27.6" customHeight="1">
      <c r="B610">
        <f t="shared" ca="1" si="45"/>
        <v>0</v>
      </c>
      <c r="C610" t="s">
        <v>85</v>
      </c>
      <c r="D610" t="s">
        <v>92</v>
      </c>
      <c r="E610" t="s">
        <v>92</v>
      </c>
      <c r="F610" t="s">
        <v>92</v>
      </c>
      <c r="G610" t="s">
        <v>92</v>
      </c>
      <c r="H610" t="s">
        <v>92</v>
      </c>
      <c r="I610" s="12" t="s">
        <v>268</v>
      </c>
      <c r="J610" t="s">
        <v>278</v>
      </c>
      <c r="L610" t="s">
        <v>92</v>
      </c>
      <c r="N610" s="14">
        <v>1</v>
      </c>
      <c r="P610" s="12" t="s">
        <v>268</v>
      </c>
      <c r="W610" s="9" t="str">
        <f t="shared" ca="1" si="46"/>
        <v>18.5%</v>
      </c>
      <c r="X610" t="s">
        <v>321</v>
      </c>
      <c r="Y610" s="9" t="str">
        <f t="shared" ca="1" si="47"/>
        <v>Sin costo</v>
      </c>
      <c r="Z610" t="s">
        <v>327</v>
      </c>
      <c r="AA610" t="s">
        <v>329</v>
      </c>
      <c r="AB610" t="s">
        <v>334</v>
      </c>
      <c r="AC610" s="12" t="s">
        <v>339</v>
      </c>
      <c r="AE610" t="s">
        <v>268</v>
      </c>
      <c r="AG610" s="12" t="s">
        <v>268</v>
      </c>
      <c r="AH610" t="s">
        <v>92</v>
      </c>
      <c r="AI610" s="12" t="s">
        <v>268</v>
      </c>
      <c r="AJ610" t="s">
        <v>92</v>
      </c>
      <c r="AK610" t="s">
        <v>92</v>
      </c>
      <c r="AL610" t="s">
        <v>92</v>
      </c>
      <c r="AM610" s="12" t="s">
        <v>268</v>
      </c>
      <c r="AN610" s="12" t="s">
        <v>268</v>
      </c>
      <c r="AO610" s="12" t="s">
        <v>268</v>
      </c>
      <c r="AP610" s="12" t="s">
        <v>268</v>
      </c>
      <c r="AQ610" s="12" t="s">
        <v>268</v>
      </c>
      <c r="AR610" s="28" t="str">
        <f t="shared" ca="1" si="48"/>
        <v/>
      </c>
      <c r="AS610" s="28" t="str">
        <f t="shared" ca="1" si="49"/>
        <v/>
      </c>
    </row>
    <row r="611" spans="2:45" ht="27.6" customHeight="1">
      <c r="B611">
        <f t="shared" ca="1" si="45"/>
        <v>0</v>
      </c>
      <c r="C611" t="s">
        <v>85</v>
      </c>
      <c r="D611" t="s">
        <v>92</v>
      </c>
      <c r="E611" t="s">
        <v>92</v>
      </c>
      <c r="F611" t="s">
        <v>92</v>
      </c>
      <c r="G611" t="s">
        <v>92</v>
      </c>
      <c r="H611" t="s">
        <v>92</v>
      </c>
      <c r="I611" s="12" t="s">
        <v>268</v>
      </c>
      <c r="J611" t="s">
        <v>278</v>
      </c>
      <c r="L611" t="s">
        <v>92</v>
      </c>
      <c r="N611" s="14">
        <v>1</v>
      </c>
      <c r="P611" s="12" t="s">
        <v>268</v>
      </c>
      <c r="W611" s="9" t="str">
        <f t="shared" ca="1" si="46"/>
        <v>18.5%</v>
      </c>
      <c r="X611" t="s">
        <v>321</v>
      </c>
      <c r="Y611" s="9" t="str">
        <f t="shared" ca="1" si="47"/>
        <v>Sin costo</v>
      </c>
      <c r="Z611" t="s">
        <v>327</v>
      </c>
      <c r="AA611" t="s">
        <v>329</v>
      </c>
      <c r="AB611" t="s">
        <v>334</v>
      </c>
      <c r="AC611" s="12" t="s">
        <v>339</v>
      </c>
      <c r="AE611" t="s">
        <v>268</v>
      </c>
      <c r="AG611" s="12" t="s">
        <v>268</v>
      </c>
      <c r="AH611" t="s">
        <v>92</v>
      </c>
      <c r="AI611" s="12" t="s">
        <v>268</v>
      </c>
      <c r="AJ611" t="s">
        <v>92</v>
      </c>
      <c r="AK611" t="s">
        <v>92</v>
      </c>
      <c r="AL611" t="s">
        <v>92</v>
      </c>
      <c r="AM611" s="12" t="s">
        <v>268</v>
      </c>
      <c r="AN611" s="12" t="s">
        <v>268</v>
      </c>
      <c r="AO611" s="12" t="s">
        <v>268</v>
      </c>
      <c r="AP611" s="12" t="s">
        <v>268</v>
      </c>
      <c r="AQ611" s="12" t="s">
        <v>268</v>
      </c>
      <c r="AR611" s="28" t="str">
        <f t="shared" ca="1" si="48"/>
        <v/>
      </c>
      <c r="AS611" s="28" t="str">
        <f t="shared" ca="1" si="49"/>
        <v/>
      </c>
    </row>
    <row r="612" spans="2:45" ht="27.6" customHeight="1">
      <c r="B612">
        <f t="shared" ca="1" si="45"/>
        <v>0</v>
      </c>
      <c r="C612" t="s">
        <v>85</v>
      </c>
      <c r="D612" t="s">
        <v>92</v>
      </c>
      <c r="E612" t="s">
        <v>92</v>
      </c>
      <c r="F612" t="s">
        <v>92</v>
      </c>
      <c r="G612" t="s">
        <v>92</v>
      </c>
      <c r="H612" t="s">
        <v>92</v>
      </c>
      <c r="I612" s="12" t="s">
        <v>268</v>
      </c>
      <c r="J612" t="s">
        <v>278</v>
      </c>
      <c r="L612" t="s">
        <v>92</v>
      </c>
      <c r="N612" s="14">
        <v>1</v>
      </c>
      <c r="P612" s="12" t="s">
        <v>268</v>
      </c>
      <c r="W612" s="9" t="str">
        <f t="shared" ca="1" si="46"/>
        <v>18.5%</v>
      </c>
      <c r="X612" t="s">
        <v>321</v>
      </c>
      <c r="Y612" s="9" t="str">
        <f t="shared" ca="1" si="47"/>
        <v>Sin costo</v>
      </c>
      <c r="Z612" t="s">
        <v>327</v>
      </c>
      <c r="AA612" t="s">
        <v>329</v>
      </c>
      <c r="AB612" t="s">
        <v>334</v>
      </c>
      <c r="AC612" s="12" t="s">
        <v>339</v>
      </c>
      <c r="AE612" t="s">
        <v>268</v>
      </c>
      <c r="AG612" s="12" t="s">
        <v>268</v>
      </c>
      <c r="AH612" t="s">
        <v>92</v>
      </c>
      <c r="AI612" s="12" t="s">
        <v>268</v>
      </c>
      <c r="AJ612" t="s">
        <v>92</v>
      </c>
      <c r="AK612" t="s">
        <v>92</v>
      </c>
      <c r="AL612" t="s">
        <v>92</v>
      </c>
      <c r="AM612" s="12" t="s">
        <v>268</v>
      </c>
      <c r="AN612" s="12" t="s">
        <v>268</v>
      </c>
      <c r="AO612" s="12" t="s">
        <v>268</v>
      </c>
      <c r="AP612" s="12" t="s">
        <v>268</v>
      </c>
      <c r="AQ612" s="12" t="s">
        <v>268</v>
      </c>
      <c r="AR612" s="28" t="str">
        <f t="shared" ca="1" si="48"/>
        <v/>
      </c>
      <c r="AS612" s="28" t="str">
        <f t="shared" ca="1" si="49"/>
        <v/>
      </c>
    </row>
    <row r="613" spans="2:45" ht="27.6" customHeight="1">
      <c r="B613">
        <f t="shared" ca="1" si="45"/>
        <v>0</v>
      </c>
      <c r="C613" t="s">
        <v>85</v>
      </c>
      <c r="D613" t="s">
        <v>92</v>
      </c>
      <c r="E613" t="s">
        <v>92</v>
      </c>
      <c r="F613" t="s">
        <v>92</v>
      </c>
      <c r="G613" t="s">
        <v>92</v>
      </c>
      <c r="H613" t="s">
        <v>92</v>
      </c>
      <c r="I613" s="12" t="s">
        <v>268</v>
      </c>
      <c r="J613" t="s">
        <v>278</v>
      </c>
      <c r="L613" t="s">
        <v>92</v>
      </c>
      <c r="N613" s="14">
        <v>1</v>
      </c>
      <c r="P613" s="12" t="s">
        <v>268</v>
      </c>
      <c r="W613" s="9" t="str">
        <f t="shared" ca="1" si="46"/>
        <v>18.5%</v>
      </c>
      <c r="X613" t="s">
        <v>321</v>
      </c>
      <c r="Y613" s="9" t="str">
        <f t="shared" ca="1" si="47"/>
        <v>Sin costo</v>
      </c>
      <c r="Z613" t="s">
        <v>327</v>
      </c>
      <c r="AA613" t="s">
        <v>329</v>
      </c>
      <c r="AB613" t="s">
        <v>334</v>
      </c>
      <c r="AC613" s="12" t="s">
        <v>339</v>
      </c>
      <c r="AE613" t="s">
        <v>268</v>
      </c>
      <c r="AG613" s="12" t="s">
        <v>268</v>
      </c>
      <c r="AH613" t="s">
        <v>92</v>
      </c>
      <c r="AI613" s="12" t="s">
        <v>268</v>
      </c>
      <c r="AJ613" t="s">
        <v>92</v>
      </c>
      <c r="AK613" t="s">
        <v>92</v>
      </c>
      <c r="AL613" t="s">
        <v>92</v>
      </c>
      <c r="AM613" s="12" t="s">
        <v>268</v>
      </c>
      <c r="AN613" s="12" t="s">
        <v>268</v>
      </c>
      <c r="AO613" s="12" t="s">
        <v>268</v>
      </c>
      <c r="AP613" s="12" t="s">
        <v>268</v>
      </c>
      <c r="AQ613" s="12" t="s">
        <v>268</v>
      </c>
      <c r="AR613" s="28" t="str">
        <f t="shared" ca="1" si="48"/>
        <v/>
      </c>
      <c r="AS613" s="28" t="str">
        <f t="shared" ca="1" si="49"/>
        <v/>
      </c>
    </row>
    <row r="614" spans="2:45" ht="27.6" customHeight="1">
      <c r="B614">
        <f t="shared" ca="1" si="45"/>
        <v>0</v>
      </c>
      <c r="C614" t="s">
        <v>85</v>
      </c>
      <c r="D614" t="s">
        <v>92</v>
      </c>
      <c r="E614" t="s">
        <v>92</v>
      </c>
      <c r="F614" t="s">
        <v>92</v>
      </c>
      <c r="G614" t="s">
        <v>92</v>
      </c>
      <c r="H614" t="s">
        <v>92</v>
      </c>
      <c r="I614" s="12" t="s">
        <v>268</v>
      </c>
      <c r="J614" t="s">
        <v>278</v>
      </c>
      <c r="L614" t="s">
        <v>92</v>
      </c>
      <c r="N614" s="14">
        <v>1</v>
      </c>
      <c r="P614" s="12" t="s">
        <v>268</v>
      </c>
      <c r="W614" s="9" t="str">
        <f t="shared" ca="1" si="46"/>
        <v>18.5%</v>
      </c>
      <c r="X614" t="s">
        <v>321</v>
      </c>
      <c r="Y614" s="9" t="str">
        <f t="shared" ca="1" si="47"/>
        <v>Sin costo</v>
      </c>
      <c r="Z614" t="s">
        <v>327</v>
      </c>
      <c r="AA614" t="s">
        <v>329</v>
      </c>
      <c r="AB614" t="s">
        <v>334</v>
      </c>
      <c r="AC614" s="12" t="s">
        <v>339</v>
      </c>
      <c r="AE614" t="s">
        <v>268</v>
      </c>
      <c r="AG614" s="12" t="s">
        <v>268</v>
      </c>
      <c r="AH614" t="s">
        <v>92</v>
      </c>
      <c r="AI614" s="12" t="s">
        <v>268</v>
      </c>
      <c r="AJ614" t="s">
        <v>92</v>
      </c>
      <c r="AK614" t="s">
        <v>92</v>
      </c>
      <c r="AL614" t="s">
        <v>92</v>
      </c>
      <c r="AM614" s="12" t="s">
        <v>268</v>
      </c>
      <c r="AN614" s="12" t="s">
        <v>268</v>
      </c>
      <c r="AO614" s="12" t="s">
        <v>268</v>
      </c>
      <c r="AP614" s="12" t="s">
        <v>268</v>
      </c>
      <c r="AQ614" s="12" t="s">
        <v>268</v>
      </c>
      <c r="AR614" s="28" t="str">
        <f t="shared" ca="1" si="48"/>
        <v/>
      </c>
      <c r="AS614" s="28" t="str">
        <f t="shared" ca="1" si="49"/>
        <v/>
      </c>
    </row>
    <row r="615" spans="2:45" ht="27.6" customHeight="1">
      <c r="B615">
        <f t="shared" ca="1" si="45"/>
        <v>0</v>
      </c>
      <c r="C615" t="s">
        <v>85</v>
      </c>
      <c r="D615" t="s">
        <v>92</v>
      </c>
      <c r="E615" t="s">
        <v>92</v>
      </c>
      <c r="F615" t="s">
        <v>92</v>
      </c>
      <c r="G615" t="s">
        <v>92</v>
      </c>
      <c r="H615" t="s">
        <v>92</v>
      </c>
      <c r="I615" s="12" t="s">
        <v>268</v>
      </c>
      <c r="J615" t="s">
        <v>278</v>
      </c>
      <c r="L615" t="s">
        <v>92</v>
      </c>
      <c r="N615" s="14">
        <v>1</v>
      </c>
      <c r="P615" s="12" t="s">
        <v>268</v>
      </c>
      <c r="W615" s="9" t="str">
        <f t="shared" ca="1" si="46"/>
        <v>18.5%</v>
      </c>
      <c r="X615" t="s">
        <v>321</v>
      </c>
      <c r="Y615" s="9" t="str">
        <f t="shared" ca="1" si="47"/>
        <v>Sin costo</v>
      </c>
      <c r="Z615" t="s">
        <v>327</v>
      </c>
      <c r="AA615" t="s">
        <v>329</v>
      </c>
      <c r="AB615" t="s">
        <v>334</v>
      </c>
      <c r="AC615" s="12" t="s">
        <v>339</v>
      </c>
      <c r="AE615" t="s">
        <v>268</v>
      </c>
      <c r="AG615" s="12" t="s">
        <v>268</v>
      </c>
      <c r="AH615" t="s">
        <v>92</v>
      </c>
      <c r="AI615" s="12" t="s">
        <v>268</v>
      </c>
      <c r="AJ615" t="s">
        <v>92</v>
      </c>
      <c r="AK615" t="s">
        <v>92</v>
      </c>
      <c r="AL615" t="s">
        <v>92</v>
      </c>
      <c r="AM615" s="12" t="s">
        <v>268</v>
      </c>
      <c r="AN615" s="12" t="s">
        <v>268</v>
      </c>
      <c r="AO615" s="12" t="s">
        <v>268</v>
      </c>
      <c r="AP615" s="12" t="s">
        <v>268</v>
      </c>
      <c r="AQ615" s="12" t="s">
        <v>268</v>
      </c>
      <c r="AR615" s="28" t="str">
        <f t="shared" ca="1" si="48"/>
        <v/>
      </c>
      <c r="AS615" s="28" t="str">
        <f t="shared" ca="1" si="49"/>
        <v/>
      </c>
    </row>
    <row r="616" spans="2:45" ht="27.6" customHeight="1">
      <c r="B616">
        <f t="shared" ca="1" si="45"/>
        <v>0</v>
      </c>
      <c r="C616" t="s">
        <v>85</v>
      </c>
      <c r="D616" t="s">
        <v>92</v>
      </c>
      <c r="E616" t="s">
        <v>92</v>
      </c>
      <c r="F616" t="s">
        <v>92</v>
      </c>
      <c r="G616" t="s">
        <v>92</v>
      </c>
      <c r="H616" t="s">
        <v>92</v>
      </c>
      <c r="I616" s="12" t="s">
        <v>268</v>
      </c>
      <c r="J616" t="s">
        <v>278</v>
      </c>
      <c r="L616" t="s">
        <v>92</v>
      </c>
      <c r="N616" s="14">
        <v>1</v>
      </c>
      <c r="P616" s="12" t="s">
        <v>268</v>
      </c>
      <c r="W616" s="9" t="str">
        <f t="shared" ca="1" si="46"/>
        <v>18.5%</v>
      </c>
      <c r="X616" t="s">
        <v>321</v>
      </c>
      <c r="Y616" s="9" t="str">
        <f t="shared" ca="1" si="47"/>
        <v>Sin costo</v>
      </c>
      <c r="Z616" t="s">
        <v>327</v>
      </c>
      <c r="AA616" t="s">
        <v>329</v>
      </c>
      <c r="AB616" t="s">
        <v>334</v>
      </c>
      <c r="AC616" s="12" t="s">
        <v>339</v>
      </c>
      <c r="AE616" t="s">
        <v>268</v>
      </c>
      <c r="AG616" s="12" t="s">
        <v>268</v>
      </c>
      <c r="AH616" t="s">
        <v>92</v>
      </c>
      <c r="AI616" s="12" t="s">
        <v>268</v>
      </c>
      <c r="AJ616" t="s">
        <v>92</v>
      </c>
      <c r="AK616" t="s">
        <v>92</v>
      </c>
      <c r="AL616" t="s">
        <v>92</v>
      </c>
      <c r="AM616" s="12" t="s">
        <v>268</v>
      </c>
      <c r="AN616" s="12" t="s">
        <v>268</v>
      </c>
      <c r="AO616" s="12" t="s">
        <v>268</v>
      </c>
      <c r="AP616" s="12" t="s">
        <v>268</v>
      </c>
      <c r="AQ616" s="12" t="s">
        <v>268</v>
      </c>
      <c r="AR616" s="28" t="str">
        <f t="shared" ca="1" si="48"/>
        <v/>
      </c>
      <c r="AS616" s="28" t="str">
        <f t="shared" ca="1" si="49"/>
        <v/>
      </c>
    </row>
    <row r="617" spans="2:45" ht="27.6" customHeight="1">
      <c r="B617">
        <f t="shared" ca="1" si="45"/>
        <v>0</v>
      </c>
      <c r="C617" t="s">
        <v>85</v>
      </c>
      <c r="D617" t="s">
        <v>92</v>
      </c>
      <c r="E617" t="s">
        <v>92</v>
      </c>
      <c r="F617" t="s">
        <v>92</v>
      </c>
      <c r="G617" t="s">
        <v>92</v>
      </c>
      <c r="H617" t="s">
        <v>92</v>
      </c>
      <c r="I617" s="12" t="s">
        <v>268</v>
      </c>
      <c r="J617" t="s">
        <v>278</v>
      </c>
      <c r="L617" t="s">
        <v>92</v>
      </c>
      <c r="N617" s="14">
        <v>1</v>
      </c>
      <c r="P617" s="12" t="s">
        <v>268</v>
      </c>
      <c r="W617" s="9" t="str">
        <f t="shared" ca="1" si="46"/>
        <v>18.5%</v>
      </c>
      <c r="X617" t="s">
        <v>321</v>
      </c>
      <c r="Y617" s="9" t="str">
        <f t="shared" ca="1" si="47"/>
        <v>Sin costo</v>
      </c>
      <c r="Z617" t="s">
        <v>327</v>
      </c>
      <c r="AA617" t="s">
        <v>329</v>
      </c>
      <c r="AB617" t="s">
        <v>334</v>
      </c>
      <c r="AC617" s="12" t="s">
        <v>339</v>
      </c>
      <c r="AE617" t="s">
        <v>268</v>
      </c>
      <c r="AG617" s="12" t="s">
        <v>268</v>
      </c>
      <c r="AH617" t="s">
        <v>92</v>
      </c>
      <c r="AI617" s="12" t="s">
        <v>268</v>
      </c>
      <c r="AJ617" t="s">
        <v>92</v>
      </c>
      <c r="AK617" t="s">
        <v>92</v>
      </c>
      <c r="AL617" t="s">
        <v>92</v>
      </c>
      <c r="AM617" s="12" t="s">
        <v>268</v>
      </c>
      <c r="AN617" s="12" t="s">
        <v>268</v>
      </c>
      <c r="AO617" s="12" t="s">
        <v>268</v>
      </c>
      <c r="AP617" s="12" t="s">
        <v>268</v>
      </c>
      <c r="AQ617" s="12" t="s">
        <v>268</v>
      </c>
      <c r="AR617" s="28" t="str">
        <f t="shared" ca="1" si="48"/>
        <v/>
      </c>
      <c r="AS617" s="28" t="str">
        <f t="shared" ca="1" si="49"/>
        <v/>
      </c>
    </row>
    <row r="618" spans="2:45" ht="27.6" customHeight="1">
      <c r="B618">
        <f t="shared" ca="1" si="45"/>
        <v>0</v>
      </c>
      <c r="C618" t="s">
        <v>85</v>
      </c>
      <c r="D618" t="s">
        <v>92</v>
      </c>
      <c r="E618" t="s">
        <v>92</v>
      </c>
      <c r="F618" t="s">
        <v>92</v>
      </c>
      <c r="G618" t="s">
        <v>92</v>
      </c>
      <c r="H618" t="s">
        <v>92</v>
      </c>
      <c r="I618" s="12" t="s">
        <v>268</v>
      </c>
      <c r="J618" t="s">
        <v>278</v>
      </c>
      <c r="L618" t="s">
        <v>92</v>
      </c>
      <c r="N618" s="14">
        <v>1</v>
      </c>
      <c r="P618" s="12" t="s">
        <v>268</v>
      </c>
      <c r="W618" s="9" t="str">
        <f t="shared" ca="1" si="46"/>
        <v>18.5%</v>
      </c>
      <c r="X618" t="s">
        <v>321</v>
      </c>
      <c r="Y618" s="9" t="str">
        <f t="shared" ca="1" si="47"/>
        <v>Sin costo</v>
      </c>
      <c r="Z618" t="s">
        <v>327</v>
      </c>
      <c r="AA618" t="s">
        <v>329</v>
      </c>
      <c r="AB618" t="s">
        <v>334</v>
      </c>
      <c r="AC618" s="12" t="s">
        <v>339</v>
      </c>
      <c r="AE618" t="s">
        <v>268</v>
      </c>
      <c r="AG618" s="12" t="s">
        <v>268</v>
      </c>
      <c r="AH618" t="s">
        <v>92</v>
      </c>
      <c r="AI618" s="12" t="s">
        <v>268</v>
      </c>
      <c r="AJ618" t="s">
        <v>92</v>
      </c>
      <c r="AK618" t="s">
        <v>92</v>
      </c>
      <c r="AL618" t="s">
        <v>92</v>
      </c>
      <c r="AM618" s="12" t="s">
        <v>268</v>
      </c>
      <c r="AN618" s="12" t="s">
        <v>268</v>
      </c>
      <c r="AO618" s="12" t="s">
        <v>268</v>
      </c>
      <c r="AP618" s="12" t="s">
        <v>268</v>
      </c>
      <c r="AQ618" s="12" t="s">
        <v>268</v>
      </c>
      <c r="AR618" s="28" t="str">
        <f t="shared" ca="1" si="48"/>
        <v/>
      </c>
      <c r="AS618" s="28" t="str">
        <f t="shared" ca="1" si="49"/>
        <v/>
      </c>
    </row>
    <row r="619" spans="2:45" ht="27.6" customHeight="1">
      <c r="B619">
        <f t="shared" ca="1" si="45"/>
        <v>0</v>
      </c>
      <c r="C619" t="s">
        <v>85</v>
      </c>
      <c r="D619" t="s">
        <v>92</v>
      </c>
      <c r="E619" t="s">
        <v>92</v>
      </c>
      <c r="F619" t="s">
        <v>92</v>
      </c>
      <c r="G619" t="s">
        <v>92</v>
      </c>
      <c r="H619" t="s">
        <v>92</v>
      </c>
      <c r="I619" s="12" t="s">
        <v>268</v>
      </c>
      <c r="J619" t="s">
        <v>278</v>
      </c>
      <c r="L619" t="s">
        <v>92</v>
      </c>
      <c r="N619" s="14">
        <v>1</v>
      </c>
      <c r="P619" s="12" t="s">
        <v>268</v>
      </c>
      <c r="W619" s="9" t="str">
        <f t="shared" ca="1" si="46"/>
        <v>18.5%</v>
      </c>
      <c r="X619" t="s">
        <v>321</v>
      </c>
      <c r="Y619" s="9" t="str">
        <f t="shared" ca="1" si="47"/>
        <v>Sin costo</v>
      </c>
      <c r="Z619" t="s">
        <v>327</v>
      </c>
      <c r="AA619" t="s">
        <v>329</v>
      </c>
      <c r="AB619" t="s">
        <v>334</v>
      </c>
      <c r="AC619" s="12" t="s">
        <v>339</v>
      </c>
      <c r="AE619" t="s">
        <v>268</v>
      </c>
      <c r="AG619" s="12" t="s">
        <v>268</v>
      </c>
      <c r="AH619" t="s">
        <v>92</v>
      </c>
      <c r="AI619" s="12" t="s">
        <v>268</v>
      </c>
      <c r="AJ619" t="s">
        <v>92</v>
      </c>
      <c r="AK619" t="s">
        <v>92</v>
      </c>
      <c r="AL619" t="s">
        <v>92</v>
      </c>
      <c r="AM619" s="12" t="s">
        <v>268</v>
      </c>
      <c r="AN619" s="12" t="s">
        <v>268</v>
      </c>
      <c r="AO619" s="12" t="s">
        <v>268</v>
      </c>
      <c r="AP619" s="12" t="s">
        <v>268</v>
      </c>
      <c r="AQ619" s="12" t="s">
        <v>268</v>
      </c>
      <c r="AR619" s="28" t="str">
        <f t="shared" ca="1" si="48"/>
        <v/>
      </c>
      <c r="AS619" s="28" t="str">
        <f t="shared" ca="1" si="49"/>
        <v/>
      </c>
    </row>
    <row r="620" spans="2:45" ht="27.6" customHeight="1">
      <c r="B620">
        <f t="shared" ca="1" si="45"/>
        <v>0</v>
      </c>
      <c r="C620" t="s">
        <v>85</v>
      </c>
      <c r="D620" t="s">
        <v>92</v>
      </c>
      <c r="E620" t="s">
        <v>92</v>
      </c>
      <c r="F620" t="s">
        <v>92</v>
      </c>
      <c r="G620" t="s">
        <v>92</v>
      </c>
      <c r="H620" t="s">
        <v>92</v>
      </c>
      <c r="I620" s="12" t="s">
        <v>268</v>
      </c>
      <c r="J620" t="s">
        <v>278</v>
      </c>
      <c r="L620" t="s">
        <v>92</v>
      </c>
      <c r="N620" s="14">
        <v>1</v>
      </c>
      <c r="P620" s="12" t="s">
        <v>268</v>
      </c>
      <c r="W620" s="9" t="str">
        <f t="shared" ca="1" si="46"/>
        <v>18.5%</v>
      </c>
      <c r="X620" t="s">
        <v>321</v>
      </c>
      <c r="Y620" s="9" t="str">
        <f t="shared" ca="1" si="47"/>
        <v>Sin costo</v>
      </c>
      <c r="Z620" t="s">
        <v>327</v>
      </c>
      <c r="AA620" t="s">
        <v>329</v>
      </c>
      <c r="AB620" t="s">
        <v>334</v>
      </c>
      <c r="AC620" s="12" t="s">
        <v>339</v>
      </c>
      <c r="AE620" t="s">
        <v>268</v>
      </c>
      <c r="AG620" s="12" t="s">
        <v>268</v>
      </c>
      <c r="AH620" t="s">
        <v>92</v>
      </c>
      <c r="AI620" s="12" t="s">
        <v>268</v>
      </c>
      <c r="AJ620" t="s">
        <v>92</v>
      </c>
      <c r="AK620" t="s">
        <v>92</v>
      </c>
      <c r="AL620" t="s">
        <v>92</v>
      </c>
      <c r="AM620" s="12" t="s">
        <v>268</v>
      </c>
      <c r="AN620" s="12" t="s">
        <v>268</v>
      </c>
      <c r="AO620" s="12" t="s">
        <v>268</v>
      </c>
      <c r="AP620" s="12" t="s">
        <v>268</v>
      </c>
      <c r="AQ620" s="12" t="s">
        <v>268</v>
      </c>
      <c r="AR620" s="28" t="str">
        <f t="shared" ca="1" si="48"/>
        <v/>
      </c>
      <c r="AS620" s="28" t="str">
        <f t="shared" ca="1" si="49"/>
        <v/>
      </c>
    </row>
    <row r="621" spans="2:45" ht="27.6" customHeight="1">
      <c r="B621">
        <f t="shared" ca="1" si="45"/>
        <v>0</v>
      </c>
      <c r="C621" t="s">
        <v>85</v>
      </c>
      <c r="D621" t="s">
        <v>92</v>
      </c>
      <c r="E621" t="s">
        <v>92</v>
      </c>
      <c r="F621" t="s">
        <v>92</v>
      </c>
      <c r="G621" t="s">
        <v>92</v>
      </c>
      <c r="H621" t="s">
        <v>92</v>
      </c>
      <c r="I621" s="12" t="s">
        <v>268</v>
      </c>
      <c r="J621" t="s">
        <v>278</v>
      </c>
      <c r="L621" t="s">
        <v>92</v>
      </c>
      <c r="N621" s="14">
        <v>1</v>
      </c>
      <c r="P621" s="12" t="s">
        <v>268</v>
      </c>
      <c r="W621" s="9" t="str">
        <f t="shared" ca="1" si="46"/>
        <v>18.5%</v>
      </c>
      <c r="X621" t="s">
        <v>321</v>
      </c>
      <c r="Y621" s="9" t="str">
        <f t="shared" ca="1" si="47"/>
        <v>Sin costo</v>
      </c>
      <c r="Z621" t="s">
        <v>327</v>
      </c>
      <c r="AA621" t="s">
        <v>329</v>
      </c>
      <c r="AB621" t="s">
        <v>334</v>
      </c>
      <c r="AC621" s="12" t="s">
        <v>339</v>
      </c>
      <c r="AE621" t="s">
        <v>268</v>
      </c>
      <c r="AG621" s="12" t="s">
        <v>268</v>
      </c>
      <c r="AH621" t="s">
        <v>92</v>
      </c>
      <c r="AI621" s="12" t="s">
        <v>268</v>
      </c>
      <c r="AJ621" t="s">
        <v>92</v>
      </c>
      <c r="AK621" t="s">
        <v>92</v>
      </c>
      <c r="AL621" t="s">
        <v>92</v>
      </c>
      <c r="AM621" s="12" t="s">
        <v>268</v>
      </c>
      <c r="AN621" s="12" t="s">
        <v>268</v>
      </c>
      <c r="AO621" s="12" t="s">
        <v>268</v>
      </c>
      <c r="AP621" s="12" t="s">
        <v>268</v>
      </c>
      <c r="AQ621" s="12" t="s">
        <v>268</v>
      </c>
      <c r="AR621" s="28" t="str">
        <f t="shared" ca="1" si="48"/>
        <v/>
      </c>
      <c r="AS621" s="28" t="str">
        <f t="shared" ca="1" si="49"/>
        <v/>
      </c>
    </row>
    <row r="622" spans="2:45" ht="27.6" customHeight="1">
      <c r="B622">
        <f t="shared" ca="1" si="45"/>
        <v>0</v>
      </c>
      <c r="C622" t="s">
        <v>85</v>
      </c>
      <c r="D622" t="s">
        <v>92</v>
      </c>
      <c r="E622" t="s">
        <v>92</v>
      </c>
      <c r="F622" t="s">
        <v>92</v>
      </c>
      <c r="G622" t="s">
        <v>92</v>
      </c>
      <c r="H622" t="s">
        <v>92</v>
      </c>
      <c r="I622" s="12" t="s">
        <v>268</v>
      </c>
      <c r="J622" t="s">
        <v>278</v>
      </c>
      <c r="L622" t="s">
        <v>92</v>
      </c>
      <c r="N622" s="14">
        <v>1</v>
      </c>
      <c r="P622" s="12" t="s">
        <v>268</v>
      </c>
      <c r="W622" s="9" t="str">
        <f t="shared" ca="1" si="46"/>
        <v>18.5%</v>
      </c>
      <c r="X622" t="s">
        <v>321</v>
      </c>
      <c r="Y622" s="9" t="str">
        <f t="shared" ca="1" si="47"/>
        <v>Sin costo</v>
      </c>
      <c r="Z622" t="s">
        <v>327</v>
      </c>
      <c r="AA622" t="s">
        <v>329</v>
      </c>
      <c r="AB622" t="s">
        <v>334</v>
      </c>
      <c r="AC622" s="12" t="s">
        <v>339</v>
      </c>
      <c r="AE622" t="s">
        <v>268</v>
      </c>
      <c r="AG622" s="12" t="s">
        <v>268</v>
      </c>
      <c r="AH622" t="s">
        <v>92</v>
      </c>
      <c r="AI622" s="12" t="s">
        <v>268</v>
      </c>
      <c r="AJ622" t="s">
        <v>92</v>
      </c>
      <c r="AK622" t="s">
        <v>92</v>
      </c>
      <c r="AL622" t="s">
        <v>92</v>
      </c>
      <c r="AM622" s="12" t="s">
        <v>268</v>
      </c>
      <c r="AN622" s="12" t="s">
        <v>268</v>
      </c>
      <c r="AO622" s="12" t="s">
        <v>268</v>
      </c>
      <c r="AP622" s="12" t="s">
        <v>268</v>
      </c>
      <c r="AQ622" s="12" t="s">
        <v>268</v>
      </c>
      <c r="AR622" s="28" t="str">
        <f t="shared" ca="1" si="48"/>
        <v/>
      </c>
      <c r="AS622" s="28" t="str">
        <f t="shared" ca="1" si="49"/>
        <v/>
      </c>
    </row>
    <row r="623" spans="2:45" ht="27.6" customHeight="1">
      <c r="B623">
        <f t="shared" ca="1" si="45"/>
        <v>0</v>
      </c>
      <c r="C623" t="s">
        <v>85</v>
      </c>
      <c r="D623" t="s">
        <v>92</v>
      </c>
      <c r="E623" t="s">
        <v>92</v>
      </c>
      <c r="F623" t="s">
        <v>92</v>
      </c>
      <c r="G623" t="s">
        <v>92</v>
      </c>
      <c r="H623" t="s">
        <v>92</v>
      </c>
      <c r="I623" s="12" t="s">
        <v>268</v>
      </c>
      <c r="J623" t="s">
        <v>278</v>
      </c>
      <c r="L623" t="s">
        <v>92</v>
      </c>
      <c r="N623" s="14">
        <v>1</v>
      </c>
      <c r="P623" s="12" t="s">
        <v>268</v>
      </c>
      <c r="W623" s="9" t="str">
        <f t="shared" ca="1" si="46"/>
        <v>18.5%</v>
      </c>
      <c r="X623" t="s">
        <v>321</v>
      </c>
      <c r="Y623" s="9" t="str">
        <f t="shared" ca="1" si="47"/>
        <v>Sin costo</v>
      </c>
      <c r="Z623" t="s">
        <v>327</v>
      </c>
      <c r="AA623" t="s">
        <v>329</v>
      </c>
      <c r="AB623" t="s">
        <v>334</v>
      </c>
      <c r="AC623" s="12" t="s">
        <v>339</v>
      </c>
      <c r="AE623" t="s">
        <v>268</v>
      </c>
      <c r="AG623" s="12" t="s">
        <v>268</v>
      </c>
      <c r="AH623" t="s">
        <v>92</v>
      </c>
      <c r="AI623" s="12" t="s">
        <v>268</v>
      </c>
      <c r="AJ623" t="s">
        <v>92</v>
      </c>
      <c r="AK623" t="s">
        <v>92</v>
      </c>
      <c r="AL623" t="s">
        <v>92</v>
      </c>
      <c r="AM623" s="12" t="s">
        <v>268</v>
      </c>
      <c r="AN623" s="12" t="s">
        <v>268</v>
      </c>
      <c r="AO623" s="12" t="s">
        <v>268</v>
      </c>
      <c r="AP623" s="12" t="s">
        <v>268</v>
      </c>
      <c r="AQ623" s="12" t="s">
        <v>268</v>
      </c>
      <c r="AR623" s="28" t="str">
        <f t="shared" ca="1" si="48"/>
        <v/>
      </c>
      <c r="AS623" s="28" t="str">
        <f t="shared" ca="1" si="49"/>
        <v/>
      </c>
    </row>
    <row r="624" spans="2:45" ht="27.6" customHeight="1">
      <c r="B624">
        <f t="shared" ca="1" si="45"/>
        <v>0</v>
      </c>
      <c r="C624" t="s">
        <v>85</v>
      </c>
      <c r="D624" t="s">
        <v>92</v>
      </c>
      <c r="E624" t="s">
        <v>92</v>
      </c>
      <c r="F624" t="s">
        <v>92</v>
      </c>
      <c r="G624" t="s">
        <v>92</v>
      </c>
      <c r="H624" t="s">
        <v>92</v>
      </c>
      <c r="I624" s="12" t="s">
        <v>268</v>
      </c>
      <c r="J624" t="s">
        <v>278</v>
      </c>
      <c r="L624" t="s">
        <v>92</v>
      </c>
      <c r="N624" s="14">
        <v>1</v>
      </c>
      <c r="P624" s="12" t="s">
        <v>268</v>
      </c>
      <c r="W624" s="9" t="str">
        <f t="shared" ca="1" si="46"/>
        <v>18.5%</v>
      </c>
      <c r="X624" t="s">
        <v>321</v>
      </c>
      <c r="Y624" s="9" t="str">
        <f t="shared" ca="1" si="47"/>
        <v>Sin costo</v>
      </c>
      <c r="Z624" t="s">
        <v>327</v>
      </c>
      <c r="AA624" t="s">
        <v>329</v>
      </c>
      <c r="AB624" t="s">
        <v>334</v>
      </c>
      <c r="AC624" s="12" t="s">
        <v>339</v>
      </c>
      <c r="AE624" t="s">
        <v>268</v>
      </c>
      <c r="AG624" s="12" t="s">
        <v>268</v>
      </c>
      <c r="AH624" t="s">
        <v>92</v>
      </c>
      <c r="AI624" s="12" t="s">
        <v>268</v>
      </c>
      <c r="AJ624" t="s">
        <v>92</v>
      </c>
      <c r="AK624" t="s">
        <v>92</v>
      </c>
      <c r="AL624" t="s">
        <v>92</v>
      </c>
      <c r="AM624" s="12" t="s">
        <v>268</v>
      </c>
      <c r="AN624" s="12" t="s">
        <v>268</v>
      </c>
      <c r="AO624" s="12" t="s">
        <v>268</v>
      </c>
      <c r="AP624" s="12" t="s">
        <v>268</v>
      </c>
      <c r="AQ624" s="12" t="s">
        <v>268</v>
      </c>
      <c r="AR624" s="28" t="str">
        <f t="shared" ca="1" si="48"/>
        <v/>
      </c>
      <c r="AS624" s="28" t="str">
        <f t="shared" ca="1" si="49"/>
        <v/>
      </c>
    </row>
    <row r="625" spans="2:45" ht="27.6" customHeight="1">
      <c r="B625">
        <f t="shared" ca="1" si="45"/>
        <v>0</v>
      </c>
      <c r="C625" t="s">
        <v>85</v>
      </c>
      <c r="D625" t="s">
        <v>92</v>
      </c>
      <c r="E625" t="s">
        <v>92</v>
      </c>
      <c r="F625" t="s">
        <v>92</v>
      </c>
      <c r="G625" t="s">
        <v>92</v>
      </c>
      <c r="H625" t="s">
        <v>92</v>
      </c>
      <c r="I625" s="12" t="s">
        <v>268</v>
      </c>
      <c r="J625" t="s">
        <v>278</v>
      </c>
      <c r="L625" t="s">
        <v>92</v>
      </c>
      <c r="N625" s="14">
        <v>1</v>
      </c>
      <c r="P625" s="12" t="s">
        <v>268</v>
      </c>
      <c r="W625" s="9" t="str">
        <f t="shared" ca="1" si="46"/>
        <v>18.5%</v>
      </c>
      <c r="X625" t="s">
        <v>321</v>
      </c>
      <c r="Y625" s="9" t="str">
        <f t="shared" ca="1" si="47"/>
        <v>Sin costo</v>
      </c>
      <c r="Z625" t="s">
        <v>327</v>
      </c>
      <c r="AA625" t="s">
        <v>329</v>
      </c>
      <c r="AB625" t="s">
        <v>334</v>
      </c>
      <c r="AC625" s="12" t="s">
        <v>339</v>
      </c>
      <c r="AE625" t="s">
        <v>268</v>
      </c>
      <c r="AG625" s="12" t="s">
        <v>268</v>
      </c>
      <c r="AH625" t="s">
        <v>92</v>
      </c>
      <c r="AI625" s="12" t="s">
        <v>268</v>
      </c>
      <c r="AJ625" t="s">
        <v>92</v>
      </c>
      <c r="AK625" t="s">
        <v>92</v>
      </c>
      <c r="AL625" t="s">
        <v>92</v>
      </c>
      <c r="AM625" s="12" t="s">
        <v>268</v>
      </c>
      <c r="AN625" s="12" t="s">
        <v>268</v>
      </c>
      <c r="AO625" s="12" t="s">
        <v>268</v>
      </c>
      <c r="AP625" s="12" t="s">
        <v>268</v>
      </c>
      <c r="AQ625" s="12" t="s">
        <v>268</v>
      </c>
      <c r="AR625" s="28" t="str">
        <f t="shared" ca="1" si="48"/>
        <v/>
      </c>
      <c r="AS625" s="28" t="str">
        <f t="shared" ca="1" si="49"/>
        <v/>
      </c>
    </row>
    <row r="626" spans="2:45" ht="27.6" customHeight="1">
      <c r="B626">
        <f t="shared" ca="1" si="45"/>
        <v>0</v>
      </c>
      <c r="C626" t="s">
        <v>85</v>
      </c>
      <c r="D626" t="s">
        <v>92</v>
      </c>
      <c r="E626" t="s">
        <v>92</v>
      </c>
      <c r="F626" t="s">
        <v>92</v>
      </c>
      <c r="G626" t="s">
        <v>92</v>
      </c>
      <c r="H626" t="s">
        <v>92</v>
      </c>
      <c r="I626" s="12" t="s">
        <v>268</v>
      </c>
      <c r="J626" t="s">
        <v>278</v>
      </c>
      <c r="L626" t="s">
        <v>92</v>
      </c>
      <c r="N626" s="14">
        <v>1</v>
      </c>
      <c r="P626" s="12" t="s">
        <v>268</v>
      </c>
      <c r="W626" s="9" t="str">
        <f t="shared" ca="1" si="46"/>
        <v>18.5%</v>
      </c>
      <c r="X626" t="s">
        <v>321</v>
      </c>
      <c r="Y626" s="9" t="str">
        <f t="shared" ca="1" si="47"/>
        <v>Sin costo</v>
      </c>
      <c r="Z626" t="s">
        <v>327</v>
      </c>
      <c r="AA626" t="s">
        <v>329</v>
      </c>
      <c r="AB626" t="s">
        <v>334</v>
      </c>
      <c r="AC626" s="12" t="s">
        <v>339</v>
      </c>
      <c r="AE626" t="s">
        <v>268</v>
      </c>
      <c r="AG626" s="12" t="s">
        <v>268</v>
      </c>
      <c r="AH626" t="s">
        <v>92</v>
      </c>
      <c r="AI626" s="12" t="s">
        <v>268</v>
      </c>
      <c r="AJ626" t="s">
        <v>92</v>
      </c>
      <c r="AK626" t="s">
        <v>92</v>
      </c>
      <c r="AL626" t="s">
        <v>92</v>
      </c>
      <c r="AM626" s="12" t="s">
        <v>268</v>
      </c>
      <c r="AN626" s="12" t="s">
        <v>268</v>
      </c>
      <c r="AO626" s="12" t="s">
        <v>268</v>
      </c>
      <c r="AP626" s="12" t="s">
        <v>268</v>
      </c>
      <c r="AQ626" s="12" t="s">
        <v>268</v>
      </c>
      <c r="AR626" s="28" t="str">
        <f t="shared" ca="1" si="48"/>
        <v/>
      </c>
      <c r="AS626" s="28" t="str">
        <f t="shared" ca="1" si="49"/>
        <v/>
      </c>
    </row>
    <row r="627" spans="2:45" ht="27.6" customHeight="1">
      <c r="B627">
        <f t="shared" ca="1" si="45"/>
        <v>0</v>
      </c>
      <c r="C627" t="s">
        <v>85</v>
      </c>
      <c r="D627" t="s">
        <v>92</v>
      </c>
      <c r="E627" t="s">
        <v>92</v>
      </c>
      <c r="F627" t="s">
        <v>92</v>
      </c>
      <c r="G627" t="s">
        <v>92</v>
      </c>
      <c r="H627" t="s">
        <v>92</v>
      </c>
      <c r="I627" s="12" t="s">
        <v>268</v>
      </c>
      <c r="J627" t="s">
        <v>278</v>
      </c>
      <c r="L627" t="s">
        <v>92</v>
      </c>
      <c r="N627" s="14">
        <v>1</v>
      </c>
      <c r="P627" s="12" t="s">
        <v>268</v>
      </c>
      <c r="W627" s="9" t="str">
        <f t="shared" ca="1" si="46"/>
        <v>18.5%</v>
      </c>
      <c r="X627" t="s">
        <v>321</v>
      </c>
      <c r="Y627" s="9" t="str">
        <f t="shared" ca="1" si="47"/>
        <v>Sin costo</v>
      </c>
      <c r="Z627" t="s">
        <v>327</v>
      </c>
      <c r="AA627" t="s">
        <v>329</v>
      </c>
      <c r="AB627" t="s">
        <v>334</v>
      </c>
      <c r="AC627" s="12" t="s">
        <v>339</v>
      </c>
      <c r="AE627" t="s">
        <v>268</v>
      </c>
      <c r="AG627" s="12" t="s">
        <v>268</v>
      </c>
      <c r="AH627" t="s">
        <v>92</v>
      </c>
      <c r="AI627" s="12" t="s">
        <v>268</v>
      </c>
      <c r="AJ627" t="s">
        <v>92</v>
      </c>
      <c r="AK627" t="s">
        <v>92</v>
      </c>
      <c r="AL627" t="s">
        <v>92</v>
      </c>
      <c r="AM627" s="12" t="s">
        <v>268</v>
      </c>
      <c r="AN627" s="12" t="s">
        <v>268</v>
      </c>
      <c r="AO627" s="12" t="s">
        <v>268</v>
      </c>
      <c r="AP627" s="12" t="s">
        <v>268</v>
      </c>
      <c r="AQ627" s="12" t="s">
        <v>268</v>
      </c>
      <c r="AR627" s="28" t="str">
        <f t="shared" ca="1" si="48"/>
        <v/>
      </c>
      <c r="AS627" s="28" t="str">
        <f t="shared" ca="1" si="49"/>
        <v/>
      </c>
    </row>
    <row r="628" spans="2:45" ht="27.6" customHeight="1">
      <c r="B628">
        <f t="shared" ca="1" si="45"/>
        <v>0</v>
      </c>
      <c r="C628" t="s">
        <v>85</v>
      </c>
      <c r="D628" t="s">
        <v>92</v>
      </c>
      <c r="E628" t="s">
        <v>92</v>
      </c>
      <c r="F628" t="s">
        <v>92</v>
      </c>
      <c r="G628" t="s">
        <v>92</v>
      </c>
      <c r="H628" t="s">
        <v>92</v>
      </c>
      <c r="I628" s="12" t="s">
        <v>268</v>
      </c>
      <c r="J628" t="s">
        <v>278</v>
      </c>
      <c r="L628" t="s">
        <v>92</v>
      </c>
      <c r="N628" s="14">
        <v>1</v>
      </c>
      <c r="P628" s="12" t="s">
        <v>268</v>
      </c>
      <c r="W628" s="9" t="str">
        <f t="shared" ca="1" si="46"/>
        <v>18.5%</v>
      </c>
      <c r="X628" t="s">
        <v>321</v>
      </c>
      <c r="Y628" s="9" t="str">
        <f t="shared" ca="1" si="47"/>
        <v>Sin costo</v>
      </c>
      <c r="Z628" t="s">
        <v>327</v>
      </c>
      <c r="AA628" t="s">
        <v>329</v>
      </c>
      <c r="AB628" t="s">
        <v>334</v>
      </c>
      <c r="AC628" s="12" t="s">
        <v>339</v>
      </c>
      <c r="AE628" t="s">
        <v>268</v>
      </c>
      <c r="AG628" s="12" t="s">
        <v>268</v>
      </c>
      <c r="AH628" t="s">
        <v>92</v>
      </c>
      <c r="AI628" s="12" t="s">
        <v>268</v>
      </c>
      <c r="AJ628" t="s">
        <v>92</v>
      </c>
      <c r="AK628" t="s">
        <v>92</v>
      </c>
      <c r="AL628" t="s">
        <v>92</v>
      </c>
      <c r="AM628" s="12" t="s">
        <v>268</v>
      </c>
      <c r="AN628" s="12" t="s">
        <v>268</v>
      </c>
      <c r="AO628" s="12" t="s">
        <v>268</v>
      </c>
      <c r="AP628" s="12" t="s">
        <v>268</v>
      </c>
      <c r="AQ628" s="12" t="s">
        <v>268</v>
      </c>
      <c r="AR628" s="28" t="str">
        <f t="shared" ca="1" si="48"/>
        <v/>
      </c>
      <c r="AS628" s="28" t="str">
        <f t="shared" ca="1" si="49"/>
        <v/>
      </c>
    </row>
    <row r="629" spans="2:45" ht="27.6" customHeight="1">
      <c r="B629">
        <f t="shared" ca="1" si="45"/>
        <v>0</v>
      </c>
      <c r="C629" t="s">
        <v>85</v>
      </c>
      <c r="D629" t="s">
        <v>92</v>
      </c>
      <c r="E629" t="s">
        <v>92</v>
      </c>
      <c r="F629" t="s">
        <v>92</v>
      </c>
      <c r="G629" t="s">
        <v>92</v>
      </c>
      <c r="H629" t="s">
        <v>92</v>
      </c>
      <c r="I629" s="12" t="s">
        <v>268</v>
      </c>
      <c r="J629" t="s">
        <v>278</v>
      </c>
      <c r="L629" t="s">
        <v>92</v>
      </c>
      <c r="N629" s="14">
        <v>1</v>
      </c>
      <c r="P629" s="12" t="s">
        <v>268</v>
      </c>
      <c r="W629" s="9" t="str">
        <f t="shared" ca="1" si="46"/>
        <v>18.5%</v>
      </c>
      <c r="X629" t="s">
        <v>321</v>
      </c>
      <c r="Y629" s="9" t="str">
        <f t="shared" ca="1" si="47"/>
        <v>Sin costo</v>
      </c>
      <c r="Z629" t="s">
        <v>327</v>
      </c>
      <c r="AA629" t="s">
        <v>329</v>
      </c>
      <c r="AB629" t="s">
        <v>334</v>
      </c>
      <c r="AC629" s="12" t="s">
        <v>339</v>
      </c>
      <c r="AE629" t="s">
        <v>268</v>
      </c>
      <c r="AG629" s="12" t="s">
        <v>268</v>
      </c>
      <c r="AH629" t="s">
        <v>92</v>
      </c>
      <c r="AI629" s="12" t="s">
        <v>268</v>
      </c>
      <c r="AJ629" t="s">
        <v>92</v>
      </c>
      <c r="AK629" t="s">
        <v>92</v>
      </c>
      <c r="AL629" t="s">
        <v>92</v>
      </c>
      <c r="AM629" s="12" t="s">
        <v>268</v>
      </c>
      <c r="AN629" s="12" t="s">
        <v>268</v>
      </c>
      <c r="AO629" s="12" t="s">
        <v>268</v>
      </c>
      <c r="AP629" s="12" t="s">
        <v>268</v>
      </c>
      <c r="AQ629" s="12" t="s">
        <v>268</v>
      </c>
      <c r="AR629" s="28" t="str">
        <f t="shared" ca="1" si="48"/>
        <v/>
      </c>
      <c r="AS629" s="28" t="str">
        <f t="shared" ca="1" si="49"/>
        <v/>
      </c>
    </row>
    <row r="630" spans="2:45" ht="27.6" customHeight="1">
      <c r="B630">
        <f t="shared" ca="1" si="45"/>
        <v>0</v>
      </c>
      <c r="C630" t="s">
        <v>85</v>
      </c>
      <c r="D630" t="s">
        <v>92</v>
      </c>
      <c r="E630" t="s">
        <v>92</v>
      </c>
      <c r="F630" t="s">
        <v>92</v>
      </c>
      <c r="G630" t="s">
        <v>92</v>
      </c>
      <c r="H630" t="s">
        <v>92</v>
      </c>
      <c r="I630" s="12" t="s">
        <v>268</v>
      </c>
      <c r="J630" t="s">
        <v>278</v>
      </c>
      <c r="L630" t="s">
        <v>92</v>
      </c>
      <c r="N630" s="14">
        <v>1</v>
      </c>
      <c r="P630" s="12" t="s">
        <v>268</v>
      </c>
      <c r="W630" s="9" t="str">
        <f t="shared" ca="1" si="46"/>
        <v>18.5%</v>
      </c>
      <c r="X630" t="s">
        <v>321</v>
      </c>
      <c r="Y630" s="9" t="str">
        <f t="shared" ca="1" si="47"/>
        <v>Sin costo</v>
      </c>
      <c r="Z630" t="s">
        <v>327</v>
      </c>
      <c r="AA630" t="s">
        <v>329</v>
      </c>
      <c r="AB630" t="s">
        <v>334</v>
      </c>
      <c r="AC630" s="12" t="s">
        <v>339</v>
      </c>
      <c r="AE630" t="s">
        <v>268</v>
      </c>
      <c r="AG630" s="12" t="s">
        <v>268</v>
      </c>
      <c r="AH630" t="s">
        <v>92</v>
      </c>
      <c r="AI630" s="12" t="s">
        <v>268</v>
      </c>
      <c r="AJ630" t="s">
        <v>92</v>
      </c>
      <c r="AK630" t="s">
        <v>92</v>
      </c>
      <c r="AL630" t="s">
        <v>92</v>
      </c>
      <c r="AM630" s="12" t="s">
        <v>268</v>
      </c>
      <c r="AN630" s="12" t="s">
        <v>268</v>
      </c>
      <c r="AO630" s="12" t="s">
        <v>268</v>
      </c>
      <c r="AP630" s="12" t="s">
        <v>268</v>
      </c>
      <c r="AQ630" s="12" t="s">
        <v>268</v>
      </c>
      <c r="AR630" s="28" t="str">
        <f t="shared" ca="1" si="48"/>
        <v/>
      </c>
      <c r="AS630" s="28" t="str">
        <f t="shared" ca="1" si="49"/>
        <v/>
      </c>
    </row>
    <row r="631" spans="2:45" ht="27.6" customHeight="1">
      <c r="B631">
        <f t="shared" ca="1" si="45"/>
        <v>0</v>
      </c>
      <c r="C631" t="s">
        <v>85</v>
      </c>
      <c r="D631" t="s">
        <v>92</v>
      </c>
      <c r="E631" t="s">
        <v>92</v>
      </c>
      <c r="F631" t="s">
        <v>92</v>
      </c>
      <c r="G631" t="s">
        <v>92</v>
      </c>
      <c r="H631" t="s">
        <v>92</v>
      </c>
      <c r="I631" s="12" t="s">
        <v>268</v>
      </c>
      <c r="J631" t="s">
        <v>278</v>
      </c>
      <c r="L631" t="s">
        <v>92</v>
      </c>
      <c r="N631" s="14">
        <v>1</v>
      </c>
      <c r="P631" s="12" t="s">
        <v>268</v>
      </c>
      <c r="W631" s="9" t="str">
        <f t="shared" ca="1" si="46"/>
        <v>18.5%</v>
      </c>
      <c r="X631" t="s">
        <v>321</v>
      </c>
      <c r="Y631" s="9" t="str">
        <f t="shared" ca="1" si="47"/>
        <v>Sin costo</v>
      </c>
      <c r="Z631" t="s">
        <v>327</v>
      </c>
      <c r="AA631" t="s">
        <v>329</v>
      </c>
      <c r="AB631" t="s">
        <v>334</v>
      </c>
      <c r="AC631" s="12" t="s">
        <v>339</v>
      </c>
      <c r="AE631" t="s">
        <v>268</v>
      </c>
      <c r="AG631" s="12" t="s">
        <v>268</v>
      </c>
      <c r="AH631" t="s">
        <v>92</v>
      </c>
      <c r="AI631" s="12" t="s">
        <v>268</v>
      </c>
      <c r="AJ631" t="s">
        <v>92</v>
      </c>
      <c r="AK631" t="s">
        <v>92</v>
      </c>
      <c r="AL631" t="s">
        <v>92</v>
      </c>
      <c r="AM631" s="12" t="s">
        <v>268</v>
      </c>
      <c r="AN631" s="12" t="s">
        <v>268</v>
      </c>
      <c r="AO631" s="12" t="s">
        <v>268</v>
      </c>
      <c r="AP631" s="12" t="s">
        <v>268</v>
      </c>
      <c r="AQ631" s="12" t="s">
        <v>268</v>
      </c>
      <c r="AR631" s="28" t="str">
        <f t="shared" ca="1" si="48"/>
        <v/>
      </c>
      <c r="AS631" s="28" t="str">
        <f t="shared" ca="1" si="49"/>
        <v/>
      </c>
    </row>
    <row r="632" spans="2:45" ht="27.6" customHeight="1">
      <c r="B632">
        <f t="shared" ca="1" si="45"/>
        <v>0</v>
      </c>
      <c r="C632" t="s">
        <v>85</v>
      </c>
      <c r="D632" t="s">
        <v>92</v>
      </c>
      <c r="E632" t="s">
        <v>92</v>
      </c>
      <c r="F632" t="s">
        <v>92</v>
      </c>
      <c r="G632" t="s">
        <v>92</v>
      </c>
      <c r="H632" t="s">
        <v>92</v>
      </c>
      <c r="I632" s="12" t="s">
        <v>268</v>
      </c>
      <c r="J632" t="s">
        <v>278</v>
      </c>
      <c r="L632" t="s">
        <v>92</v>
      </c>
      <c r="N632" s="14">
        <v>1</v>
      </c>
      <c r="P632" s="12" t="s">
        <v>268</v>
      </c>
      <c r="W632" s="9" t="str">
        <f t="shared" ca="1" si="46"/>
        <v>18.5%</v>
      </c>
      <c r="X632" t="s">
        <v>321</v>
      </c>
      <c r="Y632" s="9" t="str">
        <f t="shared" ca="1" si="47"/>
        <v>Sin costo</v>
      </c>
      <c r="Z632" t="s">
        <v>327</v>
      </c>
      <c r="AA632" t="s">
        <v>329</v>
      </c>
      <c r="AB632" t="s">
        <v>334</v>
      </c>
      <c r="AC632" s="12" t="s">
        <v>339</v>
      </c>
      <c r="AE632" t="s">
        <v>268</v>
      </c>
      <c r="AG632" s="12" t="s">
        <v>268</v>
      </c>
      <c r="AH632" t="s">
        <v>92</v>
      </c>
      <c r="AI632" s="12" t="s">
        <v>268</v>
      </c>
      <c r="AJ632" t="s">
        <v>92</v>
      </c>
      <c r="AK632" t="s">
        <v>92</v>
      </c>
      <c r="AL632" t="s">
        <v>92</v>
      </c>
      <c r="AM632" s="12" t="s">
        <v>268</v>
      </c>
      <c r="AN632" s="12" t="s">
        <v>268</v>
      </c>
      <c r="AO632" s="12" t="s">
        <v>268</v>
      </c>
      <c r="AP632" s="12" t="s">
        <v>268</v>
      </c>
      <c r="AQ632" s="12" t="s">
        <v>268</v>
      </c>
      <c r="AR632" s="28" t="str">
        <f t="shared" ca="1" si="48"/>
        <v/>
      </c>
      <c r="AS632" s="28" t="str">
        <f t="shared" ca="1" si="49"/>
        <v/>
      </c>
    </row>
    <row r="633" spans="2:45" ht="27.6" customHeight="1">
      <c r="B633">
        <f t="shared" ca="1" si="45"/>
        <v>0</v>
      </c>
      <c r="C633" t="s">
        <v>85</v>
      </c>
      <c r="D633" t="s">
        <v>92</v>
      </c>
      <c r="E633" t="s">
        <v>92</v>
      </c>
      <c r="F633" t="s">
        <v>92</v>
      </c>
      <c r="G633" t="s">
        <v>92</v>
      </c>
      <c r="H633" t="s">
        <v>92</v>
      </c>
      <c r="I633" s="12" t="s">
        <v>268</v>
      </c>
      <c r="J633" t="s">
        <v>278</v>
      </c>
      <c r="L633" t="s">
        <v>92</v>
      </c>
      <c r="N633" s="14">
        <v>1</v>
      </c>
      <c r="P633" s="12" t="s">
        <v>268</v>
      </c>
      <c r="W633" s="9" t="str">
        <f t="shared" ca="1" si="46"/>
        <v>18.5%</v>
      </c>
      <c r="X633" t="s">
        <v>321</v>
      </c>
      <c r="Y633" s="9" t="str">
        <f t="shared" ca="1" si="47"/>
        <v>Sin costo</v>
      </c>
      <c r="Z633" t="s">
        <v>327</v>
      </c>
      <c r="AA633" t="s">
        <v>329</v>
      </c>
      <c r="AB633" t="s">
        <v>334</v>
      </c>
      <c r="AC633" s="12" t="s">
        <v>339</v>
      </c>
      <c r="AE633" t="s">
        <v>268</v>
      </c>
      <c r="AG633" s="12" t="s">
        <v>268</v>
      </c>
      <c r="AH633" t="s">
        <v>92</v>
      </c>
      <c r="AI633" s="12" t="s">
        <v>268</v>
      </c>
      <c r="AJ633" t="s">
        <v>92</v>
      </c>
      <c r="AK633" t="s">
        <v>92</v>
      </c>
      <c r="AL633" t="s">
        <v>92</v>
      </c>
      <c r="AM633" s="12" t="s">
        <v>268</v>
      </c>
      <c r="AN633" s="12" t="s">
        <v>268</v>
      </c>
      <c r="AO633" s="12" t="s">
        <v>268</v>
      </c>
      <c r="AP633" s="12" t="s">
        <v>268</v>
      </c>
      <c r="AQ633" s="12" t="s">
        <v>268</v>
      </c>
      <c r="AR633" s="28" t="str">
        <f t="shared" ca="1" si="48"/>
        <v/>
      </c>
      <c r="AS633" s="28" t="str">
        <f t="shared" ca="1" si="49"/>
        <v/>
      </c>
    </row>
    <row r="634" spans="2:45" ht="27.6" customHeight="1">
      <c r="B634">
        <f t="shared" ca="1" si="45"/>
        <v>0</v>
      </c>
      <c r="C634" t="s">
        <v>85</v>
      </c>
      <c r="D634" t="s">
        <v>92</v>
      </c>
      <c r="E634" t="s">
        <v>92</v>
      </c>
      <c r="F634" t="s">
        <v>92</v>
      </c>
      <c r="G634" t="s">
        <v>92</v>
      </c>
      <c r="H634" t="s">
        <v>92</v>
      </c>
      <c r="I634" s="12" t="s">
        <v>268</v>
      </c>
      <c r="J634" t="s">
        <v>278</v>
      </c>
      <c r="L634" t="s">
        <v>92</v>
      </c>
      <c r="N634" s="14">
        <v>1</v>
      </c>
      <c r="P634" s="12" t="s">
        <v>268</v>
      </c>
      <c r="W634" s="9" t="str">
        <f t="shared" ca="1" si="46"/>
        <v>18.5%</v>
      </c>
      <c r="X634" t="s">
        <v>321</v>
      </c>
      <c r="Y634" s="9" t="str">
        <f t="shared" ca="1" si="47"/>
        <v>Sin costo</v>
      </c>
      <c r="Z634" t="s">
        <v>327</v>
      </c>
      <c r="AA634" t="s">
        <v>329</v>
      </c>
      <c r="AB634" t="s">
        <v>334</v>
      </c>
      <c r="AC634" s="12" t="s">
        <v>339</v>
      </c>
      <c r="AE634" t="s">
        <v>268</v>
      </c>
      <c r="AG634" s="12" t="s">
        <v>268</v>
      </c>
      <c r="AH634" t="s">
        <v>92</v>
      </c>
      <c r="AI634" s="12" t="s">
        <v>268</v>
      </c>
      <c r="AJ634" t="s">
        <v>92</v>
      </c>
      <c r="AK634" t="s">
        <v>92</v>
      </c>
      <c r="AL634" t="s">
        <v>92</v>
      </c>
      <c r="AM634" s="12" t="s">
        <v>268</v>
      </c>
      <c r="AN634" s="12" t="s">
        <v>268</v>
      </c>
      <c r="AO634" s="12" t="s">
        <v>268</v>
      </c>
      <c r="AP634" s="12" t="s">
        <v>268</v>
      </c>
      <c r="AQ634" s="12" t="s">
        <v>268</v>
      </c>
      <c r="AR634" s="28" t="str">
        <f t="shared" ca="1" si="48"/>
        <v/>
      </c>
      <c r="AS634" s="28" t="str">
        <f t="shared" ca="1" si="49"/>
        <v/>
      </c>
    </row>
    <row r="635" spans="2:45" ht="27.6" customHeight="1">
      <c r="B635">
        <f t="shared" ca="1" si="45"/>
        <v>0</v>
      </c>
      <c r="C635" t="s">
        <v>85</v>
      </c>
      <c r="D635" t="s">
        <v>92</v>
      </c>
      <c r="E635" t="s">
        <v>92</v>
      </c>
      <c r="F635" t="s">
        <v>92</v>
      </c>
      <c r="G635" t="s">
        <v>92</v>
      </c>
      <c r="H635" t="s">
        <v>92</v>
      </c>
      <c r="I635" s="12" t="s">
        <v>268</v>
      </c>
      <c r="J635" t="s">
        <v>278</v>
      </c>
      <c r="L635" t="s">
        <v>92</v>
      </c>
      <c r="N635" s="14">
        <v>1</v>
      </c>
      <c r="P635" s="12" t="s">
        <v>268</v>
      </c>
      <c r="W635" s="9" t="str">
        <f t="shared" ca="1" si="46"/>
        <v>18.5%</v>
      </c>
      <c r="X635" t="s">
        <v>321</v>
      </c>
      <c r="Y635" s="9" t="str">
        <f t="shared" ca="1" si="47"/>
        <v>Sin costo</v>
      </c>
      <c r="Z635" t="s">
        <v>327</v>
      </c>
      <c r="AA635" t="s">
        <v>329</v>
      </c>
      <c r="AB635" t="s">
        <v>334</v>
      </c>
      <c r="AC635" s="12" t="s">
        <v>339</v>
      </c>
      <c r="AE635" t="s">
        <v>268</v>
      </c>
      <c r="AG635" s="12" t="s">
        <v>268</v>
      </c>
      <c r="AH635" t="s">
        <v>92</v>
      </c>
      <c r="AI635" s="12" t="s">
        <v>268</v>
      </c>
      <c r="AJ635" t="s">
        <v>92</v>
      </c>
      <c r="AK635" t="s">
        <v>92</v>
      </c>
      <c r="AL635" t="s">
        <v>92</v>
      </c>
      <c r="AM635" s="12" t="s">
        <v>268</v>
      </c>
      <c r="AN635" s="12" t="s">
        <v>268</v>
      </c>
      <c r="AO635" s="12" t="s">
        <v>268</v>
      </c>
      <c r="AP635" s="12" t="s">
        <v>268</v>
      </c>
      <c r="AQ635" s="12" t="s">
        <v>268</v>
      </c>
      <c r="AR635" s="28" t="str">
        <f t="shared" ca="1" si="48"/>
        <v/>
      </c>
      <c r="AS635" s="28" t="str">
        <f t="shared" ca="1" si="49"/>
        <v/>
      </c>
    </row>
    <row r="636" spans="2:45" ht="27.6" customHeight="1">
      <c r="B636">
        <f t="shared" ca="1" si="45"/>
        <v>0</v>
      </c>
      <c r="C636" t="s">
        <v>85</v>
      </c>
      <c r="D636" t="s">
        <v>92</v>
      </c>
      <c r="E636" t="s">
        <v>92</v>
      </c>
      <c r="F636" t="s">
        <v>92</v>
      </c>
      <c r="G636" t="s">
        <v>92</v>
      </c>
      <c r="H636" t="s">
        <v>92</v>
      </c>
      <c r="I636" s="12" t="s">
        <v>268</v>
      </c>
      <c r="J636" t="s">
        <v>278</v>
      </c>
      <c r="L636" t="s">
        <v>92</v>
      </c>
      <c r="N636" s="14">
        <v>1</v>
      </c>
      <c r="P636" s="12" t="s">
        <v>268</v>
      </c>
      <c r="W636" s="9" t="str">
        <f t="shared" ca="1" si="46"/>
        <v>18.5%</v>
      </c>
      <c r="X636" t="s">
        <v>321</v>
      </c>
      <c r="Y636" s="9" t="str">
        <f t="shared" ca="1" si="47"/>
        <v>Sin costo</v>
      </c>
      <c r="Z636" t="s">
        <v>327</v>
      </c>
      <c r="AA636" t="s">
        <v>329</v>
      </c>
      <c r="AB636" t="s">
        <v>334</v>
      </c>
      <c r="AC636" s="12" t="s">
        <v>339</v>
      </c>
      <c r="AE636" t="s">
        <v>268</v>
      </c>
      <c r="AG636" s="12" t="s">
        <v>268</v>
      </c>
      <c r="AH636" t="s">
        <v>92</v>
      </c>
      <c r="AI636" s="12" t="s">
        <v>268</v>
      </c>
      <c r="AJ636" t="s">
        <v>92</v>
      </c>
      <c r="AK636" t="s">
        <v>92</v>
      </c>
      <c r="AL636" t="s">
        <v>92</v>
      </c>
      <c r="AM636" s="12" t="s">
        <v>268</v>
      </c>
      <c r="AN636" s="12" t="s">
        <v>268</v>
      </c>
      <c r="AO636" s="12" t="s">
        <v>268</v>
      </c>
      <c r="AP636" s="12" t="s">
        <v>268</v>
      </c>
      <c r="AQ636" s="12" t="s">
        <v>268</v>
      </c>
      <c r="AR636" s="28" t="str">
        <f t="shared" ca="1" si="48"/>
        <v/>
      </c>
      <c r="AS636" s="28" t="str">
        <f t="shared" ca="1" si="49"/>
        <v/>
      </c>
    </row>
    <row r="637" spans="2:45" ht="27.6" customHeight="1">
      <c r="B637">
        <f t="shared" ca="1" si="45"/>
        <v>0</v>
      </c>
      <c r="C637" t="s">
        <v>85</v>
      </c>
      <c r="D637" t="s">
        <v>92</v>
      </c>
      <c r="E637" t="s">
        <v>92</v>
      </c>
      <c r="F637" t="s">
        <v>92</v>
      </c>
      <c r="G637" t="s">
        <v>92</v>
      </c>
      <c r="H637" t="s">
        <v>92</v>
      </c>
      <c r="I637" s="12" t="s">
        <v>268</v>
      </c>
      <c r="J637" t="s">
        <v>278</v>
      </c>
      <c r="L637" t="s">
        <v>92</v>
      </c>
      <c r="N637" s="14">
        <v>1</v>
      </c>
      <c r="P637" s="12" t="s">
        <v>268</v>
      </c>
      <c r="W637" s="9" t="str">
        <f t="shared" ca="1" si="46"/>
        <v>18.5%</v>
      </c>
      <c r="X637" t="s">
        <v>321</v>
      </c>
      <c r="Y637" s="9" t="str">
        <f t="shared" ca="1" si="47"/>
        <v>Sin costo</v>
      </c>
      <c r="Z637" t="s">
        <v>327</v>
      </c>
      <c r="AA637" t="s">
        <v>329</v>
      </c>
      <c r="AB637" t="s">
        <v>334</v>
      </c>
      <c r="AC637" s="12" t="s">
        <v>339</v>
      </c>
      <c r="AE637" t="s">
        <v>268</v>
      </c>
      <c r="AG637" s="12" t="s">
        <v>268</v>
      </c>
      <c r="AH637" t="s">
        <v>92</v>
      </c>
      <c r="AI637" s="12" t="s">
        <v>268</v>
      </c>
      <c r="AJ637" t="s">
        <v>92</v>
      </c>
      <c r="AK637" t="s">
        <v>92</v>
      </c>
      <c r="AL637" t="s">
        <v>92</v>
      </c>
      <c r="AM637" s="12" t="s">
        <v>268</v>
      </c>
      <c r="AN637" s="12" t="s">
        <v>268</v>
      </c>
      <c r="AO637" s="12" t="s">
        <v>268</v>
      </c>
      <c r="AP637" s="12" t="s">
        <v>268</v>
      </c>
      <c r="AQ637" s="12" t="s">
        <v>268</v>
      </c>
      <c r="AR637" s="28" t="str">
        <f t="shared" ca="1" si="48"/>
        <v/>
      </c>
      <c r="AS637" s="28" t="str">
        <f t="shared" ca="1" si="49"/>
        <v/>
      </c>
    </row>
    <row r="638" spans="2:45" ht="27.6" customHeight="1">
      <c r="B638">
        <f t="shared" ca="1" si="45"/>
        <v>0</v>
      </c>
      <c r="C638" t="s">
        <v>85</v>
      </c>
      <c r="D638" t="s">
        <v>92</v>
      </c>
      <c r="E638" t="s">
        <v>92</v>
      </c>
      <c r="F638" t="s">
        <v>92</v>
      </c>
      <c r="G638" t="s">
        <v>92</v>
      </c>
      <c r="H638" t="s">
        <v>92</v>
      </c>
      <c r="I638" s="12" t="s">
        <v>268</v>
      </c>
      <c r="J638" t="s">
        <v>278</v>
      </c>
      <c r="L638" t="s">
        <v>92</v>
      </c>
      <c r="N638" s="14">
        <v>1</v>
      </c>
      <c r="P638" s="12" t="s">
        <v>268</v>
      </c>
      <c r="W638" s="9" t="str">
        <f t="shared" ca="1" si="46"/>
        <v>18.5%</v>
      </c>
      <c r="X638" t="s">
        <v>321</v>
      </c>
      <c r="Y638" s="9" t="str">
        <f t="shared" ca="1" si="47"/>
        <v>Sin costo</v>
      </c>
      <c r="Z638" t="s">
        <v>327</v>
      </c>
      <c r="AA638" t="s">
        <v>329</v>
      </c>
      <c r="AB638" t="s">
        <v>334</v>
      </c>
      <c r="AC638" s="12" t="s">
        <v>339</v>
      </c>
      <c r="AE638" t="s">
        <v>268</v>
      </c>
      <c r="AG638" s="12" t="s">
        <v>268</v>
      </c>
      <c r="AH638" t="s">
        <v>92</v>
      </c>
      <c r="AI638" s="12" t="s">
        <v>268</v>
      </c>
      <c r="AJ638" t="s">
        <v>92</v>
      </c>
      <c r="AK638" t="s">
        <v>92</v>
      </c>
      <c r="AL638" t="s">
        <v>92</v>
      </c>
      <c r="AM638" s="12" t="s">
        <v>268</v>
      </c>
      <c r="AN638" s="12" t="s">
        <v>268</v>
      </c>
      <c r="AO638" s="12" t="s">
        <v>268</v>
      </c>
      <c r="AP638" s="12" t="s">
        <v>268</v>
      </c>
      <c r="AQ638" s="12" t="s">
        <v>268</v>
      </c>
      <c r="AR638" s="28" t="str">
        <f t="shared" ca="1" si="48"/>
        <v/>
      </c>
      <c r="AS638" s="28" t="str">
        <f t="shared" ca="1" si="49"/>
        <v/>
      </c>
    </row>
    <row r="639" spans="2:45" ht="27.6" customHeight="1">
      <c r="B639">
        <f t="shared" ca="1" si="45"/>
        <v>0</v>
      </c>
      <c r="C639" t="s">
        <v>85</v>
      </c>
      <c r="D639" t="s">
        <v>92</v>
      </c>
      <c r="E639" t="s">
        <v>92</v>
      </c>
      <c r="F639" t="s">
        <v>92</v>
      </c>
      <c r="G639" t="s">
        <v>92</v>
      </c>
      <c r="H639" t="s">
        <v>92</v>
      </c>
      <c r="I639" s="12" t="s">
        <v>268</v>
      </c>
      <c r="J639" t="s">
        <v>278</v>
      </c>
      <c r="L639" t="s">
        <v>92</v>
      </c>
      <c r="N639" s="14">
        <v>1</v>
      </c>
      <c r="P639" s="12" t="s">
        <v>268</v>
      </c>
      <c r="W639" s="9" t="str">
        <f t="shared" ca="1" si="46"/>
        <v>18.5%</v>
      </c>
      <c r="X639" t="s">
        <v>321</v>
      </c>
      <c r="Y639" s="9" t="str">
        <f t="shared" ca="1" si="47"/>
        <v>Sin costo</v>
      </c>
      <c r="Z639" t="s">
        <v>327</v>
      </c>
      <c r="AA639" t="s">
        <v>329</v>
      </c>
      <c r="AB639" t="s">
        <v>334</v>
      </c>
      <c r="AC639" s="12" t="s">
        <v>339</v>
      </c>
      <c r="AE639" t="s">
        <v>268</v>
      </c>
      <c r="AG639" s="12" t="s">
        <v>268</v>
      </c>
      <c r="AH639" t="s">
        <v>92</v>
      </c>
      <c r="AI639" s="12" t="s">
        <v>268</v>
      </c>
      <c r="AJ639" t="s">
        <v>92</v>
      </c>
      <c r="AK639" t="s">
        <v>92</v>
      </c>
      <c r="AL639" t="s">
        <v>92</v>
      </c>
      <c r="AM639" s="12" t="s">
        <v>268</v>
      </c>
      <c r="AN639" s="12" t="s">
        <v>268</v>
      </c>
      <c r="AO639" s="12" t="s">
        <v>268</v>
      </c>
      <c r="AP639" s="12" t="s">
        <v>268</v>
      </c>
      <c r="AQ639" s="12" t="s">
        <v>268</v>
      </c>
      <c r="AR639" s="28" t="str">
        <f t="shared" ca="1" si="48"/>
        <v/>
      </c>
      <c r="AS639" s="28" t="str">
        <f t="shared" ca="1" si="49"/>
        <v/>
      </c>
    </row>
    <row r="640" spans="2:45" ht="27.6" customHeight="1">
      <c r="B640">
        <f t="shared" ca="1" si="45"/>
        <v>0</v>
      </c>
      <c r="C640" t="s">
        <v>85</v>
      </c>
      <c r="D640" t="s">
        <v>92</v>
      </c>
      <c r="E640" t="s">
        <v>92</v>
      </c>
      <c r="F640" t="s">
        <v>92</v>
      </c>
      <c r="G640" t="s">
        <v>92</v>
      </c>
      <c r="H640" t="s">
        <v>92</v>
      </c>
      <c r="I640" s="12" t="s">
        <v>268</v>
      </c>
      <c r="J640" t="s">
        <v>278</v>
      </c>
      <c r="L640" t="s">
        <v>92</v>
      </c>
      <c r="N640" s="14">
        <v>1</v>
      </c>
      <c r="P640" s="12" t="s">
        <v>268</v>
      </c>
      <c r="W640" s="9" t="str">
        <f t="shared" ca="1" si="46"/>
        <v>18.5%</v>
      </c>
      <c r="X640" t="s">
        <v>321</v>
      </c>
      <c r="Y640" s="9" t="str">
        <f t="shared" ca="1" si="47"/>
        <v>Sin costo</v>
      </c>
      <c r="Z640" t="s">
        <v>327</v>
      </c>
      <c r="AA640" t="s">
        <v>329</v>
      </c>
      <c r="AB640" t="s">
        <v>334</v>
      </c>
      <c r="AC640" s="12" t="s">
        <v>339</v>
      </c>
      <c r="AE640" t="s">
        <v>268</v>
      </c>
      <c r="AG640" s="12" t="s">
        <v>268</v>
      </c>
      <c r="AH640" t="s">
        <v>92</v>
      </c>
      <c r="AI640" s="12" t="s">
        <v>268</v>
      </c>
      <c r="AJ640" t="s">
        <v>92</v>
      </c>
      <c r="AK640" t="s">
        <v>92</v>
      </c>
      <c r="AL640" t="s">
        <v>92</v>
      </c>
      <c r="AM640" s="12" t="s">
        <v>268</v>
      </c>
      <c r="AN640" s="12" t="s">
        <v>268</v>
      </c>
      <c r="AO640" s="12" t="s">
        <v>268</v>
      </c>
      <c r="AP640" s="12" t="s">
        <v>268</v>
      </c>
      <c r="AQ640" s="12" t="s">
        <v>268</v>
      </c>
      <c r="AR640" s="28" t="str">
        <f t="shared" ca="1" si="48"/>
        <v/>
      </c>
      <c r="AS640" s="28" t="str">
        <f t="shared" ca="1" si="49"/>
        <v/>
      </c>
    </row>
    <row r="641" spans="2:45" ht="27.6" customHeight="1">
      <c r="B641">
        <f t="shared" ca="1" si="45"/>
        <v>0</v>
      </c>
      <c r="C641" t="s">
        <v>85</v>
      </c>
      <c r="D641" t="s">
        <v>92</v>
      </c>
      <c r="E641" t="s">
        <v>92</v>
      </c>
      <c r="F641" t="s">
        <v>92</v>
      </c>
      <c r="G641" t="s">
        <v>92</v>
      </c>
      <c r="H641" t="s">
        <v>92</v>
      </c>
      <c r="I641" s="12" t="s">
        <v>268</v>
      </c>
      <c r="J641" t="s">
        <v>278</v>
      </c>
      <c r="L641" t="s">
        <v>92</v>
      </c>
      <c r="N641" s="14">
        <v>1</v>
      </c>
      <c r="P641" s="12" t="s">
        <v>268</v>
      </c>
      <c r="W641" s="9" t="str">
        <f t="shared" ca="1" si="46"/>
        <v>18.5%</v>
      </c>
      <c r="X641" t="s">
        <v>321</v>
      </c>
      <c r="Y641" s="9" t="str">
        <f t="shared" ca="1" si="47"/>
        <v>Sin costo</v>
      </c>
      <c r="Z641" t="s">
        <v>327</v>
      </c>
      <c r="AA641" t="s">
        <v>329</v>
      </c>
      <c r="AB641" t="s">
        <v>334</v>
      </c>
      <c r="AC641" s="12" t="s">
        <v>339</v>
      </c>
      <c r="AE641" t="s">
        <v>268</v>
      </c>
      <c r="AG641" s="12" t="s">
        <v>268</v>
      </c>
      <c r="AH641" t="s">
        <v>92</v>
      </c>
      <c r="AI641" s="12" t="s">
        <v>268</v>
      </c>
      <c r="AJ641" t="s">
        <v>92</v>
      </c>
      <c r="AK641" t="s">
        <v>92</v>
      </c>
      <c r="AL641" t="s">
        <v>92</v>
      </c>
      <c r="AM641" s="12" t="s">
        <v>268</v>
      </c>
      <c r="AN641" s="12" t="s">
        <v>268</v>
      </c>
      <c r="AO641" s="12" t="s">
        <v>268</v>
      </c>
      <c r="AP641" s="12" t="s">
        <v>268</v>
      </c>
      <c r="AQ641" s="12" t="s">
        <v>268</v>
      </c>
      <c r="AR641" s="28" t="str">
        <f t="shared" ca="1" si="48"/>
        <v/>
      </c>
      <c r="AS641" s="28" t="str">
        <f t="shared" ca="1" si="49"/>
        <v/>
      </c>
    </row>
    <row r="642" spans="2:45" ht="27.6" customHeight="1">
      <c r="B642">
        <f t="shared" ca="1" si="45"/>
        <v>0</v>
      </c>
      <c r="C642" t="s">
        <v>85</v>
      </c>
      <c r="D642" t="s">
        <v>92</v>
      </c>
      <c r="E642" t="s">
        <v>92</v>
      </c>
      <c r="F642" t="s">
        <v>92</v>
      </c>
      <c r="G642" t="s">
        <v>92</v>
      </c>
      <c r="H642" t="s">
        <v>92</v>
      </c>
      <c r="I642" s="12" t="s">
        <v>268</v>
      </c>
      <c r="J642" t="s">
        <v>278</v>
      </c>
      <c r="L642" t="s">
        <v>92</v>
      </c>
      <c r="N642" s="14">
        <v>1</v>
      </c>
      <c r="P642" s="12" t="s">
        <v>268</v>
      </c>
      <c r="W642" s="9" t="str">
        <f t="shared" ca="1" si="46"/>
        <v>18.5%</v>
      </c>
      <c r="X642" t="s">
        <v>321</v>
      </c>
      <c r="Y642" s="9" t="str">
        <f t="shared" ca="1" si="47"/>
        <v>Sin costo</v>
      </c>
      <c r="Z642" t="s">
        <v>327</v>
      </c>
      <c r="AA642" t="s">
        <v>329</v>
      </c>
      <c r="AB642" t="s">
        <v>334</v>
      </c>
      <c r="AC642" s="12" t="s">
        <v>339</v>
      </c>
      <c r="AE642" t="s">
        <v>268</v>
      </c>
      <c r="AG642" s="12" t="s">
        <v>268</v>
      </c>
      <c r="AH642" t="s">
        <v>92</v>
      </c>
      <c r="AI642" s="12" t="s">
        <v>268</v>
      </c>
      <c r="AJ642" t="s">
        <v>92</v>
      </c>
      <c r="AK642" t="s">
        <v>92</v>
      </c>
      <c r="AL642" t="s">
        <v>92</v>
      </c>
      <c r="AM642" s="12" t="s">
        <v>268</v>
      </c>
      <c r="AN642" s="12" t="s">
        <v>268</v>
      </c>
      <c r="AO642" s="12" t="s">
        <v>268</v>
      </c>
      <c r="AP642" s="12" t="s">
        <v>268</v>
      </c>
      <c r="AQ642" s="12" t="s">
        <v>268</v>
      </c>
      <c r="AR642" s="28" t="str">
        <f t="shared" ca="1" si="48"/>
        <v/>
      </c>
      <c r="AS642" s="28" t="str">
        <f t="shared" ca="1" si="49"/>
        <v/>
      </c>
    </row>
    <row r="643" spans="2:45" ht="27.6" customHeight="1">
      <c r="B643">
        <f t="shared" ca="1" si="45"/>
        <v>0</v>
      </c>
      <c r="C643" t="s">
        <v>85</v>
      </c>
      <c r="D643" t="s">
        <v>92</v>
      </c>
      <c r="E643" t="s">
        <v>92</v>
      </c>
      <c r="F643" t="s">
        <v>92</v>
      </c>
      <c r="G643" t="s">
        <v>92</v>
      </c>
      <c r="H643" t="s">
        <v>92</v>
      </c>
      <c r="I643" s="12" t="s">
        <v>268</v>
      </c>
      <c r="J643" t="s">
        <v>278</v>
      </c>
      <c r="L643" t="s">
        <v>92</v>
      </c>
      <c r="N643" s="14">
        <v>1</v>
      </c>
      <c r="P643" s="12" t="s">
        <v>268</v>
      </c>
      <c r="W643" s="9" t="str">
        <f t="shared" ca="1" si="46"/>
        <v>18.5%</v>
      </c>
      <c r="X643" t="s">
        <v>321</v>
      </c>
      <c r="Y643" s="9" t="str">
        <f t="shared" ca="1" si="47"/>
        <v>Sin costo</v>
      </c>
      <c r="Z643" t="s">
        <v>327</v>
      </c>
      <c r="AA643" t="s">
        <v>329</v>
      </c>
      <c r="AB643" t="s">
        <v>334</v>
      </c>
      <c r="AC643" s="12" t="s">
        <v>339</v>
      </c>
      <c r="AE643" t="s">
        <v>268</v>
      </c>
      <c r="AG643" s="12" t="s">
        <v>268</v>
      </c>
      <c r="AH643" t="s">
        <v>92</v>
      </c>
      <c r="AI643" s="12" t="s">
        <v>268</v>
      </c>
      <c r="AJ643" t="s">
        <v>92</v>
      </c>
      <c r="AK643" t="s">
        <v>92</v>
      </c>
      <c r="AL643" t="s">
        <v>92</v>
      </c>
      <c r="AM643" s="12" t="s">
        <v>268</v>
      </c>
      <c r="AN643" s="12" t="s">
        <v>268</v>
      </c>
      <c r="AO643" s="12" t="s">
        <v>268</v>
      </c>
      <c r="AP643" s="12" t="s">
        <v>268</v>
      </c>
      <c r="AQ643" s="12" t="s">
        <v>268</v>
      </c>
      <c r="AR643" s="28" t="str">
        <f t="shared" ca="1" si="48"/>
        <v/>
      </c>
      <c r="AS643" s="28" t="str">
        <f t="shared" ca="1" si="49"/>
        <v/>
      </c>
    </row>
    <row r="644" spans="2:45" ht="27.6" customHeight="1">
      <c r="B644">
        <f t="shared" ca="1" si="45"/>
        <v>0</v>
      </c>
      <c r="C644" t="s">
        <v>85</v>
      </c>
      <c r="D644" t="s">
        <v>92</v>
      </c>
      <c r="E644" t="s">
        <v>92</v>
      </c>
      <c r="F644" t="s">
        <v>92</v>
      </c>
      <c r="G644" t="s">
        <v>92</v>
      </c>
      <c r="H644" t="s">
        <v>92</v>
      </c>
      <c r="I644" s="12" t="s">
        <v>268</v>
      </c>
      <c r="J644" t="s">
        <v>278</v>
      </c>
      <c r="L644" t="s">
        <v>92</v>
      </c>
      <c r="N644" s="14">
        <v>1</v>
      </c>
      <c r="P644" s="12" t="s">
        <v>268</v>
      </c>
      <c r="W644" s="9" t="str">
        <f t="shared" ca="1" si="46"/>
        <v>18.5%</v>
      </c>
      <c r="X644" t="s">
        <v>321</v>
      </c>
      <c r="Y644" s="9" t="str">
        <f t="shared" ca="1" si="47"/>
        <v>Sin costo</v>
      </c>
      <c r="Z644" t="s">
        <v>327</v>
      </c>
      <c r="AA644" t="s">
        <v>329</v>
      </c>
      <c r="AB644" t="s">
        <v>334</v>
      </c>
      <c r="AC644" s="12" t="s">
        <v>339</v>
      </c>
      <c r="AE644" t="s">
        <v>268</v>
      </c>
      <c r="AG644" s="12" t="s">
        <v>268</v>
      </c>
      <c r="AH644" t="s">
        <v>92</v>
      </c>
      <c r="AI644" s="12" t="s">
        <v>268</v>
      </c>
      <c r="AJ644" t="s">
        <v>92</v>
      </c>
      <c r="AK644" t="s">
        <v>92</v>
      </c>
      <c r="AL644" t="s">
        <v>92</v>
      </c>
      <c r="AM644" s="12" t="s">
        <v>268</v>
      </c>
      <c r="AN644" s="12" t="s">
        <v>268</v>
      </c>
      <c r="AO644" s="12" t="s">
        <v>268</v>
      </c>
      <c r="AP644" s="12" t="s">
        <v>268</v>
      </c>
      <c r="AQ644" s="12" t="s">
        <v>268</v>
      </c>
      <c r="AR644" s="28" t="str">
        <f t="shared" ca="1" si="48"/>
        <v/>
      </c>
      <c r="AS644" s="28" t="str">
        <f t="shared" ca="1" si="49"/>
        <v/>
      </c>
    </row>
    <row r="645" spans="2:45" ht="27.6" customHeight="1">
      <c r="B645">
        <f t="shared" ca="1" si="45"/>
        <v>0</v>
      </c>
      <c r="C645" t="s">
        <v>85</v>
      </c>
      <c r="D645" t="s">
        <v>92</v>
      </c>
      <c r="E645" t="s">
        <v>92</v>
      </c>
      <c r="F645" t="s">
        <v>92</v>
      </c>
      <c r="G645" t="s">
        <v>92</v>
      </c>
      <c r="H645" t="s">
        <v>92</v>
      </c>
      <c r="I645" s="12" t="s">
        <v>268</v>
      </c>
      <c r="J645" t="s">
        <v>278</v>
      </c>
      <c r="L645" t="s">
        <v>92</v>
      </c>
      <c r="N645" s="14">
        <v>1</v>
      </c>
      <c r="P645" s="12" t="s">
        <v>268</v>
      </c>
      <c r="W645" s="9" t="str">
        <f t="shared" ca="1" si="46"/>
        <v>18.5%</v>
      </c>
      <c r="X645" t="s">
        <v>321</v>
      </c>
      <c r="Y645" s="9" t="str">
        <f t="shared" ca="1" si="47"/>
        <v>Sin costo</v>
      </c>
      <c r="Z645" t="s">
        <v>327</v>
      </c>
      <c r="AA645" t="s">
        <v>329</v>
      </c>
      <c r="AB645" t="s">
        <v>334</v>
      </c>
      <c r="AC645" s="12" t="s">
        <v>339</v>
      </c>
      <c r="AE645" t="s">
        <v>268</v>
      </c>
      <c r="AG645" s="12" t="s">
        <v>268</v>
      </c>
      <c r="AH645" t="s">
        <v>92</v>
      </c>
      <c r="AI645" s="12" t="s">
        <v>268</v>
      </c>
      <c r="AJ645" t="s">
        <v>92</v>
      </c>
      <c r="AK645" t="s">
        <v>92</v>
      </c>
      <c r="AL645" t="s">
        <v>92</v>
      </c>
      <c r="AM645" s="12" t="s">
        <v>268</v>
      </c>
      <c r="AN645" s="12" t="s">
        <v>268</v>
      </c>
      <c r="AO645" s="12" t="s">
        <v>268</v>
      </c>
      <c r="AP645" s="12" t="s">
        <v>268</v>
      </c>
      <c r="AQ645" s="12" t="s">
        <v>268</v>
      </c>
      <c r="AR645" s="28" t="str">
        <f t="shared" ca="1" si="48"/>
        <v/>
      </c>
      <c r="AS645" s="28" t="str">
        <f t="shared" ca="1" si="49"/>
        <v/>
      </c>
    </row>
    <row r="646" spans="2:45" ht="27.6" customHeight="1">
      <c r="B646">
        <f t="shared" ca="1" si="45"/>
        <v>0</v>
      </c>
      <c r="C646" t="s">
        <v>85</v>
      </c>
      <c r="D646" t="s">
        <v>92</v>
      </c>
      <c r="E646" t="s">
        <v>92</v>
      </c>
      <c r="F646" t="s">
        <v>92</v>
      </c>
      <c r="G646" t="s">
        <v>92</v>
      </c>
      <c r="H646" t="s">
        <v>92</v>
      </c>
      <c r="I646" s="12" t="s">
        <v>268</v>
      </c>
      <c r="J646" t="s">
        <v>278</v>
      </c>
      <c r="L646" t="s">
        <v>92</v>
      </c>
      <c r="N646" s="14">
        <v>1</v>
      </c>
      <c r="P646" s="12" t="s">
        <v>268</v>
      </c>
      <c r="W646" s="9" t="str">
        <f t="shared" ca="1" si="46"/>
        <v>18.5%</v>
      </c>
      <c r="X646" t="s">
        <v>321</v>
      </c>
      <c r="Y646" s="9" t="str">
        <f t="shared" ca="1" si="47"/>
        <v>Sin costo</v>
      </c>
      <c r="Z646" t="s">
        <v>327</v>
      </c>
      <c r="AA646" t="s">
        <v>329</v>
      </c>
      <c r="AB646" t="s">
        <v>334</v>
      </c>
      <c r="AC646" s="12" t="s">
        <v>339</v>
      </c>
      <c r="AE646" t="s">
        <v>268</v>
      </c>
      <c r="AG646" s="12" t="s">
        <v>268</v>
      </c>
      <c r="AH646" t="s">
        <v>92</v>
      </c>
      <c r="AI646" s="12" t="s">
        <v>268</v>
      </c>
      <c r="AJ646" t="s">
        <v>92</v>
      </c>
      <c r="AK646" t="s">
        <v>92</v>
      </c>
      <c r="AL646" t="s">
        <v>92</v>
      </c>
      <c r="AM646" s="12" t="s">
        <v>268</v>
      </c>
      <c r="AN646" s="12" t="s">
        <v>268</v>
      </c>
      <c r="AO646" s="12" t="s">
        <v>268</v>
      </c>
      <c r="AP646" s="12" t="s">
        <v>268</v>
      </c>
      <c r="AQ646" s="12" t="s">
        <v>268</v>
      </c>
      <c r="AR646" s="28" t="str">
        <f t="shared" ca="1" si="48"/>
        <v/>
      </c>
      <c r="AS646" s="28" t="str">
        <f t="shared" ca="1" si="49"/>
        <v/>
      </c>
    </row>
    <row r="647" spans="2:45" ht="27.6" customHeight="1">
      <c r="B647">
        <f t="shared" ref="B647:B710" ca="1" si="50">LEN(INDIRECT(ADDRESS(ROW() + (0),COLUMN() + (-1))))</f>
        <v>0</v>
      </c>
      <c r="C647" t="s">
        <v>85</v>
      </c>
      <c r="D647" t="s">
        <v>92</v>
      </c>
      <c r="E647" t="s">
        <v>92</v>
      </c>
      <c r="F647" t="s">
        <v>92</v>
      </c>
      <c r="G647" t="s">
        <v>92</v>
      </c>
      <c r="H647" t="s">
        <v>92</v>
      </c>
      <c r="I647" s="12" t="s">
        <v>268</v>
      </c>
      <c r="J647" t="s">
        <v>278</v>
      </c>
      <c r="L647" t="s">
        <v>92</v>
      </c>
      <c r="N647" s="14">
        <v>1</v>
      </c>
      <c r="P647" s="12" t="s">
        <v>268</v>
      </c>
      <c r="W647" s="9" t="str">
        <f t="shared" ref="W647:W710" ca="1" si="51">IF(INDIRECT(ADDRESS(ROW() + (0),COLUMN() + (1)))="Cuotas extra", IF(("21.5%")="", "-", "21.5%"), IF(INDIRECT(ADDRESS(ROW() + (0),COLUMN() + (1)))="Cuotas", IF(("18.5%")="", "-", "18.5%"), "-"))</f>
        <v>18.5%</v>
      </c>
      <c r="X647" t="s">
        <v>321</v>
      </c>
      <c r="Y647" s="9" t="str">
        <f t="shared" ref="Y647:Y710" ca="1" si="52">IF(INDIRECT(ADDRESS(ROW() + (0),COLUMN() + (-1)))="Cuotas extra", IF(("")="", "Sin costo", ""), IF(INDIRECT(ADDRESS(ROW() + (0),COLUMN() + (-1)))="Cuotas", IF(("")="", "Sin costo", ""), "-"))</f>
        <v>Sin costo</v>
      </c>
      <c r="Z647" t="s">
        <v>327</v>
      </c>
      <c r="AA647" t="s">
        <v>329</v>
      </c>
      <c r="AB647" t="s">
        <v>334</v>
      </c>
      <c r="AC647" s="12" t="s">
        <v>339</v>
      </c>
      <c r="AE647" t="s">
        <v>268</v>
      </c>
      <c r="AG647" s="12" t="s">
        <v>268</v>
      </c>
      <c r="AH647" t="s">
        <v>92</v>
      </c>
      <c r="AI647" s="12" t="s">
        <v>268</v>
      </c>
      <c r="AJ647" t="s">
        <v>92</v>
      </c>
      <c r="AK647" t="s">
        <v>92</v>
      </c>
      <c r="AL647" t="s">
        <v>92</v>
      </c>
      <c r="AM647" s="12" t="s">
        <v>268</v>
      </c>
      <c r="AN647" s="12" t="s">
        <v>268</v>
      </c>
      <c r="AO647" s="12" t="s">
        <v>268</v>
      </c>
      <c r="AP647" s="12" t="s">
        <v>268</v>
      </c>
      <c r="AQ647" s="12" t="s">
        <v>268</v>
      </c>
      <c r="AR647" s="28" t="str">
        <f t="shared" ref="AR647:AR710" ca="1" si="5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647" s="28" t="str">
        <f t="shared" ref="AS647:AS710" ca="1" si="54">IF(TRIM(INDIRECT("A"&amp;ROW())) &lt;&gt; "",FALSE,"")</f>
        <v/>
      </c>
    </row>
    <row r="648" spans="2:45" ht="27.6" customHeight="1">
      <c r="B648">
        <f t="shared" ca="1" si="50"/>
        <v>0</v>
      </c>
      <c r="C648" t="s">
        <v>85</v>
      </c>
      <c r="D648" t="s">
        <v>92</v>
      </c>
      <c r="E648" t="s">
        <v>92</v>
      </c>
      <c r="F648" t="s">
        <v>92</v>
      </c>
      <c r="G648" t="s">
        <v>92</v>
      </c>
      <c r="H648" t="s">
        <v>92</v>
      </c>
      <c r="I648" s="12" t="s">
        <v>268</v>
      </c>
      <c r="J648" t="s">
        <v>278</v>
      </c>
      <c r="L648" t="s">
        <v>92</v>
      </c>
      <c r="N648" s="14">
        <v>1</v>
      </c>
      <c r="P648" s="12" t="s">
        <v>268</v>
      </c>
      <c r="W648" s="9" t="str">
        <f t="shared" ca="1" si="51"/>
        <v>18.5%</v>
      </c>
      <c r="X648" t="s">
        <v>321</v>
      </c>
      <c r="Y648" s="9" t="str">
        <f t="shared" ca="1" si="52"/>
        <v>Sin costo</v>
      </c>
      <c r="Z648" t="s">
        <v>327</v>
      </c>
      <c r="AA648" t="s">
        <v>329</v>
      </c>
      <c r="AB648" t="s">
        <v>334</v>
      </c>
      <c r="AC648" s="12" t="s">
        <v>339</v>
      </c>
      <c r="AE648" t="s">
        <v>268</v>
      </c>
      <c r="AG648" s="12" t="s">
        <v>268</v>
      </c>
      <c r="AH648" t="s">
        <v>92</v>
      </c>
      <c r="AI648" s="12" t="s">
        <v>268</v>
      </c>
      <c r="AJ648" t="s">
        <v>92</v>
      </c>
      <c r="AK648" t="s">
        <v>92</v>
      </c>
      <c r="AL648" t="s">
        <v>92</v>
      </c>
      <c r="AM648" s="12" t="s">
        <v>268</v>
      </c>
      <c r="AN648" s="12" t="s">
        <v>268</v>
      </c>
      <c r="AO648" s="12" t="s">
        <v>268</v>
      </c>
      <c r="AP648" s="12" t="s">
        <v>268</v>
      </c>
      <c r="AQ648" s="12" t="s">
        <v>268</v>
      </c>
      <c r="AR648" s="28" t="str">
        <f t="shared" ca="1" si="53"/>
        <v/>
      </c>
      <c r="AS648" s="28" t="str">
        <f t="shared" ca="1" si="54"/>
        <v/>
      </c>
    </row>
    <row r="649" spans="2:45" ht="27.6" customHeight="1">
      <c r="B649">
        <f t="shared" ca="1" si="50"/>
        <v>0</v>
      </c>
      <c r="C649" t="s">
        <v>85</v>
      </c>
      <c r="D649" t="s">
        <v>92</v>
      </c>
      <c r="E649" t="s">
        <v>92</v>
      </c>
      <c r="F649" t="s">
        <v>92</v>
      </c>
      <c r="G649" t="s">
        <v>92</v>
      </c>
      <c r="H649" t="s">
        <v>92</v>
      </c>
      <c r="I649" s="12" t="s">
        <v>268</v>
      </c>
      <c r="J649" t="s">
        <v>278</v>
      </c>
      <c r="L649" t="s">
        <v>92</v>
      </c>
      <c r="N649" s="14">
        <v>1</v>
      </c>
      <c r="P649" s="12" t="s">
        <v>268</v>
      </c>
      <c r="W649" s="9" t="str">
        <f t="shared" ca="1" si="51"/>
        <v>18.5%</v>
      </c>
      <c r="X649" t="s">
        <v>321</v>
      </c>
      <c r="Y649" s="9" t="str">
        <f t="shared" ca="1" si="52"/>
        <v>Sin costo</v>
      </c>
      <c r="Z649" t="s">
        <v>327</v>
      </c>
      <c r="AA649" t="s">
        <v>329</v>
      </c>
      <c r="AB649" t="s">
        <v>334</v>
      </c>
      <c r="AC649" s="12" t="s">
        <v>339</v>
      </c>
      <c r="AE649" t="s">
        <v>268</v>
      </c>
      <c r="AG649" s="12" t="s">
        <v>268</v>
      </c>
      <c r="AH649" t="s">
        <v>92</v>
      </c>
      <c r="AI649" s="12" t="s">
        <v>268</v>
      </c>
      <c r="AJ649" t="s">
        <v>92</v>
      </c>
      <c r="AK649" t="s">
        <v>92</v>
      </c>
      <c r="AL649" t="s">
        <v>92</v>
      </c>
      <c r="AM649" s="12" t="s">
        <v>268</v>
      </c>
      <c r="AN649" s="12" t="s">
        <v>268</v>
      </c>
      <c r="AO649" s="12" t="s">
        <v>268</v>
      </c>
      <c r="AP649" s="12" t="s">
        <v>268</v>
      </c>
      <c r="AQ649" s="12" t="s">
        <v>268</v>
      </c>
      <c r="AR649" s="28" t="str">
        <f t="shared" ca="1" si="53"/>
        <v/>
      </c>
      <c r="AS649" s="28" t="str">
        <f t="shared" ca="1" si="54"/>
        <v/>
      </c>
    </row>
    <row r="650" spans="2:45" ht="27.6" customHeight="1">
      <c r="B650">
        <f t="shared" ca="1" si="50"/>
        <v>0</v>
      </c>
      <c r="C650" t="s">
        <v>85</v>
      </c>
      <c r="D650" t="s">
        <v>92</v>
      </c>
      <c r="E650" t="s">
        <v>92</v>
      </c>
      <c r="F650" t="s">
        <v>92</v>
      </c>
      <c r="G650" t="s">
        <v>92</v>
      </c>
      <c r="H650" t="s">
        <v>92</v>
      </c>
      <c r="I650" s="12" t="s">
        <v>268</v>
      </c>
      <c r="J650" t="s">
        <v>278</v>
      </c>
      <c r="L650" t="s">
        <v>92</v>
      </c>
      <c r="N650" s="14">
        <v>1</v>
      </c>
      <c r="P650" s="12" t="s">
        <v>268</v>
      </c>
      <c r="W650" s="9" t="str">
        <f t="shared" ca="1" si="51"/>
        <v>18.5%</v>
      </c>
      <c r="X650" t="s">
        <v>321</v>
      </c>
      <c r="Y650" s="9" t="str">
        <f t="shared" ca="1" si="52"/>
        <v>Sin costo</v>
      </c>
      <c r="Z650" t="s">
        <v>327</v>
      </c>
      <c r="AA650" t="s">
        <v>329</v>
      </c>
      <c r="AB650" t="s">
        <v>334</v>
      </c>
      <c r="AC650" s="12" t="s">
        <v>339</v>
      </c>
      <c r="AE650" t="s">
        <v>268</v>
      </c>
      <c r="AG650" s="12" t="s">
        <v>268</v>
      </c>
      <c r="AH650" t="s">
        <v>92</v>
      </c>
      <c r="AI650" s="12" t="s">
        <v>268</v>
      </c>
      <c r="AJ650" t="s">
        <v>92</v>
      </c>
      <c r="AK650" t="s">
        <v>92</v>
      </c>
      <c r="AL650" t="s">
        <v>92</v>
      </c>
      <c r="AM650" s="12" t="s">
        <v>268</v>
      </c>
      <c r="AN650" s="12" t="s">
        <v>268</v>
      </c>
      <c r="AO650" s="12" t="s">
        <v>268</v>
      </c>
      <c r="AP650" s="12" t="s">
        <v>268</v>
      </c>
      <c r="AQ650" s="12" t="s">
        <v>268</v>
      </c>
      <c r="AR650" s="28" t="str">
        <f t="shared" ca="1" si="53"/>
        <v/>
      </c>
      <c r="AS650" s="28" t="str">
        <f t="shared" ca="1" si="54"/>
        <v/>
      </c>
    </row>
    <row r="651" spans="2:45" ht="27.6" customHeight="1">
      <c r="B651">
        <f t="shared" ca="1" si="50"/>
        <v>0</v>
      </c>
      <c r="C651" t="s">
        <v>85</v>
      </c>
      <c r="D651" t="s">
        <v>92</v>
      </c>
      <c r="E651" t="s">
        <v>92</v>
      </c>
      <c r="F651" t="s">
        <v>92</v>
      </c>
      <c r="G651" t="s">
        <v>92</v>
      </c>
      <c r="H651" t="s">
        <v>92</v>
      </c>
      <c r="I651" s="12" t="s">
        <v>268</v>
      </c>
      <c r="J651" t="s">
        <v>278</v>
      </c>
      <c r="L651" t="s">
        <v>92</v>
      </c>
      <c r="N651" s="14">
        <v>1</v>
      </c>
      <c r="P651" s="12" t="s">
        <v>268</v>
      </c>
      <c r="W651" s="9" t="str">
        <f t="shared" ca="1" si="51"/>
        <v>18.5%</v>
      </c>
      <c r="X651" t="s">
        <v>321</v>
      </c>
      <c r="Y651" s="9" t="str">
        <f t="shared" ca="1" si="52"/>
        <v>Sin costo</v>
      </c>
      <c r="Z651" t="s">
        <v>327</v>
      </c>
      <c r="AA651" t="s">
        <v>329</v>
      </c>
      <c r="AB651" t="s">
        <v>334</v>
      </c>
      <c r="AC651" s="12" t="s">
        <v>339</v>
      </c>
      <c r="AE651" t="s">
        <v>268</v>
      </c>
      <c r="AG651" s="12" t="s">
        <v>268</v>
      </c>
      <c r="AH651" t="s">
        <v>92</v>
      </c>
      <c r="AI651" s="12" t="s">
        <v>268</v>
      </c>
      <c r="AJ651" t="s">
        <v>92</v>
      </c>
      <c r="AK651" t="s">
        <v>92</v>
      </c>
      <c r="AL651" t="s">
        <v>92</v>
      </c>
      <c r="AM651" s="12" t="s">
        <v>268</v>
      </c>
      <c r="AN651" s="12" t="s">
        <v>268</v>
      </c>
      <c r="AO651" s="12" t="s">
        <v>268</v>
      </c>
      <c r="AP651" s="12" t="s">
        <v>268</v>
      </c>
      <c r="AQ651" s="12" t="s">
        <v>268</v>
      </c>
      <c r="AR651" s="28" t="str">
        <f t="shared" ca="1" si="53"/>
        <v/>
      </c>
      <c r="AS651" s="28" t="str">
        <f t="shared" ca="1" si="54"/>
        <v/>
      </c>
    </row>
    <row r="652" spans="2:45" ht="27.6" customHeight="1">
      <c r="B652">
        <f t="shared" ca="1" si="50"/>
        <v>0</v>
      </c>
      <c r="C652" t="s">
        <v>85</v>
      </c>
      <c r="D652" t="s">
        <v>92</v>
      </c>
      <c r="E652" t="s">
        <v>92</v>
      </c>
      <c r="F652" t="s">
        <v>92</v>
      </c>
      <c r="G652" t="s">
        <v>92</v>
      </c>
      <c r="H652" t="s">
        <v>92</v>
      </c>
      <c r="I652" s="12" t="s">
        <v>268</v>
      </c>
      <c r="J652" t="s">
        <v>278</v>
      </c>
      <c r="L652" t="s">
        <v>92</v>
      </c>
      <c r="N652" s="14">
        <v>1</v>
      </c>
      <c r="P652" s="12" t="s">
        <v>268</v>
      </c>
      <c r="W652" s="9" t="str">
        <f t="shared" ca="1" si="51"/>
        <v>18.5%</v>
      </c>
      <c r="X652" t="s">
        <v>321</v>
      </c>
      <c r="Y652" s="9" t="str">
        <f t="shared" ca="1" si="52"/>
        <v>Sin costo</v>
      </c>
      <c r="Z652" t="s">
        <v>327</v>
      </c>
      <c r="AA652" t="s">
        <v>329</v>
      </c>
      <c r="AB652" t="s">
        <v>334</v>
      </c>
      <c r="AC652" s="12" t="s">
        <v>339</v>
      </c>
      <c r="AE652" t="s">
        <v>268</v>
      </c>
      <c r="AG652" s="12" t="s">
        <v>268</v>
      </c>
      <c r="AH652" t="s">
        <v>92</v>
      </c>
      <c r="AI652" s="12" t="s">
        <v>268</v>
      </c>
      <c r="AJ652" t="s">
        <v>92</v>
      </c>
      <c r="AK652" t="s">
        <v>92</v>
      </c>
      <c r="AL652" t="s">
        <v>92</v>
      </c>
      <c r="AM652" s="12" t="s">
        <v>268</v>
      </c>
      <c r="AN652" s="12" t="s">
        <v>268</v>
      </c>
      <c r="AO652" s="12" t="s">
        <v>268</v>
      </c>
      <c r="AP652" s="12" t="s">
        <v>268</v>
      </c>
      <c r="AQ652" s="12" t="s">
        <v>268</v>
      </c>
      <c r="AR652" s="28" t="str">
        <f t="shared" ca="1" si="53"/>
        <v/>
      </c>
      <c r="AS652" s="28" t="str">
        <f t="shared" ca="1" si="54"/>
        <v/>
      </c>
    </row>
    <row r="653" spans="2:45" ht="27.6" customHeight="1">
      <c r="B653">
        <f t="shared" ca="1" si="50"/>
        <v>0</v>
      </c>
      <c r="C653" t="s">
        <v>85</v>
      </c>
      <c r="D653" t="s">
        <v>92</v>
      </c>
      <c r="E653" t="s">
        <v>92</v>
      </c>
      <c r="F653" t="s">
        <v>92</v>
      </c>
      <c r="G653" t="s">
        <v>92</v>
      </c>
      <c r="H653" t="s">
        <v>92</v>
      </c>
      <c r="I653" s="12" t="s">
        <v>268</v>
      </c>
      <c r="J653" t="s">
        <v>278</v>
      </c>
      <c r="L653" t="s">
        <v>92</v>
      </c>
      <c r="N653" s="14">
        <v>1</v>
      </c>
      <c r="P653" s="12" t="s">
        <v>268</v>
      </c>
      <c r="W653" s="9" t="str">
        <f t="shared" ca="1" si="51"/>
        <v>18.5%</v>
      </c>
      <c r="X653" t="s">
        <v>321</v>
      </c>
      <c r="Y653" s="9" t="str">
        <f t="shared" ca="1" si="52"/>
        <v>Sin costo</v>
      </c>
      <c r="Z653" t="s">
        <v>327</v>
      </c>
      <c r="AA653" t="s">
        <v>329</v>
      </c>
      <c r="AB653" t="s">
        <v>334</v>
      </c>
      <c r="AC653" s="12" t="s">
        <v>339</v>
      </c>
      <c r="AE653" t="s">
        <v>268</v>
      </c>
      <c r="AG653" s="12" t="s">
        <v>268</v>
      </c>
      <c r="AH653" t="s">
        <v>92</v>
      </c>
      <c r="AI653" s="12" t="s">
        <v>268</v>
      </c>
      <c r="AJ653" t="s">
        <v>92</v>
      </c>
      <c r="AK653" t="s">
        <v>92</v>
      </c>
      <c r="AL653" t="s">
        <v>92</v>
      </c>
      <c r="AM653" s="12" t="s">
        <v>268</v>
      </c>
      <c r="AN653" s="12" t="s">
        <v>268</v>
      </c>
      <c r="AO653" s="12" t="s">
        <v>268</v>
      </c>
      <c r="AP653" s="12" t="s">
        <v>268</v>
      </c>
      <c r="AQ653" s="12" t="s">
        <v>268</v>
      </c>
      <c r="AR653" s="28" t="str">
        <f t="shared" ca="1" si="53"/>
        <v/>
      </c>
      <c r="AS653" s="28" t="str">
        <f t="shared" ca="1" si="54"/>
        <v/>
      </c>
    </row>
    <row r="654" spans="2:45" ht="27.6" customHeight="1">
      <c r="B654">
        <f t="shared" ca="1" si="50"/>
        <v>0</v>
      </c>
      <c r="C654" t="s">
        <v>85</v>
      </c>
      <c r="D654" t="s">
        <v>92</v>
      </c>
      <c r="E654" t="s">
        <v>92</v>
      </c>
      <c r="F654" t="s">
        <v>92</v>
      </c>
      <c r="G654" t="s">
        <v>92</v>
      </c>
      <c r="H654" t="s">
        <v>92</v>
      </c>
      <c r="I654" s="12" t="s">
        <v>268</v>
      </c>
      <c r="J654" t="s">
        <v>278</v>
      </c>
      <c r="L654" t="s">
        <v>92</v>
      </c>
      <c r="N654" s="14">
        <v>1</v>
      </c>
      <c r="P654" s="12" t="s">
        <v>268</v>
      </c>
      <c r="W654" s="9" t="str">
        <f t="shared" ca="1" si="51"/>
        <v>18.5%</v>
      </c>
      <c r="X654" t="s">
        <v>321</v>
      </c>
      <c r="Y654" s="9" t="str">
        <f t="shared" ca="1" si="52"/>
        <v>Sin costo</v>
      </c>
      <c r="Z654" t="s">
        <v>327</v>
      </c>
      <c r="AA654" t="s">
        <v>329</v>
      </c>
      <c r="AB654" t="s">
        <v>334</v>
      </c>
      <c r="AC654" s="12" t="s">
        <v>339</v>
      </c>
      <c r="AE654" t="s">
        <v>268</v>
      </c>
      <c r="AG654" s="12" t="s">
        <v>268</v>
      </c>
      <c r="AH654" t="s">
        <v>92</v>
      </c>
      <c r="AI654" s="12" t="s">
        <v>268</v>
      </c>
      <c r="AJ654" t="s">
        <v>92</v>
      </c>
      <c r="AK654" t="s">
        <v>92</v>
      </c>
      <c r="AL654" t="s">
        <v>92</v>
      </c>
      <c r="AM654" s="12" t="s">
        <v>268</v>
      </c>
      <c r="AN654" s="12" t="s">
        <v>268</v>
      </c>
      <c r="AO654" s="12" t="s">
        <v>268</v>
      </c>
      <c r="AP654" s="12" t="s">
        <v>268</v>
      </c>
      <c r="AQ654" s="12" t="s">
        <v>268</v>
      </c>
      <c r="AR654" s="28" t="str">
        <f t="shared" ca="1" si="53"/>
        <v/>
      </c>
      <c r="AS654" s="28" t="str">
        <f t="shared" ca="1" si="54"/>
        <v/>
      </c>
    </row>
    <row r="655" spans="2:45" ht="27.6" customHeight="1">
      <c r="B655">
        <f t="shared" ca="1" si="50"/>
        <v>0</v>
      </c>
      <c r="C655" t="s">
        <v>85</v>
      </c>
      <c r="D655" t="s">
        <v>92</v>
      </c>
      <c r="E655" t="s">
        <v>92</v>
      </c>
      <c r="F655" t="s">
        <v>92</v>
      </c>
      <c r="G655" t="s">
        <v>92</v>
      </c>
      <c r="H655" t="s">
        <v>92</v>
      </c>
      <c r="I655" s="12" t="s">
        <v>268</v>
      </c>
      <c r="J655" t="s">
        <v>278</v>
      </c>
      <c r="L655" t="s">
        <v>92</v>
      </c>
      <c r="N655" s="14">
        <v>1</v>
      </c>
      <c r="P655" s="12" t="s">
        <v>268</v>
      </c>
      <c r="W655" s="9" t="str">
        <f t="shared" ca="1" si="51"/>
        <v>18.5%</v>
      </c>
      <c r="X655" t="s">
        <v>321</v>
      </c>
      <c r="Y655" s="9" t="str">
        <f t="shared" ca="1" si="52"/>
        <v>Sin costo</v>
      </c>
      <c r="Z655" t="s">
        <v>327</v>
      </c>
      <c r="AA655" t="s">
        <v>329</v>
      </c>
      <c r="AB655" t="s">
        <v>334</v>
      </c>
      <c r="AC655" s="12" t="s">
        <v>339</v>
      </c>
      <c r="AE655" t="s">
        <v>268</v>
      </c>
      <c r="AG655" s="12" t="s">
        <v>268</v>
      </c>
      <c r="AH655" t="s">
        <v>92</v>
      </c>
      <c r="AI655" s="12" t="s">
        <v>268</v>
      </c>
      <c r="AJ655" t="s">
        <v>92</v>
      </c>
      <c r="AK655" t="s">
        <v>92</v>
      </c>
      <c r="AL655" t="s">
        <v>92</v>
      </c>
      <c r="AM655" s="12" t="s">
        <v>268</v>
      </c>
      <c r="AN655" s="12" t="s">
        <v>268</v>
      </c>
      <c r="AO655" s="12" t="s">
        <v>268</v>
      </c>
      <c r="AP655" s="12" t="s">
        <v>268</v>
      </c>
      <c r="AQ655" s="12" t="s">
        <v>268</v>
      </c>
      <c r="AR655" s="28" t="str">
        <f t="shared" ca="1" si="53"/>
        <v/>
      </c>
      <c r="AS655" s="28" t="str">
        <f t="shared" ca="1" si="54"/>
        <v/>
      </c>
    </row>
    <row r="656" spans="2:45" ht="27.6" customHeight="1">
      <c r="B656">
        <f t="shared" ca="1" si="50"/>
        <v>0</v>
      </c>
      <c r="C656" t="s">
        <v>85</v>
      </c>
      <c r="D656" t="s">
        <v>92</v>
      </c>
      <c r="E656" t="s">
        <v>92</v>
      </c>
      <c r="F656" t="s">
        <v>92</v>
      </c>
      <c r="G656" t="s">
        <v>92</v>
      </c>
      <c r="H656" t="s">
        <v>92</v>
      </c>
      <c r="I656" s="12" t="s">
        <v>268</v>
      </c>
      <c r="J656" t="s">
        <v>278</v>
      </c>
      <c r="L656" t="s">
        <v>92</v>
      </c>
      <c r="N656" s="14">
        <v>1</v>
      </c>
      <c r="P656" s="12" t="s">
        <v>268</v>
      </c>
      <c r="W656" s="9" t="str">
        <f t="shared" ca="1" si="51"/>
        <v>18.5%</v>
      </c>
      <c r="X656" t="s">
        <v>321</v>
      </c>
      <c r="Y656" s="9" t="str">
        <f t="shared" ca="1" si="52"/>
        <v>Sin costo</v>
      </c>
      <c r="Z656" t="s">
        <v>327</v>
      </c>
      <c r="AA656" t="s">
        <v>329</v>
      </c>
      <c r="AB656" t="s">
        <v>334</v>
      </c>
      <c r="AC656" s="12" t="s">
        <v>339</v>
      </c>
      <c r="AE656" t="s">
        <v>268</v>
      </c>
      <c r="AG656" s="12" t="s">
        <v>268</v>
      </c>
      <c r="AH656" t="s">
        <v>92</v>
      </c>
      <c r="AI656" s="12" t="s">
        <v>268</v>
      </c>
      <c r="AJ656" t="s">
        <v>92</v>
      </c>
      <c r="AK656" t="s">
        <v>92</v>
      </c>
      <c r="AL656" t="s">
        <v>92</v>
      </c>
      <c r="AM656" s="12" t="s">
        <v>268</v>
      </c>
      <c r="AN656" s="12" t="s">
        <v>268</v>
      </c>
      <c r="AO656" s="12" t="s">
        <v>268</v>
      </c>
      <c r="AP656" s="12" t="s">
        <v>268</v>
      </c>
      <c r="AQ656" s="12" t="s">
        <v>268</v>
      </c>
      <c r="AR656" s="28" t="str">
        <f t="shared" ca="1" si="53"/>
        <v/>
      </c>
      <c r="AS656" s="28" t="str">
        <f t="shared" ca="1" si="54"/>
        <v/>
      </c>
    </row>
    <row r="657" spans="2:45" ht="27.6" customHeight="1">
      <c r="B657">
        <f t="shared" ca="1" si="50"/>
        <v>0</v>
      </c>
      <c r="C657" t="s">
        <v>85</v>
      </c>
      <c r="D657" t="s">
        <v>92</v>
      </c>
      <c r="E657" t="s">
        <v>92</v>
      </c>
      <c r="F657" t="s">
        <v>92</v>
      </c>
      <c r="G657" t="s">
        <v>92</v>
      </c>
      <c r="H657" t="s">
        <v>92</v>
      </c>
      <c r="I657" s="12" t="s">
        <v>268</v>
      </c>
      <c r="J657" t="s">
        <v>278</v>
      </c>
      <c r="L657" t="s">
        <v>92</v>
      </c>
      <c r="N657" s="14">
        <v>1</v>
      </c>
      <c r="P657" s="12" t="s">
        <v>268</v>
      </c>
      <c r="W657" s="9" t="str">
        <f t="shared" ca="1" si="51"/>
        <v>18.5%</v>
      </c>
      <c r="X657" t="s">
        <v>321</v>
      </c>
      <c r="Y657" s="9" t="str">
        <f t="shared" ca="1" si="52"/>
        <v>Sin costo</v>
      </c>
      <c r="Z657" t="s">
        <v>327</v>
      </c>
      <c r="AA657" t="s">
        <v>329</v>
      </c>
      <c r="AB657" t="s">
        <v>334</v>
      </c>
      <c r="AC657" s="12" t="s">
        <v>339</v>
      </c>
      <c r="AE657" t="s">
        <v>268</v>
      </c>
      <c r="AG657" s="12" t="s">
        <v>268</v>
      </c>
      <c r="AH657" t="s">
        <v>92</v>
      </c>
      <c r="AI657" s="12" t="s">
        <v>268</v>
      </c>
      <c r="AJ657" t="s">
        <v>92</v>
      </c>
      <c r="AK657" t="s">
        <v>92</v>
      </c>
      <c r="AL657" t="s">
        <v>92</v>
      </c>
      <c r="AM657" s="12" t="s">
        <v>268</v>
      </c>
      <c r="AN657" s="12" t="s">
        <v>268</v>
      </c>
      <c r="AO657" s="12" t="s">
        <v>268</v>
      </c>
      <c r="AP657" s="12" t="s">
        <v>268</v>
      </c>
      <c r="AQ657" s="12" t="s">
        <v>268</v>
      </c>
      <c r="AR657" s="28" t="str">
        <f t="shared" ca="1" si="53"/>
        <v/>
      </c>
      <c r="AS657" s="28" t="str">
        <f t="shared" ca="1" si="54"/>
        <v/>
      </c>
    </row>
    <row r="658" spans="2:45" ht="27.6" customHeight="1">
      <c r="B658">
        <f t="shared" ca="1" si="50"/>
        <v>0</v>
      </c>
      <c r="C658" t="s">
        <v>85</v>
      </c>
      <c r="D658" t="s">
        <v>92</v>
      </c>
      <c r="E658" t="s">
        <v>92</v>
      </c>
      <c r="F658" t="s">
        <v>92</v>
      </c>
      <c r="G658" t="s">
        <v>92</v>
      </c>
      <c r="H658" t="s">
        <v>92</v>
      </c>
      <c r="I658" s="12" t="s">
        <v>268</v>
      </c>
      <c r="J658" t="s">
        <v>278</v>
      </c>
      <c r="L658" t="s">
        <v>92</v>
      </c>
      <c r="N658" s="14">
        <v>1</v>
      </c>
      <c r="P658" s="12" t="s">
        <v>268</v>
      </c>
      <c r="W658" s="9" t="str">
        <f t="shared" ca="1" si="51"/>
        <v>18.5%</v>
      </c>
      <c r="X658" t="s">
        <v>321</v>
      </c>
      <c r="Y658" s="9" t="str">
        <f t="shared" ca="1" si="52"/>
        <v>Sin costo</v>
      </c>
      <c r="Z658" t="s">
        <v>327</v>
      </c>
      <c r="AA658" t="s">
        <v>329</v>
      </c>
      <c r="AB658" t="s">
        <v>334</v>
      </c>
      <c r="AC658" s="12" t="s">
        <v>339</v>
      </c>
      <c r="AE658" t="s">
        <v>268</v>
      </c>
      <c r="AG658" s="12" t="s">
        <v>268</v>
      </c>
      <c r="AH658" t="s">
        <v>92</v>
      </c>
      <c r="AI658" s="12" t="s">
        <v>268</v>
      </c>
      <c r="AJ658" t="s">
        <v>92</v>
      </c>
      <c r="AK658" t="s">
        <v>92</v>
      </c>
      <c r="AL658" t="s">
        <v>92</v>
      </c>
      <c r="AM658" s="12" t="s">
        <v>268</v>
      </c>
      <c r="AN658" s="12" t="s">
        <v>268</v>
      </c>
      <c r="AO658" s="12" t="s">
        <v>268</v>
      </c>
      <c r="AP658" s="12" t="s">
        <v>268</v>
      </c>
      <c r="AQ658" s="12" t="s">
        <v>268</v>
      </c>
      <c r="AR658" s="28" t="str">
        <f t="shared" ca="1" si="53"/>
        <v/>
      </c>
      <c r="AS658" s="28" t="str">
        <f t="shared" ca="1" si="54"/>
        <v/>
      </c>
    </row>
    <row r="659" spans="2:45" ht="27.6" customHeight="1">
      <c r="B659">
        <f t="shared" ca="1" si="50"/>
        <v>0</v>
      </c>
      <c r="C659" t="s">
        <v>85</v>
      </c>
      <c r="D659" t="s">
        <v>92</v>
      </c>
      <c r="E659" t="s">
        <v>92</v>
      </c>
      <c r="F659" t="s">
        <v>92</v>
      </c>
      <c r="G659" t="s">
        <v>92</v>
      </c>
      <c r="H659" t="s">
        <v>92</v>
      </c>
      <c r="I659" s="12" t="s">
        <v>268</v>
      </c>
      <c r="J659" t="s">
        <v>278</v>
      </c>
      <c r="L659" t="s">
        <v>92</v>
      </c>
      <c r="N659" s="14">
        <v>1</v>
      </c>
      <c r="P659" s="12" t="s">
        <v>268</v>
      </c>
      <c r="W659" s="9" t="str">
        <f t="shared" ca="1" si="51"/>
        <v>18.5%</v>
      </c>
      <c r="X659" t="s">
        <v>321</v>
      </c>
      <c r="Y659" s="9" t="str">
        <f t="shared" ca="1" si="52"/>
        <v>Sin costo</v>
      </c>
      <c r="Z659" t="s">
        <v>327</v>
      </c>
      <c r="AA659" t="s">
        <v>329</v>
      </c>
      <c r="AB659" t="s">
        <v>334</v>
      </c>
      <c r="AC659" s="12" t="s">
        <v>339</v>
      </c>
      <c r="AE659" t="s">
        <v>268</v>
      </c>
      <c r="AG659" s="12" t="s">
        <v>268</v>
      </c>
      <c r="AH659" t="s">
        <v>92</v>
      </c>
      <c r="AI659" s="12" t="s">
        <v>268</v>
      </c>
      <c r="AJ659" t="s">
        <v>92</v>
      </c>
      <c r="AK659" t="s">
        <v>92</v>
      </c>
      <c r="AL659" t="s">
        <v>92</v>
      </c>
      <c r="AM659" s="12" t="s">
        <v>268</v>
      </c>
      <c r="AN659" s="12" t="s">
        <v>268</v>
      </c>
      <c r="AO659" s="12" t="s">
        <v>268</v>
      </c>
      <c r="AP659" s="12" t="s">
        <v>268</v>
      </c>
      <c r="AQ659" s="12" t="s">
        <v>268</v>
      </c>
      <c r="AR659" s="28" t="str">
        <f t="shared" ca="1" si="53"/>
        <v/>
      </c>
      <c r="AS659" s="28" t="str">
        <f t="shared" ca="1" si="54"/>
        <v/>
      </c>
    </row>
    <row r="660" spans="2:45" ht="27.6" customHeight="1">
      <c r="B660">
        <f t="shared" ca="1" si="50"/>
        <v>0</v>
      </c>
      <c r="C660" t="s">
        <v>85</v>
      </c>
      <c r="D660" t="s">
        <v>92</v>
      </c>
      <c r="E660" t="s">
        <v>92</v>
      </c>
      <c r="F660" t="s">
        <v>92</v>
      </c>
      <c r="G660" t="s">
        <v>92</v>
      </c>
      <c r="H660" t="s">
        <v>92</v>
      </c>
      <c r="I660" s="12" t="s">
        <v>268</v>
      </c>
      <c r="J660" t="s">
        <v>278</v>
      </c>
      <c r="L660" t="s">
        <v>92</v>
      </c>
      <c r="N660" s="14">
        <v>1</v>
      </c>
      <c r="P660" s="12" t="s">
        <v>268</v>
      </c>
      <c r="W660" s="9" t="str">
        <f t="shared" ca="1" si="51"/>
        <v>18.5%</v>
      </c>
      <c r="X660" t="s">
        <v>321</v>
      </c>
      <c r="Y660" s="9" t="str">
        <f t="shared" ca="1" si="52"/>
        <v>Sin costo</v>
      </c>
      <c r="Z660" t="s">
        <v>327</v>
      </c>
      <c r="AA660" t="s">
        <v>329</v>
      </c>
      <c r="AB660" t="s">
        <v>334</v>
      </c>
      <c r="AC660" s="12" t="s">
        <v>339</v>
      </c>
      <c r="AE660" t="s">
        <v>268</v>
      </c>
      <c r="AG660" s="12" t="s">
        <v>268</v>
      </c>
      <c r="AH660" t="s">
        <v>92</v>
      </c>
      <c r="AI660" s="12" t="s">
        <v>268</v>
      </c>
      <c r="AJ660" t="s">
        <v>92</v>
      </c>
      <c r="AK660" t="s">
        <v>92</v>
      </c>
      <c r="AL660" t="s">
        <v>92</v>
      </c>
      <c r="AM660" s="12" t="s">
        <v>268</v>
      </c>
      <c r="AN660" s="12" t="s">
        <v>268</v>
      </c>
      <c r="AO660" s="12" t="s">
        <v>268</v>
      </c>
      <c r="AP660" s="12" t="s">
        <v>268</v>
      </c>
      <c r="AQ660" s="12" t="s">
        <v>268</v>
      </c>
      <c r="AR660" s="28" t="str">
        <f t="shared" ca="1" si="53"/>
        <v/>
      </c>
      <c r="AS660" s="28" t="str">
        <f t="shared" ca="1" si="54"/>
        <v/>
      </c>
    </row>
    <row r="661" spans="2:45" ht="27.6" customHeight="1">
      <c r="B661">
        <f t="shared" ca="1" si="50"/>
        <v>0</v>
      </c>
      <c r="C661" t="s">
        <v>85</v>
      </c>
      <c r="D661" t="s">
        <v>92</v>
      </c>
      <c r="E661" t="s">
        <v>92</v>
      </c>
      <c r="F661" t="s">
        <v>92</v>
      </c>
      <c r="G661" t="s">
        <v>92</v>
      </c>
      <c r="H661" t="s">
        <v>92</v>
      </c>
      <c r="I661" s="12" t="s">
        <v>268</v>
      </c>
      <c r="J661" t="s">
        <v>278</v>
      </c>
      <c r="L661" t="s">
        <v>92</v>
      </c>
      <c r="N661" s="14">
        <v>1</v>
      </c>
      <c r="P661" s="12" t="s">
        <v>268</v>
      </c>
      <c r="W661" s="9" t="str">
        <f t="shared" ca="1" si="51"/>
        <v>18.5%</v>
      </c>
      <c r="X661" t="s">
        <v>321</v>
      </c>
      <c r="Y661" s="9" t="str">
        <f t="shared" ca="1" si="52"/>
        <v>Sin costo</v>
      </c>
      <c r="Z661" t="s">
        <v>327</v>
      </c>
      <c r="AA661" t="s">
        <v>329</v>
      </c>
      <c r="AB661" t="s">
        <v>334</v>
      </c>
      <c r="AC661" s="12" t="s">
        <v>339</v>
      </c>
      <c r="AE661" t="s">
        <v>268</v>
      </c>
      <c r="AG661" s="12" t="s">
        <v>268</v>
      </c>
      <c r="AH661" t="s">
        <v>92</v>
      </c>
      <c r="AI661" s="12" t="s">
        <v>268</v>
      </c>
      <c r="AJ661" t="s">
        <v>92</v>
      </c>
      <c r="AK661" t="s">
        <v>92</v>
      </c>
      <c r="AL661" t="s">
        <v>92</v>
      </c>
      <c r="AM661" s="12" t="s">
        <v>268</v>
      </c>
      <c r="AN661" s="12" t="s">
        <v>268</v>
      </c>
      <c r="AO661" s="12" t="s">
        <v>268</v>
      </c>
      <c r="AP661" s="12" t="s">
        <v>268</v>
      </c>
      <c r="AQ661" s="12" t="s">
        <v>268</v>
      </c>
      <c r="AR661" s="28" t="str">
        <f t="shared" ca="1" si="53"/>
        <v/>
      </c>
      <c r="AS661" s="28" t="str">
        <f t="shared" ca="1" si="54"/>
        <v/>
      </c>
    </row>
    <row r="662" spans="2:45" ht="27.6" customHeight="1">
      <c r="B662">
        <f t="shared" ca="1" si="50"/>
        <v>0</v>
      </c>
      <c r="C662" t="s">
        <v>85</v>
      </c>
      <c r="D662" t="s">
        <v>92</v>
      </c>
      <c r="E662" t="s">
        <v>92</v>
      </c>
      <c r="F662" t="s">
        <v>92</v>
      </c>
      <c r="G662" t="s">
        <v>92</v>
      </c>
      <c r="H662" t="s">
        <v>92</v>
      </c>
      <c r="I662" s="12" t="s">
        <v>268</v>
      </c>
      <c r="J662" t="s">
        <v>278</v>
      </c>
      <c r="L662" t="s">
        <v>92</v>
      </c>
      <c r="N662" s="14">
        <v>1</v>
      </c>
      <c r="P662" s="12" t="s">
        <v>268</v>
      </c>
      <c r="W662" s="9" t="str">
        <f t="shared" ca="1" si="51"/>
        <v>18.5%</v>
      </c>
      <c r="X662" t="s">
        <v>321</v>
      </c>
      <c r="Y662" s="9" t="str">
        <f t="shared" ca="1" si="52"/>
        <v>Sin costo</v>
      </c>
      <c r="Z662" t="s">
        <v>327</v>
      </c>
      <c r="AA662" t="s">
        <v>329</v>
      </c>
      <c r="AB662" t="s">
        <v>334</v>
      </c>
      <c r="AC662" s="12" t="s">
        <v>339</v>
      </c>
      <c r="AE662" t="s">
        <v>268</v>
      </c>
      <c r="AG662" s="12" t="s">
        <v>268</v>
      </c>
      <c r="AH662" t="s">
        <v>92</v>
      </c>
      <c r="AI662" s="12" t="s">
        <v>268</v>
      </c>
      <c r="AJ662" t="s">
        <v>92</v>
      </c>
      <c r="AK662" t="s">
        <v>92</v>
      </c>
      <c r="AL662" t="s">
        <v>92</v>
      </c>
      <c r="AM662" s="12" t="s">
        <v>268</v>
      </c>
      <c r="AN662" s="12" t="s">
        <v>268</v>
      </c>
      <c r="AO662" s="12" t="s">
        <v>268</v>
      </c>
      <c r="AP662" s="12" t="s">
        <v>268</v>
      </c>
      <c r="AQ662" s="12" t="s">
        <v>268</v>
      </c>
      <c r="AR662" s="28" t="str">
        <f t="shared" ca="1" si="53"/>
        <v/>
      </c>
      <c r="AS662" s="28" t="str">
        <f t="shared" ca="1" si="54"/>
        <v/>
      </c>
    </row>
    <row r="663" spans="2:45" ht="27.6" customHeight="1">
      <c r="B663">
        <f t="shared" ca="1" si="50"/>
        <v>0</v>
      </c>
      <c r="C663" t="s">
        <v>85</v>
      </c>
      <c r="D663" t="s">
        <v>92</v>
      </c>
      <c r="E663" t="s">
        <v>92</v>
      </c>
      <c r="F663" t="s">
        <v>92</v>
      </c>
      <c r="G663" t="s">
        <v>92</v>
      </c>
      <c r="H663" t="s">
        <v>92</v>
      </c>
      <c r="I663" s="12" t="s">
        <v>268</v>
      </c>
      <c r="J663" t="s">
        <v>278</v>
      </c>
      <c r="L663" t="s">
        <v>92</v>
      </c>
      <c r="N663" s="14">
        <v>1</v>
      </c>
      <c r="P663" s="12" t="s">
        <v>268</v>
      </c>
      <c r="W663" s="9" t="str">
        <f t="shared" ca="1" si="51"/>
        <v>18.5%</v>
      </c>
      <c r="X663" t="s">
        <v>321</v>
      </c>
      <c r="Y663" s="9" t="str">
        <f t="shared" ca="1" si="52"/>
        <v>Sin costo</v>
      </c>
      <c r="Z663" t="s">
        <v>327</v>
      </c>
      <c r="AA663" t="s">
        <v>329</v>
      </c>
      <c r="AB663" t="s">
        <v>334</v>
      </c>
      <c r="AC663" s="12" t="s">
        <v>339</v>
      </c>
      <c r="AE663" t="s">
        <v>268</v>
      </c>
      <c r="AG663" s="12" t="s">
        <v>268</v>
      </c>
      <c r="AH663" t="s">
        <v>92</v>
      </c>
      <c r="AI663" s="12" t="s">
        <v>268</v>
      </c>
      <c r="AJ663" t="s">
        <v>92</v>
      </c>
      <c r="AK663" t="s">
        <v>92</v>
      </c>
      <c r="AL663" t="s">
        <v>92</v>
      </c>
      <c r="AM663" s="12" t="s">
        <v>268</v>
      </c>
      <c r="AN663" s="12" t="s">
        <v>268</v>
      </c>
      <c r="AO663" s="12" t="s">
        <v>268</v>
      </c>
      <c r="AP663" s="12" t="s">
        <v>268</v>
      </c>
      <c r="AQ663" s="12" t="s">
        <v>268</v>
      </c>
      <c r="AR663" s="28" t="str">
        <f t="shared" ca="1" si="53"/>
        <v/>
      </c>
      <c r="AS663" s="28" t="str">
        <f t="shared" ca="1" si="54"/>
        <v/>
      </c>
    </row>
    <row r="664" spans="2:45" ht="27.6" customHeight="1">
      <c r="B664">
        <f t="shared" ca="1" si="50"/>
        <v>0</v>
      </c>
      <c r="C664" t="s">
        <v>85</v>
      </c>
      <c r="D664" t="s">
        <v>92</v>
      </c>
      <c r="E664" t="s">
        <v>92</v>
      </c>
      <c r="F664" t="s">
        <v>92</v>
      </c>
      <c r="G664" t="s">
        <v>92</v>
      </c>
      <c r="H664" t="s">
        <v>92</v>
      </c>
      <c r="I664" s="12" t="s">
        <v>268</v>
      </c>
      <c r="J664" t="s">
        <v>278</v>
      </c>
      <c r="L664" t="s">
        <v>92</v>
      </c>
      <c r="N664" s="14">
        <v>1</v>
      </c>
      <c r="P664" s="12" t="s">
        <v>268</v>
      </c>
      <c r="W664" s="9" t="str">
        <f t="shared" ca="1" si="51"/>
        <v>18.5%</v>
      </c>
      <c r="X664" t="s">
        <v>321</v>
      </c>
      <c r="Y664" s="9" t="str">
        <f t="shared" ca="1" si="52"/>
        <v>Sin costo</v>
      </c>
      <c r="Z664" t="s">
        <v>327</v>
      </c>
      <c r="AA664" t="s">
        <v>329</v>
      </c>
      <c r="AB664" t="s">
        <v>334</v>
      </c>
      <c r="AC664" s="12" t="s">
        <v>339</v>
      </c>
      <c r="AE664" t="s">
        <v>268</v>
      </c>
      <c r="AG664" s="12" t="s">
        <v>268</v>
      </c>
      <c r="AH664" t="s">
        <v>92</v>
      </c>
      <c r="AI664" s="12" t="s">
        <v>268</v>
      </c>
      <c r="AJ664" t="s">
        <v>92</v>
      </c>
      <c r="AK664" t="s">
        <v>92</v>
      </c>
      <c r="AL664" t="s">
        <v>92</v>
      </c>
      <c r="AM664" s="12" t="s">
        <v>268</v>
      </c>
      <c r="AN664" s="12" t="s">
        <v>268</v>
      </c>
      <c r="AO664" s="12" t="s">
        <v>268</v>
      </c>
      <c r="AP664" s="12" t="s">
        <v>268</v>
      </c>
      <c r="AQ664" s="12" t="s">
        <v>268</v>
      </c>
      <c r="AR664" s="28" t="str">
        <f t="shared" ca="1" si="53"/>
        <v/>
      </c>
      <c r="AS664" s="28" t="str">
        <f t="shared" ca="1" si="54"/>
        <v/>
      </c>
    </row>
    <row r="665" spans="2:45" ht="27.6" customHeight="1">
      <c r="B665">
        <f t="shared" ca="1" si="50"/>
        <v>0</v>
      </c>
      <c r="C665" t="s">
        <v>85</v>
      </c>
      <c r="D665" t="s">
        <v>92</v>
      </c>
      <c r="E665" t="s">
        <v>92</v>
      </c>
      <c r="F665" t="s">
        <v>92</v>
      </c>
      <c r="G665" t="s">
        <v>92</v>
      </c>
      <c r="H665" t="s">
        <v>92</v>
      </c>
      <c r="I665" s="12" t="s">
        <v>268</v>
      </c>
      <c r="J665" t="s">
        <v>278</v>
      </c>
      <c r="L665" t="s">
        <v>92</v>
      </c>
      <c r="N665" s="14">
        <v>1</v>
      </c>
      <c r="P665" s="12" t="s">
        <v>268</v>
      </c>
      <c r="W665" s="9" t="str">
        <f t="shared" ca="1" si="51"/>
        <v>18.5%</v>
      </c>
      <c r="X665" t="s">
        <v>321</v>
      </c>
      <c r="Y665" s="9" t="str">
        <f t="shared" ca="1" si="52"/>
        <v>Sin costo</v>
      </c>
      <c r="Z665" t="s">
        <v>327</v>
      </c>
      <c r="AA665" t="s">
        <v>329</v>
      </c>
      <c r="AB665" t="s">
        <v>334</v>
      </c>
      <c r="AC665" s="12" t="s">
        <v>339</v>
      </c>
      <c r="AE665" t="s">
        <v>268</v>
      </c>
      <c r="AG665" s="12" t="s">
        <v>268</v>
      </c>
      <c r="AH665" t="s">
        <v>92</v>
      </c>
      <c r="AI665" s="12" t="s">
        <v>268</v>
      </c>
      <c r="AJ665" t="s">
        <v>92</v>
      </c>
      <c r="AK665" t="s">
        <v>92</v>
      </c>
      <c r="AL665" t="s">
        <v>92</v>
      </c>
      <c r="AM665" s="12" t="s">
        <v>268</v>
      </c>
      <c r="AN665" s="12" t="s">
        <v>268</v>
      </c>
      <c r="AO665" s="12" t="s">
        <v>268</v>
      </c>
      <c r="AP665" s="12" t="s">
        <v>268</v>
      </c>
      <c r="AQ665" s="12" t="s">
        <v>268</v>
      </c>
      <c r="AR665" s="28" t="str">
        <f t="shared" ca="1" si="53"/>
        <v/>
      </c>
      <c r="AS665" s="28" t="str">
        <f t="shared" ca="1" si="54"/>
        <v/>
      </c>
    </row>
    <row r="666" spans="2:45" ht="27.6" customHeight="1">
      <c r="B666">
        <f t="shared" ca="1" si="50"/>
        <v>0</v>
      </c>
      <c r="C666" t="s">
        <v>85</v>
      </c>
      <c r="D666" t="s">
        <v>92</v>
      </c>
      <c r="E666" t="s">
        <v>92</v>
      </c>
      <c r="F666" t="s">
        <v>92</v>
      </c>
      <c r="G666" t="s">
        <v>92</v>
      </c>
      <c r="H666" t="s">
        <v>92</v>
      </c>
      <c r="I666" s="12" t="s">
        <v>268</v>
      </c>
      <c r="J666" t="s">
        <v>278</v>
      </c>
      <c r="L666" t="s">
        <v>92</v>
      </c>
      <c r="N666" s="14">
        <v>1</v>
      </c>
      <c r="P666" s="12" t="s">
        <v>268</v>
      </c>
      <c r="W666" s="9" t="str">
        <f t="shared" ca="1" si="51"/>
        <v>18.5%</v>
      </c>
      <c r="X666" t="s">
        <v>321</v>
      </c>
      <c r="Y666" s="9" t="str">
        <f t="shared" ca="1" si="52"/>
        <v>Sin costo</v>
      </c>
      <c r="Z666" t="s">
        <v>327</v>
      </c>
      <c r="AA666" t="s">
        <v>329</v>
      </c>
      <c r="AB666" t="s">
        <v>334</v>
      </c>
      <c r="AC666" s="12" t="s">
        <v>339</v>
      </c>
      <c r="AE666" t="s">
        <v>268</v>
      </c>
      <c r="AG666" s="12" t="s">
        <v>268</v>
      </c>
      <c r="AH666" t="s">
        <v>92</v>
      </c>
      <c r="AI666" s="12" t="s">
        <v>268</v>
      </c>
      <c r="AJ666" t="s">
        <v>92</v>
      </c>
      <c r="AK666" t="s">
        <v>92</v>
      </c>
      <c r="AL666" t="s">
        <v>92</v>
      </c>
      <c r="AM666" s="12" t="s">
        <v>268</v>
      </c>
      <c r="AN666" s="12" t="s">
        <v>268</v>
      </c>
      <c r="AO666" s="12" t="s">
        <v>268</v>
      </c>
      <c r="AP666" s="12" t="s">
        <v>268</v>
      </c>
      <c r="AQ666" s="12" t="s">
        <v>268</v>
      </c>
      <c r="AR666" s="28" t="str">
        <f t="shared" ca="1" si="53"/>
        <v/>
      </c>
      <c r="AS666" s="28" t="str">
        <f t="shared" ca="1" si="54"/>
        <v/>
      </c>
    </row>
    <row r="667" spans="2:45" ht="27.6" customHeight="1">
      <c r="B667">
        <f t="shared" ca="1" si="50"/>
        <v>0</v>
      </c>
      <c r="C667" t="s">
        <v>85</v>
      </c>
      <c r="D667" t="s">
        <v>92</v>
      </c>
      <c r="E667" t="s">
        <v>92</v>
      </c>
      <c r="F667" t="s">
        <v>92</v>
      </c>
      <c r="G667" t="s">
        <v>92</v>
      </c>
      <c r="H667" t="s">
        <v>92</v>
      </c>
      <c r="I667" s="12" t="s">
        <v>268</v>
      </c>
      <c r="J667" t="s">
        <v>278</v>
      </c>
      <c r="L667" t="s">
        <v>92</v>
      </c>
      <c r="N667" s="14">
        <v>1</v>
      </c>
      <c r="P667" s="12" t="s">
        <v>268</v>
      </c>
      <c r="W667" s="9" t="str">
        <f t="shared" ca="1" si="51"/>
        <v>18.5%</v>
      </c>
      <c r="X667" t="s">
        <v>321</v>
      </c>
      <c r="Y667" s="9" t="str">
        <f t="shared" ca="1" si="52"/>
        <v>Sin costo</v>
      </c>
      <c r="Z667" t="s">
        <v>327</v>
      </c>
      <c r="AA667" t="s">
        <v>329</v>
      </c>
      <c r="AB667" t="s">
        <v>334</v>
      </c>
      <c r="AC667" s="12" t="s">
        <v>339</v>
      </c>
      <c r="AE667" t="s">
        <v>268</v>
      </c>
      <c r="AG667" s="12" t="s">
        <v>268</v>
      </c>
      <c r="AH667" t="s">
        <v>92</v>
      </c>
      <c r="AI667" s="12" t="s">
        <v>268</v>
      </c>
      <c r="AJ667" t="s">
        <v>92</v>
      </c>
      <c r="AK667" t="s">
        <v>92</v>
      </c>
      <c r="AL667" t="s">
        <v>92</v>
      </c>
      <c r="AM667" s="12" t="s">
        <v>268</v>
      </c>
      <c r="AN667" s="12" t="s">
        <v>268</v>
      </c>
      <c r="AO667" s="12" t="s">
        <v>268</v>
      </c>
      <c r="AP667" s="12" t="s">
        <v>268</v>
      </c>
      <c r="AQ667" s="12" t="s">
        <v>268</v>
      </c>
      <c r="AR667" s="28" t="str">
        <f t="shared" ca="1" si="53"/>
        <v/>
      </c>
      <c r="AS667" s="28" t="str">
        <f t="shared" ca="1" si="54"/>
        <v/>
      </c>
    </row>
    <row r="668" spans="2:45" ht="27.6" customHeight="1">
      <c r="B668">
        <f t="shared" ca="1" si="50"/>
        <v>0</v>
      </c>
      <c r="C668" t="s">
        <v>85</v>
      </c>
      <c r="D668" t="s">
        <v>92</v>
      </c>
      <c r="E668" t="s">
        <v>92</v>
      </c>
      <c r="F668" t="s">
        <v>92</v>
      </c>
      <c r="G668" t="s">
        <v>92</v>
      </c>
      <c r="H668" t="s">
        <v>92</v>
      </c>
      <c r="I668" s="12" t="s">
        <v>268</v>
      </c>
      <c r="J668" t="s">
        <v>278</v>
      </c>
      <c r="L668" t="s">
        <v>92</v>
      </c>
      <c r="N668" s="14">
        <v>1</v>
      </c>
      <c r="P668" s="12" t="s">
        <v>268</v>
      </c>
      <c r="W668" s="9" t="str">
        <f t="shared" ca="1" si="51"/>
        <v>18.5%</v>
      </c>
      <c r="X668" t="s">
        <v>321</v>
      </c>
      <c r="Y668" s="9" t="str">
        <f t="shared" ca="1" si="52"/>
        <v>Sin costo</v>
      </c>
      <c r="Z668" t="s">
        <v>327</v>
      </c>
      <c r="AA668" t="s">
        <v>329</v>
      </c>
      <c r="AB668" t="s">
        <v>334</v>
      </c>
      <c r="AC668" s="12" t="s">
        <v>339</v>
      </c>
      <c r="AE668" t="s">
        <v>268</v>
      </c>
      <c r="AG668" s="12" t="s">
        <v>268</v>
      </c>
      <c r="AH668" t="s">
        <v>92</v>
      </c>
      <c r="AI668" s="12" t="s">
        <v>268</v>
      </c>
      <c r="AJ668" t="s">
        <v>92</v>
      </c>
      <c r="AK668" t="s">
        <v>92</v>
      </c>
      <c r="AL668" t="s">
        <v>92</v>
      </c>
      <c r="AM668" s="12" t="s">
        <v>268</v>
      </c>
      <c r="AN668" s="12" t="s">
        <v>268</v>
      </c>
      <c r="AO668" s="12" t="s">
        <v>268</v>
      </c>
      <c r="AP668" s="12" t="s">
        <v>268</v>
      </c>
      <c r="AQ668" s="12" t="s">
        <v>268</v>
      </c>
      <c r="AR668" s="28" t="str">
        <f t="shared" ca="1" si="53"/>
        <v/>
      </c>
      <c r="AS668" s="28" t="str">
        <f t="shared" ca="1" si="54"/>
        <v/>
      </c>
    </row>
    <row r="669" spans="2:45" ht="27.6" customHeight="1">
      <c r="B669">
        <f t="shared" ca="1" si="50"/>
        <v>0</v>
      </c>
      <c r="C669" t="s">
        <v>85</v>
      </c>
      <c r="D669" t="s">
        <v>92</v>
      </c>
      <c r="E669" t="s">
        <v>92</v>
      </c>
      <c r="F669" t="s">
        <v>92</v>
      </c>
      <c r="G669" t="s">
        <v>92</v>
      </c>
      <c r="H669" t="s">
        <v>92</v>
      </c>
      <c r="I669" s="12" t="s">
        <v>268</v>
      </c>
      <c r="J669" t="s">
        <v>278</v>
      </c>
      <c r="L669" t="s">
        <v>92</v>
      </c>
      <c r="N669" s="14">
        <v>1</v>
      </c>
      <c r="P669" s="12" t="s">
        <v>268</v>
      </c>
      <c r="W669" s="9" t="str">
        <f t="shared" ca="1" si="51"/>
        <v>18.5%</v>
      </c>
      <c r="X669" t="s">
        <v>321</v>
      </c>
      <c r="Y669" s="9" t="str">
        <f t="shared" ca="1" si="52"/>
        <v>Sin costo</v>
      </c>
      <c r="Z669" t="s">
        <v>327</v>
      </c>
      <c r="AA669" t="s">
        <v>329</v>
      </c>
      <c r="AB669" t="s">
        <v>334</v>
      </c>
      <c r="AC669" s="12" t="s">
        <v>339</v>
      </c>
      <c r="AE669" t="s">
        <v>268</v>
      </c>
      <c r="AG669" s="12" t="s">
        <v>268</v>
      </c>
      <c r="AH669" t="s">
        <v>92</v>
      </c>
      <c r="AI669" s="12" t="s">
        <v>268</v>
      </c>
      <c r="AJ669" t="s">
        <v>92</v>
      </c>
      <c r="AK669" t="s">
        <v>92</v>
      </c>
      <c r="AL669" t="s">
        <v>92</v>
      </c>
      <c r="AM669" s="12" t="s">
        <v>268</v>
      </c>
      <c r="AN669" s="12" t="s">
        <v>268</v>
      </c>
      <c r="AO669" s="12" t="s">
        <v>268</v>
      </c>
      <c r="AP669" s="12" t="s">
        <v>268</v>
      </c>
      <c r="AQ669" s="12" t="s">
        <v>268</v>
      </c>
      <c r="AR669" s="28" t="str">
        <f t="shared" ca="1" si="53"/>
        <v/>
      </c>
      <c r="AS669" s="28" t="str">
        <f t="shared" ca="1" si="54"/>
        <v/>
      </c>
    </row>
    <row r="670" spans="2:45" ht="27.6" customHeight="1">
      <c r="B670">
        <f t="shared" ca="1" si="50"/>
        <v>0</v>
      </c>
      <c r="C670" t="s">
        <v>85</v>
      </c>
      <c r="D670" t="s">
        <v>92</v>
      </c>
      <c r="E670" t="s">
        <v>92</v>
      </c>
      <c r="F670" t="s">
        <v>92</v>
      </c>
      <c r="G670" t="s">
        <v>92</v>
      </c>
      <c r="H670" t="s">
        <v>92</v>
      </c>
      <c r="I670" s="12" t="s">
        <v>268</v>
      </c>
      <c r="J670" t="s">
        <v>278</v>
      </c>
      <c r="L670" t="s">
        <v>92</v>
      </c>
      <c r="N670" s="14">
        <v>1</v>
      </c>
      <c r="P670" s="12" t="s">
        <v>268</v>
      </c>
      <c r="W670" s="9" t="str">
        <f t="shared" ca="1" si="51"/>
        <v>18.5%</v>
      </c>
      <c r="X670" t="s">
        <v>321</v>
      </c>
      <c r="Y670" s="9" t="str">
        <f t="shared" ca="1" si="52"/>
        <v>Sin costo</v>
      </c>
      <c r="Z670" t="s">
        <v>327</v>
      </c>
      <c r="AA670" t="s">
        <v>329</v>
      </c>
      <c r="AB670" t="s">
        <v>334</v>
      </c>
      <c r="AC670" s="12" t="s">
        <v>339</v>
      </c>
      <c r="AE670" t="s">
        <v>268</v>
      </c>
      <c r="AG670" s="12" t="s">
        <v>268</v>
      </c>
      <c r="AH670" t="s">
        <v>92</v>
      </c>
      <c r="AI670" s="12" t="s">
        <v>268</v>
      </c>
      <c r="AJ670" t="s">
        <v>92</v>
      </c>
      <c r="AK670" t="s">
        <v>92</v>
      </c>
      <c r="AL670" t="s">
        <v>92</v>
      </c>
      <c r="AM670" s="12" t="s">
        <v>268</v>
      </c>
      <c r="AN670" s="12" t="s">
        <v>268</v>
      </c>
      <c r="AO670" s="12" t="s">
        <v>268</v>
      </c>
      <c r="AP670" s="12" t="s">
        <v>268</v>
      </c>
      <c r="AQ670" s="12" t="s">
        <v>268</v>
      </c>
      <c r="AR670" s="28" t="str">
        <f t="shared" ca="1" si="53"/>
        <v/>
      </c>
      <c r="AS670" s="28" t="str">
        <f t="shared" ca="1" si="54"/>
        <v/>
      </c>
    </row>
    <row r="671" spans="2:45" ht="27.6" customHeight="1">
      <c r="B671">
        <f t="shared" ca="1" si="50"/>
        <v>0</v>
      </c>
      <c r="C671" t="s">
        <v>85</v>
      </c>
      <c r="D671" t="s">
        <v>92</v>
      </c>
      <c r="E671" t="s">
        <v>92</v>
      </c>
      <c r="F671" t="s">
        <v>92</v>
      </c>
      <c r="G671" t="s">
        <v>92</v>
      </c>
      <c r="H671" t="s">
        <v>92</v>
      </c>
      <c r="I671" s="12" t="s">
        <v>268</v>
      </c>
      <c r="J671" t="s">
        <v>278</v>
      </c>
      <c r="L671" t="s">
        <v>92</v>
      </c>
      <c r="N671" s="14">
        <v>1</v>
      </c>
      <c r="P671" s="12" t="s">
        <v>268</v>
      </c>
      <c r="W671" s="9" t="str">
        <f t="shared" ca="1" si="51"/>
        <v>18.5%</v>
      </c>
      <c r="X671" t="s">
        <v>321</v>
      </c>
      <c r="Y671" s="9" t="str">
        <f t="shared" ca="1" si="52"/>
        <v>Sin costo</v>
      </c>
      <c r="Z671" t="s">
        <v>327</v>
      </c>
      <c r="AA671" t="s">
        <v>329</v>
      </c>
      <c r="AB671" t="s">
        <v>334</v>
      </c>
      <c r="AC671" s="12" t="s">
        <v>339</v>
      </c>
      <c r="AE671" t="s">
        <v>268</v>
      </c>
      <c r="AG671" s="12" t="s">
        <v>268</v>
      </c>
      <c r="AH671" t="s">
        <v>92</v>
      </c>
      <c r="AI671" s="12" t="s">
        <v>268</v>
      </c>
      <c r="AJ671" t="s">
        <v>92</v>
      </c>
      <c r="AK671" t="s">
        <v>92</v>
      </c>
      <c r="AL671" t="s">
        <v>92</v>
      </c>
      <c r="AM671" s="12" t="s">
        <v>268</v>
      </c>
      <c r="AN671" s="12" t="s">
        <v>268</v>
      </c>
      <c r="AO671" s="12" t="s">
        <v>268</v>
      </c>
      <c r="AP671" s="12" t="s">
        <v>268</v>
      </c>
      <c r="AQ671" s="12" t="s">
        <v>268</v>
      </c>
      <c r="AR671" s="28" t="str">
        <f t="shared" ca="1" si="53"/>
        <v/>
      </c>
      <c r="AS671" s="28" t="str">
        <f t="shared" ca="1" si="54"/>
        <v/>
      </c>
    </row>
    <row r="672" spans="2:45" ht="27.6" customHeight="1">
      <c r="B672">
        <f t="shared" ca="1" si="50"/>
        <v>0</v>
      </c>
      <c r="C672" t="s">
        <v>85</v>
      </c>
      <c r="D672" t="s">
        <v>92</v>
      </c>
      <c r="E672" t="s">
        <v>92</v>
      </c>
      <c r="F672" t="s">
        <v>92</v>
      </c>
      <c r="G672" t="s">
        <v>92</v>
      </c>
      <c r="H672" t="s">
        <v>92</v>
      </c>
      <c r="I672" s="12" t="s">
        <v>268</v>
      </c>
      <c r="J672" t="s">
        <v>278</v>
      </c>
      <c r="L672" t="s">
        <v>92</v>
      </c>
      <c r="N672" s="14">
        <v>1</v>
      </c>
      <c r="P672" s="12" t="s">
        <v>268</v>
      </c>
      <c r="W672" s="9" t="str">
        <f t="shared" ca="1" si="51"/>
        <v>18.5%</v>
      </c>
      <c r="X672" t="s">
        <v>321</v>
      </c>
      <c r="Y672" s="9" t="str">
        <f t="shared" ca="1" si="52"/>
        <v>Sin costo</v>
      </c>
      <c r="Z672" t="s">
        <v>327</v>
      </c>
      <c r="AA672" t="s">
        <v>329</v>
      </c>
      <c r="AB672" t="s">
        <v>334</v>
      </c>
      <c r="AC672" s="12" t="s">
        <v>339</v>
      </c>
      <c r="AE672" t="s">
        <v>268</v>
      </c>
      <c r="AG672" s="12" t="s">
        <v>268</v>
      </c>
      <c r="AH672" t="s">
        <v>92</v>
      </c>
      <c r="AI672" s="12" t="s">
        <v>268</v>
      </c>
      <c r="AJ672" t="s">
        <v>92</v>
      </c>
      <c r="AK672" t="s">
        <v>92</v>
      </c>
      <c r="AL672" t="s">
        <v>92</v>
      </c>
      <c r="AM672" s="12" t="s">
        <v>268</v>
      </c>
      <c r="AN672" s="12" t="s">
        <v>268</v>
      </c>
      <c r="AO672" s="12" t="s">
        <v>268</v>
      </c>
      <c r="AP672" s="12" t="s">
        <v>268</v>
      </c>
      <c r="AQ672" s="12" t="s">
        <v>268</v>
      </c>
      <c r="AR672" s="28" t="str">
        <f t="shared" ca="1" si="53"/>
        <v/>
      </c>
      <c r="AS672" s="28" t="str">
        <f t="shared" ca="1" si="54"/>
        <v/>
      </c>
    </row>
    <row r="673" spans="2:45" ht="27.6" customHeight="1">
      <c r="B673">
        <f t="shared" ca="1" si="50"/>
        <v>0</v>
      </c>
      <c r="C673" t="s">
        <v>85</v>
      </c>
      <c r="D673" t="s">
        <v>92</v>
      </c>
      <c r="E673" t="s">
        <v>92</v>
      </c>
      <c r="F673" t="s">
        <v>92</v>
      </c>
      <c r="G673" t="s">
        <v>92</v>
      </c>
      <c r="H673" t="s">
        <v>92</v>
      </c>
      <c r="I673" s="12" t="s">
        <v>268</v>
      </c>
      <c r="J673" t="s">
        <v>278</v>
      </c>
      <c r="L673" t="s">
        <v>92</v>
      </c>
      <c r="N673" s="14">
        <v>1</v>
      </c>
      <c r="P673" s="12" t="s">
        <v>268</v>
      </c>
      <c r="W673" s="9" t="str">
        <f t="shared" ca="1" si="51"/>
        <v>18.5%</v>
      </c>
      <c r="X673" t="s">
        <v>321</v>
      </c>
      <c r="Y673" s="9" t="str">
        <f t="shared" ca="1" si="52"/>
        <v>Sin costo</v>
      </c>
      <c r="Z673" t="s">
        <v>327</v>
      </c>
      <c r="AA673" t="s">
        <v>329</v>
      </c>
      <c r="AB673" t="s">
        <v>334</v>
      </c>
      <c r="AC673" s="12" t="s">
        <v>339</v>
      </c>
      <c r="AE673" t="s">
        <v>268</v>
      </c>
      <c r="AG673" s="12" t="s">
        <v>268</v>
      </c>
      <c r="AH673" t="s">
        <v>92</v>
      </c>
      <c r="AI673" s="12" t="s">
        <v>268</v>
      </c>
      <c r="AJ673" t="s">
        <v>92</v>
      </c>
      <c r="AK673" t="s">
        <v>92</v>
      </c>
      <c r="AL673" t="s">
        <v>92</v>
      </c>
      <c r="AM673" s="12" t="s">
        <v>268</v>
      </c>
      <c r="AN673" s="12" t="s">
        <v>268</v>
      </c>
      <c r="AO673" s="12" t="s">
        <v>268</v>
      </c>
      <c r="AP673" s="12" t="s">
        <v>268</v>
      </c>
      <c r="AQ673" s="12" t="s">
        <v>268</v>
      </c>
      <c r="AR673" s="28" t="str">
        <f t="shared" ca="1" si="53"/>
        <v/>
      </c>
      <c r="AS673" s="28" t="str">
        <f t="shared" ca="1" si="54"/>
        <v/>
      </c>
    </row>
    <row r="674" spans="2:45" ht="27.6" customHeight="1">
      <c r="B674">
        <f t="shared" ca="1" si="50"/>
        <v>0</v>
      </c>
      <c r="C674" t="s">
        <v>85</v>
      </c>
      <c r="D674" t="s">
        <v>92</v>
      </c>
      <c r="E674" t="s">
        <v>92</v>
      </c>
      <c r="F674" t="s">
        <v>92</v>
      </c>
      <c r="G674" t="s">
        <v>92</v>
      </c>
      <c r="H674" t="s">
        <v>92</v>
      </c>
      <c r="I674" s="12" t="s">
        <v>268</v>
      </c>
      <c r="J674" t="s">
        <v>278</v>
      </c>
      <c r="L674" t="s">
        <v>92</v>
      </c>
      <c r="N674" s="14">
        <v>1</v>
      </c>
      <c r="P674" s="12" t="s">
        <v>268</v>
      </c>
      <c r="W674" s="9" t="str">
        <f t="shared" ca="1" si="51"/>
        <v>18.5%</v>
      </c>
      <c r="X674" t="s">
        <v>321</v>
      </c>
      <c r="Y674" s="9" t="str">
        <f t="shared" ca="1" si="52"/>
        <v>Sin costo</v>
      </c>
      <c r="Z674" t="s">
        <v>327</v>
      </c>
      <c r="AA674" t="s">
        <v>329</v>
      </c>
      <c r="AB674" t="s">
        <v>334</v>
      </c>
      <c r="AC674" s="12" t="s">
        <v>339</v>
      </c>
      <c r="AE674" t="s">
        <v>268</v>
      </c>
      <c r="AG674" s="12" t="s">
        <v>268</v>
      </c>
      <c r="AH674" t="s">
        <v>92</v>
      </c>
      <c r="AI674" s="12" t="s">
        <v>268</v>
      </c>
      <c r="AJ674" t="s">
        <v>92</v>
      </c>
      <c r="AK674" t="s">
        <v>92</v>
      </c>
      <c r="AL674" t="s">
        <v>92</v>
      </c>
      <c r="AM674" s="12" t="s">
        <v>268</v>
      </c>
      <c r="AN674" s="12" t="s">
        <v>268</v>
      </c>
      <c r="AO674" s="12" t="s">
        <v>268</v>
      </c>
      <c r="AP674" s="12" t="s">
        <v>268</v>
      </c>
      <c r="AQ674" s="12" t="s">
        <v>268</v>
      </c>
      <c r="AR674" s="28" t="str">
        <f t="shared" ca="1" si="53"/>
        <v/>
      </c>
      <c r="AS674" s="28" t="str">
        <f t="shared" ca="1" si="54"/>
        <v/>
      </c>
    </row>
    <row r="675" spans="2:45" ht="27.6" customHeight="1">
      <c r="B675">
        <f t="shared" ca="1" si="50"/>
        <v>0</v>
      </c>
      <c r="C675" t="s">
        <v>85</v>
      </c>
      <c r="D675" t="s">
        <v>92</v>
      </c>
      <c r="E675" t="s">
        <v>92</v>
      </c>
      <c r="F675" t="s">
        <v>92</v>
      </c>
      <c r="G675" t="s">
        <v>92</v>
      </c>
      <c r="H675" t="s">
        <v>92</v>
      </c>
      <c r="I675" s="12" t="s">
        <v>268</v>
      </c>
      <c r="J675" t="s">
        <v>278</v>
      </c>
      <c r="L675" t="s">
        <v>92</v>
      </c>
      <c r="N675" s="14">
        <v>1</v>
      </c>
      <c r="P675" s="12" t="s">
        <v>268</v>
      </c>
      <c r="W675" s="9" t="str">
        <f t="shared" ca="1" si="51"/>
        <v>18.5%</v>
      </c>
      <c r="X675" t="s">
        <v>321</v>
      </c>
      <c r="Y675" s="9" t="str">
        <f t="shared" ca="1" si="52"/>
        <v>Sin costo</v>
      </c>
      <c r="Z675" t="s">
        <v>327</v>
      </c>
      <c r="AA675" t="s">
        <v>329</v>
      </c>
      <c r="AB675" t="s">
        <v>334</v>
      </c>
      <c r="AC675" s="12" t="s">
        <v>339</v>
      </c>
      <c r="AE675" t="s">
        <v>268</v>
      </c>
      <c r="AG675" s="12" t="s">
        <v>268</v>
      </c>
      <c r="AH675" t="s">
        <v>92</v>
      </c>
      <c r="AI675" s="12" t="s">
        <v>268</v>
      </c>
      <c r="AJ675" t="s">
        <v>92</v>
      </c>
      <c r="AK675" t="s">
        <v>92</v>
      </c>
      <c r="AL675" t="s">
        <v>92</v>
      </c>
      <c r="AM675" s="12" t="s">
        <v>268</v>
      </c>
      <c r="AN675" s="12" t="s">
        <v>268</v>
      </c>
      <c r="AO675" s="12" t="s">
        <v>268</v>
      </c>
      <c r="AP675" s="12" t="s">
        <v>268</v>
      </c>
      <c r="AQ675" s="12" t="s">
        <v>268</v>
      </c>
      <c r="AR675" s="28" t="str">
        <f t="shared" ca="1" si="53"/>
        <v/>
      </c>
      <c r="AS675" s="28" t="str">
        <f t="shared" ca="1" si="54"/>
        <v/>
      </c>
    </row>
    <row r="676" spans="2:45" ht="27.6" customHeight="1">
      <c r="B676">
        <f t="shared" ca="1" si="50"/>
        <v>0</v>
      </c>
      <c r="C676" t="s">
        <v>85</v>
      </c>
      <c r="D676" t="s">
        <v>92</v>
      </c>
      <c r="E676" t="s">
        <v>92</v>
      </c>
      <c r="F676" t="s">
        <v>92</v>
      </c>
      <c r="G676" t="s">
        <v>92</v>
      </c>
      <c r="H676" t="s">
        <v>92</v>
      </c>
      <c r="I676" s="12" t="s">
        <v>268</v>
      </c>
      <c r="J676" t="s">
        <v>278</v>
      </c>
      <c r="L676" t="s">
        <v>92</v>
      </c>
      <c r="N676" s="14">
        <v>1</v>
      </c>
      <c r="P676" s="12" t="s">
        <v>268</v>
      </c>
      <c r="W676" s="9" t="str">
        <f t="shared" ca="1" si="51"/>
        <v>18.5%</v>
      </c>
      <c r="X676" t="s">
        <v>321</v>
      </c>
      <c r="Y676" s="9" t="str">
        <f t="shared" ca="1" si="52"/>
        <v>Sin costo</v>
      </c>
      <c r="Z676" t="s">
        <v>327</v>
      </c>
      <c r="AA676" t="s">
        <v>329</v>
      </c>
      <c r="AB676" t="s">
        <v>334</v>
      </c>
      <c r="AC676" s="12" t="s">
        <v>339</v>
      </c>
      <c r="AE676" t="s">
        <v>268</v>
      </c>
      <c r="AG676" s="12" t="s">
        <v>268</v>
      </c>
      <c r="AH676" t="s">
        <v>92</v>
      </c>
      <c r="AI676" s="12" t="s">
        <v>268</v>
      </c>
      <c r="AJ676" t="s">
        <v>92</v>
      </c>
      <c r="AK676" t="s">
        <v>92</v>
      </c>
      <c r="AL676" t="s">
        <v>92</v>
      </c>
      <c r="AM676" s="12" t="s">
        <v>268</v>
      </c>
      <c r="AN676" s="12" t="s">
        <v>268</v>
      </c>
      <c r="AO676" s="12" t="s">
        <v>268</v>
      </c>
      <c r="AP676" s="12" t="s">
        <v>268</v>
      </c>
      <c r="AQ676" s="12" t="s">
        <v>268</v>
      </c>
      <c r="AR676" s="28" t="str">
        <f t="shared" ca="1" si="53"/>
        <v/>
      </c>
      <c r="AS676" s="28" t="str">
        <f t="shared" ca="1" si="54"/>
        <v/>
      </c>
    </row>
    <row r="677" spans="2:45" ht="27.6" customHeight="1">
      <c r="B677">
        <f t="shared" ca="1" si="50"/>
        <v>0</v>
      </c>
      <c r="C677" t="s">
        <v>85</v>
      </c>
      <c r="D677" t="s">
        <v>92</v>
      </c>
      <c r="E677" t="s">
        <v>92</v>
      </c>
      <c r="F677" t="s">
        <v>92</v>
      </c>
      <c r="G677" t="s">
        <v>92</v>
      </c>
      <c r="H677" t="s">
        <v>92</v>
      </c>
      <c r="I677" s="12" t="s">
        <v>268</v>
      </c>
      <c r="J677" t="s">
        <v>278</v>
      </c>
      <c r="L677" t="s">
        <v>92</v>
      </c>
      <c r="N677" s="14">
        <v>1</v>
      </c>
      <c r="P677" s="12" t="s">
        <v>268</v>
      </c>
      <c r="W677" s="9" t="str">
        <f t="shared" ca="1" si="51"/>
        <v>18.5%</v>
      </c>
      <c r="X677" t="s">
        <v>321</v>
      </c>
      <c r="Y677" s="9" t="str">
        <f t="shared" ca="1" si="52"/>
        <v>Sin costo</v>
      </c>
      <c r="Z677" t="s">
        <v>327</v>
      </c>
      <c r="AA677" t="s">
        <v>329</v>
      </c>
      <c r="AB677" t="s">
        <v>334</v>
      </c>
      <c r="AC677" s="12" t="s">
        <v>339</v>
      </c>
      <c r="AE677" t="s">
        <v>268</v>
      </c>
      <c r="AG677" s="12" t="s">
        <v>268</v>
      </c>
      <c r="AH677" t="s">
        <v>92</v>
      </c>
      <c r="AI677" s="12" t="s">
        <v>268</v>
      </c>
      <c r="AJ677" t="s">
        <v>92</v>
      </c>
      <c r="AK677" t="s">
        <v>92</v>
      </c>
      <c r="AL677" t="s">
        <v>92</v>
      </c>
      <c r="AM677" s="12" t="s">
        <v>268</v>
      </c>
      <c r="AN677" s="12" t="s">
        <v>268</v>
      </c>
      <c r="AO677" s="12" t="s">
        <v>268</v>
      </c>
      <c r="AP677" s="12" t="s">
        <v>268</v>
      </c>
      <c r="AQ677" s="12" t="s">
        <v>268</v>
      </c>
      <c r="AR677" s="28" t="str">
        <f t="shared" ca="1" si="53"/>
        <v/>
      </c>
      <c r="AS677" s="28" t="str">
        <f t="shared" ca="1" si="54"/>
        <v/>
      </c>
    </row>
    <row r="678" spans="2:45" ht="27.6" customHeight="1">
      <c r="B678">
        <f t="shared" ca="1" si="50"/>
        <v>0</v>
      </c>
      <c r="C678" t="s">
        <v>85</v>
      </c>
      <c r="D678" t="s">
        <v>92</v>
      </c>
      <c r="E678" t="s">
        <v>92</v>
      </c>
      <c r="F678" t="s">
        <v>92</v>
      </c>
      <c r="G678" t="s">
        <v>92</v>
      </c>
      <c r="H678" t="s">
        <v>92</v>
      </c>
      <c r="I678" s="12" t="s">
        <v>268</v>
      </c>
      <c r="J678" t="s">
        <v>278</v>
      </c>
      <c r="L678" t="s">
        <v>92</v>
      </c>
      <c r="N678" s="14">
        <v>1</v>
      </c>
      <c r="P678" s="12" t="s">
        <v>268</v>
      </c>
      <c r="W678" s="9" t="str">
        <f t="shared" ca="1" si="51"/>
        <v>18.5%</v>
      </c>
      <c r="X678" t="s">
        <v>321</v>
      </c>
      <c r="Y678" s="9" t="str">
        <f t="shared" ca="1" si="52"/>
        <v>Sin costo</v>
      </c>
      <c r="Z678" t="s">
        <v>327</v>
      </c>
      <c r="AA678" t="s">
        <v>329</v>
      </c>
      <c r="AB678" t="s">
        <v>334</v>
      </c>
      <c r="AC678" s="12" t="s">
        <v>339</v>
      </c>
      <c r="AE678" t="s">
        <v>268</v>
      </c>
      <c r="AG678" s="12" t="s">
        <v>268</v>
      </c>
      <c r="AH678" t="s">
        <v>92</v>
      </c>
      <c r="AI678" s="12" t="s">
        <v>268</v>
      </c>
      <c r="AJ678" t="s">
        <v>92</v>
      </c>
      <c r="AK678" t="s">
        <v>92</v>
      </c>
      <c r="AL678" t="s">
        <v>92</v>
      </c>
      <c r="AM678" s="12" t="s">
        <v>268</v>
      </c>
      <c r="AN678" s="12" t="s">
        <v>268</v>
      </c>
      <c r="AO678" s="12" t="s">
        <v>268</v>
      </c>
      <c r="AP678" s="12" t="s">
        <v>268</v>
      </c>
      <c r="AQ678" s="12" t="s">
        <v>268</v>
      </c>
      <c r="AR678" s="28" t="str">
        <f t="shared" ca="1" si="53"/>
        <v/>
      </c>
      <c r="AS678" s="28" t="str">
        <f t="shared" ca="1" si="54"/>
        <v/>
      </c>
    </row>
    <row r="679" spans="2:45" ht="27.6" customHeight="1">
      <c r="B679">
        <f t="shared" ca="1" si="50"/>
        <v>0</v>
      </c>
      <c r="C679" t="s">
        <v>85</v>
      </c>
      <c r="D679" t="s">
        <v>92</v>
      </c>
      <c r="E679" t="s">
        <v>92</v>
      </c>
      <c r="F679" t="s">
        <v>92</v>
      </c>
      <c r="G679" t="s">
        <v>92</v>
      </c>
      <c r="H679" t="s">
        <v>92</v>
      </c>
      <c r="I679" s="12" t="s">
        <v>268</v>
      </c>
      <c r="J679" t="s">
        <v>278</v>
      </c>
      <c r="L679" t="s">
        <v>92</v>
      </c>
      <c r="N679" s="14">
        <v>1</v>
      </c>
      <c r="P679" s="12" t="s">
        <v>268</v>
      </c>
      <c r="W679" s="9" t="str">
        <f t="shared" ca="1" si="51"/>
        <v>18.5%</v>
      </c>
      <c r="X679" t="s">
        <v>321</v>
      </c>
      <c r="Y679" s="9" t="str">
        <f t="shared" ca="1" si="52"/>
        <v>Sin costo</v>
      </c>
      <c r="Z679" t="s">
        <v>327</v>
      </c>
      <c r="AA679" t="s">
        <v>329</v>
      </c>
      <c r="AB679" t="s">
        <v>334</v>
      </c>
      <c r="AC679" s="12" t="s">
        <v>339</v>
      </c>
      <c r="AE679" t="s">
        <v>268</v>
      </c>
      <c r="AG679" s="12" t="s">
        <v>268</v>
      </c>
      <c r="AH679" t="s">
        <v>92</v>
      </c>
      <c r="AI679" s="12" t="s">
        <v>268</v>
      </c>
      <c r="AJ679" t="s">
        <v>92</v>
      </c>
      <c r="AK679" t="s">
        <v>92</v>
      </c>
      <c r="AL679" t="s">
        <v>92</v>
      </c>
      <c r="AM679" s="12" t="s">
        <v>268</v>
      </c>
      <c r="AN679" s="12" t="s">
        <v>268</v>
      </c>
      <c r="AO679" s="12" t="s">
        <v>268</v>
      </c>
      <c r="AP679" s="12" t="s">
        <v>268</v>
      </c>
      <c r="AQ679" s="12" t="s">
        <v>268</v>
      </c>
      <c r="AR679" s="28" t="str">
        <f t="shared" ca="1" si="53"/>
        <v/>
      </c>
      <c r="AS679" s="28" t="str">
        <f t="shared" ca="1" si="54"/>
        <v/>
      </c>
    </row>
    <row r="680" spans="2:45" ht="27.6" customHeight="1">
      <c r="B680">
        <f t="shared" ca="1" si="50"/>
        <v>0</v>
      </c>
      <c r="C680" t="s">
        <v>85</v>
      </c>
      <c r="D680" t="s">
        <v>92</v>
      </c>
      <c r="E680" t="s">
        <v>92</v>
      </c>
      <c r="F680" t="s">
        <v>92</v>
      </c>
      <c r="G680" t="s">
        <v>92</v>
      </c>
      <c r="H680" t="s">
        <v>92</v>
      </c>
      <c r="I680" s="12" t="s">
        <v>268</v>
      </c>
      <c r="J680" t="s">
        <v>278</v>
      </c>
      <c r="L680" t="s">
        <v>92</v>
      </c>
      <c r="N680" s="14">
        <v>1</v>
      </c>
      <c r="P680" s="12" t="s">
        <v>268</v>
      </c>
      <c r="W680" s="9" t="str">
        <f t="shared" ca="1" si="51"/>
        <v>18.5%</v>
      </c>
      <c r="X680" t="s">
        <v>321</v>
      </c>
      <c r="Y680" s="9" t="str">
        <f t="shared" ca="1" si="52"/>
        <v>Sin costo</v>
      </c>
      <c r="Z680" t="s">
        <v>327</v>
      </c>
      <c r="AA680" t="s">
        <v>329</v>
      </c>
      <c r="AB680" t="s">
        <v>334</v>
      </c>
      <c r="AC680" s="12" t="s">
        <v>339</v>
      </c>
      <c r="AE680" t="s">
        <v>268</v>
      </c>
      <c r="AG680" s="12" t="s">
        <v>268</v>
      </c>
      <c r="AH680" t="s">
        <v>92</v>
      </c>
      <c r="AI680" s="12" t="s">
        <v>268</v>
      </c>
      <c r="AJ680" t="s">
        <v>92</v>
      </c>
      <c r="AK680" t="s">
        <v>92</v>
      </c>
      <c r="AL680" t="s">
        <v>92</v>
      </c>
      <c r="AM680" s="12" t="s">
        <v>268</v>
      </c>
      <c r="AN680" s="12" t="s">
        <v>268</v>
      </c>
      <c r="AO680" s="12" t="s">
        <v>268</v>
      </c>
      <c r="AP680" s="12" t="s">
        <v>268</v>
      </c>
      <c r="AQ680" s="12" t="s">
        <v>268</v>
      </c>
      <c r="AR680" s="28" t="str">
        <f t="shared" ca="1" si="53"/>
        <v/>
      </c>
      <c r="AS680" s="28" t="str">
        <f t="shared" ca="1" si="54"/>
        <v/>
      </c>
    </row>
    <row r="681" spans="2:45" ht="27.6" customHeight="1">
      <c r="B681">
        <f t="shared" ca="1" si="50"/>
        <v>0</v>
      </c>
      <c r="C681" t="s">
        <v>85</v>
      </c>
      <c r="D681" t="s">
        <v>92</v>
      </c>
      <c r="E681" t="s">
        <v>92</v>
      </c>
      <c r="F681" t="s">
        <v>92</v>
      </c>
      <c r="G681" t="s">
        <v>92</v>
      </c>
      <c r="H681" t="s">
        <v>92</v>
      </c>
      <c r="I681" s="12" t="s">
        <v>268</v>
      </c>
      <c r="J681" t="s">
        <v>278</v>
      </c>
      <c r="L681" t="s">
        <v>92</v>
      </c>
      <c r="N681" s="14">
        <v>1</v>
      </c>
      <c r="P681" s="12" t="s">
        <v>268</v>
      </c>
      <c r="W681" s="9" t="str">
        <f t="shared" ca="1" si="51"/>
        <v>18.5%</v>
      </c>
      <c r="X681" t="s">
        <v>321</v>
      </c>
      <c r="Y681" s="9" t="str">
        <f t="shared" ca="1" si="52"/>
        <v>Sin costo</v>
      </c>
      <c r="Z681" t="s">
        <v>327</v>
      </c>
      <c r="AA681" t="s">
        <v>329</v>
      </c>
      <c r="AB681" t="s">
        <v>334</v>
      </c>
      <c r="AC681" s="12" t="s">
        <v>339</v>
      </c>
      <c r="AE681" t="s">
        <v>268</v>
      </c>
      <c r="AG681" s="12" t="s">
        <v>268</v>
      </c>
      <c r="AH681" t="s">
        <v>92</v>
      </c>
      <c r="AI681" s="12" t="s">
        <v>268</v>
      </c>
      <c r="AJ681" t="s">
        <v>92</v>
      </c>
      <c r="AK681" t="s">
        <v>92</v>
      </c>
      <c r="AL681" t="s">
        <v>92</v>
      </c>
      <c r="AM681" s="12" t="s">
        <v>268</v>
      </c>
      <c r="AN681" s="12" t="s">
        <v>268</v>
      </c>
      <c r="AO681" s="12" t="s">
        <v>268</v>
      </c>
      <c r="AP681" s="12" t="s">
        <v>268</v>
      </c>
      <c r="AQ681" s="12" t="s">
        <v>268</v>
      </c>
      <c r="AR681" s="28" t="str">
        <f t="shared" ca="1" si="53"/>
        <v/>
      </c>
      <c r="AS681" s="28" t="str">
        <f t="shared" ca="1" si="54"/>
        <v/>
      </c>
    </row>
    <row r="682" spans="2:45" ht="27.6" customHeight="1">
      <c r="B682">
        <f t="shared" ca="1" si="50"/>
        <v>0</v>
      </c>
      <c r="C682" t="s">
        <v>85</v>
      </c>
      <c r="D682" t="s">
        <v>92</v>
      </c>
      <c r="E682" t="s">
        <v>92</v>
      </c>
      <c r="F682" t="s">
        <v>92</v>
      </c>
      <c r="G682" t="s">
        <v>92</v>
      </c>
      <c r="H682" t="s">
        <v>92</v>
      </c>
      <c r="I682" s="12" t="s">
        <v>268</v>
      </c>
      <c r="J682" t="s">
        <v>278</v>
      </c>
      <c r="L682" t="s">
        <v>92</v>
      </c>
      <c r="N682" s="14">
        <v>1</v>
      </c>
      <c r="P682" s="12" t="s">
        <v>268</v>
      </c>
      <c r="W682" s="9" t="str">
        <f t="shared" ca="1" si="51"/>
        <v>18.5%</v>
      </c>
      <c r="X682" t="s">
        <v>321</v>
      </c>
      <c r="Y682" s="9" t="str">
        <f t="shared" ca="1" si="52"/>
        <v>Sin costo</v>
      </c>
      <c r="Z682" t="s">
        <v>327</v>
      </c>
      <c r="AA682" t="s">
        <v>329</v>
      </c>
      <c r="AB682" t="s">
        <v>334</v>
      </c>
      <c r="AC682" s="12" t="s">
        <v>339</v>
      </c>
      <c r="AE682" t="s">
        <v>268</v>
      </c>
      <c r="AG682" s="12" t="s">
        <v>268</v>
      </c>
      <c r="AH682" t="s">
        <v>92</v>
      </c>
      <c r="AI682" s="12" t="s">
        <v>268</v>
      </c>
      <c r="AJ682" t="s">
        <v>92</v>
      </c>
      <c r="AK682" t="s">
        <v>92</v>
      </c>
      <c r="AL682" t="s">
        <v>92</v>
      </c>
      <c r="AM682" s="12" t="s">
        <v>268</v>
      </c>
      <c r="AN682" s="12" t="s">
        <v>268</v>
      </c>
      <c r="AO682" s="12" t="s">
        <v>268</v>
      </c>
      <c r="AP682" s="12" t="s">
        <v>268</v>
      </c>
      <c r="AQ682" s="12" t="s">
        <v>268</v>
      </c>
      <c r="AR682" s="28" t="str">
        <f t="shared" ca="1" si="53"/>
        <v/>
      </c>
      <c r="AS682" s="28" t="str">
        <f t="shared" ca="1" si="54"/>
        <v/>
      </c>
    </row>
    <row r="683" spans="2:45" ht="27.6" customHeight="1">
      <c r="B683">
        <f t="shared" ca="1" si="50"/>
        <v>0</v>
      </c>
      <c r="C683" t="s">
        <v>85</v>
      </c>
      <c r="D683" t="s">
        <v>92</v>
      </c>
      <c r="E683" t="s">
        <v>92</v>
      </c>
      <c r="F683" t="s">
        <v>92</v>
      </c>
      <c r="G683" t="s">
        <v>92</v>
      </c>
      <c r="H683" t="s">
        <v>92</v>
      </c>
      <c r="I683" s="12" t="s">
        <v>268</v>
      </c>
      <c r="J683" t="s">
        <v>278</v>
      </c>
      <c r="L683" t="s">
        <v>92</v>
      </c>
      <c r="N683" s="14">
        <v>1</v>
      </c>
      <c r="P683" s="12" t="s">
        <v>268</v>
      </c>
      <c r="W683" s="9" t="str">
        <f t="shared" ca="1" si="51"/>
        <v>18.5%</v>
      </c>
      <c r="X683" t="s">
        <v>321</v>
      </c>
      <c r="Y683" s="9" t="str">
        <f t="shared" ca="1" si="52"/>
        <v>Sin costo</v>
      </c>
      <c r="Z683" t="s">
        <v>327</v>
      </c>
      <c r="AA683" t="s">
        <v>329</v>
      </c>
      <c r="AB683" t="s">
        <v>334</v>
      </c>
      <c r="AC683" s="12" t="s">
        <v>339</v>
      </c>
      <c r="AE683" t="s">
        <v>268</v>
      </c>
      <c r="AG683" s="12" t="s">
        <v>268</v>
      </c>
      <c r="AH683" t="s">
        <v>92</v>
      </c>
      <c r="AI683" s="12" t="s">
        <v>268</v>
      </c>
      <c r="AJ683" t="s">
        <v>92</v>
      </c>
      <c r="AK683" t="s">
        <v>92</v>
      </c>
      <c r="AL683" t="s">
        <v>92</v>
      </c>
      <c r="AM683" s="12" t="s">
        <v>268</v>
      </c>
      <c r="AN683" s="12" t="s">
        <v>268</v>
      </c>
      <c r="AO683" s="12" t="s">
        <v>268</v>
      </c>
      <c r="AP683" s="12" t="s">
        <v>268</v>
      </c>
      <c r="AQ683" s="12" t="s">
        <v>268</v>
      </c>
      <c r="AR683" s="28" t="str">
        <f t="shared" ca="1" si="53"/>
        <v/>
      </c>
      <c r="AS683" s="28" t="str">
        <f t="shared" ca="1" si="54"/>
        <v/>
      </c>
    </row>
    <row r="684" spans="2:45" ht="27.6" customHeight="1">
      <c r="B684">
        <f t="shared" ca="1" si="50"/>
        <v>0</v>
      </c>
      <c r="C684" t="s">
        <v>85</v>
      </c>
      <c r="D684" t="s">
        <v>92</v>
      </c>
      <c r="E684" t="s">
        <v>92</v>
      </c>
      <c r="F684" t="s">
        <v>92</v>
      </c>
      <c r="G684" t="s">
        <v>92</v>
      </c>
      <c r="H684" t="s">
        <v>92</v>
      </c>
      <c r="I684" s="12" t="s">
        <v>268</v>
      </c>
      <c r="J684" t="s">
        <v>278</v>
      </c>
      <c r="L684" t="s">
        <v>92</v>
      </c>
      <c r="N684" s="14">
        <v>1</v>
      </c>
      <c r="P684" s="12" t="s">
        <v>268</v>
      </c>
      <c r="W684" s="9" t="str">
        <f t="shared" ca="1" si="51"/>
        <v>18.5%</v>
      </c>
      <c r="X684" t="s">
        <v>321</v>
      </c>
      <c r="Y684" s="9" t="str">
        <f t="shared" ca="1" si="52"/>
        <v>Sin costo</v>
      </c>
      <c r="Z684" t="s">
        <v>327</v>
      </c>
      <c r="AA684" t="s">
        <v>329</v>
      </c>
      <c r="AB684" t="s">
        <v>334</v>
      </c>
      <c r="AC684" s="12" t="s">
        <v>339</v>
      </c>
      <c r="AE684" t="s">
        <v>268</v>
      </c>
      <c r="AG684" s="12" t="s">
        <v>268</v>
      </c>
      <c r="AH684" t="s">
        <v>92</v>
      </c>
      <c r="AI684" s="12" t="s">
        <v>268</v>
      </c>
      <c r="AJ684" t="s">
        <v>92</v>
      </c>
      <c r="AK684" t="s">
        <v>92</v>
      </c>
      <c r="AL684" t="s">
        <v>92</v>
      </c>
      <c r="AM684" s="12" t="s">
        <v>268</v>
      </c>
      <c r="AN684" s="12" t="s">
        <v>268</v>
      </c>
      <c r="AO684" s="12" t="s">
        <v>268</v>
      </c>
      <c r="AP684" s="12" t="s">
        <v>268</v>
      </c>
      <c r="AQ684" s="12" t="s">
        <v>268</v>
      </c>
      <c r="AR684" s="28" t="str">
        <f t="shared" ca="1" si="53"/>
        <v/>
      </c>
      <c r="AS684" s="28" t="str">
        <f t="shared" ca="1" si="54"/>
        <v/>
      </c>
    </row>
    <row r="685" spans="2:45" ht="27.6" customHeight="1">
      <c r="B685">
        <f t="shared" ca="1" si="50"/>
        <v>0</v>
      </c>
      <c r="C685" t="s">
        <v>85</v>
      </c>
      <c r="D685" t="s">
        <v>92</v>
      </c>
      <c r="E685" t="s">
        <v>92</v>
      </c>
      <c r="F685" t="s">
        <v>92</v>
      </c>
      <c r="G685" t="s">
        <v>92</v>
      </c>
      <c r="H685" t="s">
        <v>92</v>
      </c>
      <c r="I685" s="12" t="s">
        <v>268</v>
      </c>
      <c r="J685" t="s">
        <v>278</v>
      </c>
      <c r="L685" t="s">
        <v>92</v>
      </c>
      <c r="N685" s="14">
        <v>1</v>
      </c>
      <c r="P685" s="12" t="s">
        <v>268</v>
      </c>
      <c r="W685" s="9" t="str">
        <f t="shared" ca="1" si="51"/>
        <v>18.5%</v>
      </c>
      <c r="X685" t="s">
        <v>321</v>
      </c>
      <c r="Y685" s="9" t="str">
        <f t="shared" ca="1" si="52"/>
        <v>Sin costo</v>
      </c>
      <c r="Z685" t="s">
        <v>327</v>
      </c>
      <c r="AA685" t="s">
        <v>329</v>
      </c>
      <c r="AB685" t="s">
        <v>334</v>
      </c>
      <c r="AC685" s="12" t="s">
        <v>339</v>
      </c>
      <c r="AE685" t="s">
        <v>268</v>
      </c>
      <c r="AG685" s="12" t="s">
        <v>268</v>
      </c>
      <c r="AH685" t="s">
        <v>92</v>
      </c>
      <c r="AI685" s="12" t="s">
        <v>268</v>
      </c>
      <c r="AJ685" t="s">
        <v>92</v>
      </c>
      <c r="AK685" t="s">
        <v>92</v>
      </c>
      <c r="AL685" t="s">
        <v>92</v>
      </c>
      <c r="AM685" s="12" t="s">
        <v>268</v>
      </c>
      <c r="AN685" s="12" t="s">
        <v>268</v>
      </c>
      <c r="AO685" s="12" t="s">
        <v>268</v>
      </c>
      <c r="AP685" s="12" t="s">
        <v>268</v>
      </c>
      <c r="AQ685" s="12" t="s">
        <v>268</v>
      </c>
      <c r="AR685" s="28" t="str">
        <f t="shared" ca="1" si="53"/>
        <v/>
      </c>
      <c r="AS685" s="28" t="str">
        <f t="shared" ca="1" si="54"/>
        <v/>
      </c>
    </row>
    <row r="686" spans="2:45" ht="27.6" customHeight="1">
      <c r="B686">
        <f t="shared" ca="1" si="50"/>
        <v>0</v>
      </c>
      <c r="C686" t="s">
        <v>85</v>
      </c>
      <c r="D686" t="s">
        <v>92</v>
      </c>
      <c r="E686" t="s">
        <v>92</v>
      </c>
      <c r="F686" t="s">
        <v>92</v>
      </c>
      <c r="G686" t="s">
        <v>92</v>
      </c>
      <c r="H686" t="s">
        <v>92</v>
      </c>
      <c r="I686" s="12" t="s">
        <v>268</v>
      </c>
      <c r="J686" t="s">
        <v>278</v>
      </c>
      <c r="L686" t="s">
        <v>92</v>
      </c>
      <c r="N686" s="14">
        <v>1</v>
      </c>
      <c r="P686" s="12" t="s">
        <v>268</v>
      </c>
      <c r="W686" s="9" t="str">
        <f t="shared" ca="1" si="51"/>
        <v>18.5%</v>
      </c>
      <c r="X686" t="s">
        <v>321</v>
      </c>
      <c r="Y686" s="9" t="str">
        <f t="shared" ca="1" si="52"/>
        <v>Sin costo</v>
      </c>
      <c r="Z686" t="s">
        <v>327</v>
      </c>
      <c r="AA686" t="s">
        <v>329</v>
      </c>
      <c r="AB686" t="s">
        <v>334</v>
      </c>
      <c r="AC686" s="12" t="s">
        <v>339</v>
      </c>
      <c r="AE686" t="s">
        <v>268</v>
      </c>
      <c r="AG686" s="12" t="s">
        <v>268</v>
      </c>
      <c r="AH686" t="s">
        <v>92</v>
      </c>
      <c r="AI686" s="12" t="s">
        <v>268</v>
      </c>
      <c r="AJ686" t="s">
        <v>92</v>
      </c>
      <c r="AK686" t="s">
        <v>92</v>
      </c>
      <c r="AL686" t="s">
        <v>92</v>
      </c>
      <c r="AM686" s="12" t="s">
        <v>268</v>
      </c>
      <c r="AN686" s="12" t="s">
        <v>268</v>
      </c>
      <c r="AO686" s="12" t="s">
        <v>268</v>
      </c>
      <c r="AP686" s="12" t="s">
        <v>268</v>
      </c>
      <c r="AQ686" s="12" t="s">
        <v>268</v>
      </c>
      <c r="AR686" s="28" t="str">
        <f t="shared" ca="1" si="53"/>
        <v/>
      </c>
      <c r="AS686" s="28" t="str">
        <f t="shared" ca="1" si="54"/>
        <v/>
      </c>
    </row>
    <row r="687" spans="2:45" ht="27.6" customHeight="1">
      <c r="B687">
        <f t="shared" ca="1" si="50"/>
        <v>0</v>
      </c>
      <c r="C687" t="s">
        <v>85</v>
      </c>
      <c r="D687" t="s">
        <v>92</v>
      </c>
      <c r="E687" t="s">
        <v>92</v>
      </c>
      <c r="F687" t="s">
        <v>92</v>
      </c>
      <c r="G687" t="s">
        <v>92</v>
      </c>
      <c r="H687" t="s">
        <v>92</v>
      </c>
      <c r="I687" s="12" t="s">
        <v>268</v>
      </c>
      <c r="J687" t="s">
        <v>278</v>
      </c>
      <c r="L687" t="s">
        <v>92</v>
      </c>
      <c r="N687" s="14">
        <v>1</v>
      </c>
      <c r="P687" s="12" t="s">
        <v>268</v>
      </c>
      <c r="W687" s="9" t="str">
        <f t="shared" ca="1" si="51"/>
        <v>18.5%</v>
      </c>
      <c r="X687" t="s">
        <v>321</v>
      </c>
      <c r="Y687" s="9" t="str">
        <f t="shared" ca="1" si="52"/>
        <v>Sin costo</v>
      </c>
      <c r="Z687" t="s">
        <v>327</v>
      </c>
      <c r="AA687" t="s">
        <v>329</v>
      </c>
      <c r="AB687" t="s">
        <v>334</v>
      </c>
      <c r="AC687" s="12" t="s">
        <v>339</v>
      </c>
      <c r="AE687" t="s">
        <v>268</v>
      </c>
      <c r="AG687" s="12" t="s">
        <v>268</v>
      </c>
      <c r="AH687" t="s">
        <v>92</v>
      </c>
      <c r="AI687" s="12" t="s">
        <v>268</v>
      </c>
      <c r="AJ687" t="s">
        <v>92</v>
      </c>
      <c r="AK687" t="s">
        <v>92</v>
      </c>
      <c r="AL687" t="s">
        <v>92</v>
      </c>
      <c r="AM687" s="12" t="s">
        <v>268</v>
      </c>
      <c r="AN687" s="12" t="s">
        <v>268</v>
      </c>
      <c r="AO687" s="12" t="s">
        <v>268</v>
      </c>
      <c r="AP687" s="12" t="s">
        <v>268</v>
      </c>
      <c r="AQ687" s="12" t="s">
        <v>268</v>
      </c>
      <c r="AR687" s="28" t="str">
        <f t="shared" ca="1" si="53"/>
        <v/>
      </c>
      <c r="AS687" s="28" t="str">
        <f t="shared" ca="1" si="54"/>
        <v/>
      </c>
    </row>
    <row r="688" spans="2:45" ht="27.6" customHeight="1">
      <c r="B688">
        <f t="shared" ca="1" si="50"/>
        <v>0</v>
      </c>
      <c r="C688" t="s">
        <v>85</v>
      </c>
      <c r="D688" t="s">
        <v>92</v>
      </c>
      <c r="E688" t="s">
        <v>92</v>
      </c>
      <c r="F688" t="s">
        <v>92</v>
      </c>
      <c r="G688" t="s">
        <v>92</v>
      </c>
      <c r="H688" t="s">
        <v>92</v>
      </c>
      <c r="I688" s="12" t="s">
        <v>268</v>
      </c>
      <c r="J688" t="s">
        <v>278</v>
      </c>
      <c r="L688" t="s">
        <v>92</v>
      </c>
      <c r="N688" s="14">
        <v>1</v>
      </c>
      <c r="P688" s="12" t="s">
        <v>268</v>
      </c>
      <c r="W688" s="9" t="str">
        <f t="shared" ca="1" si="51"/>
        <v>18.5%</v>
      </c>
      <c r="X688" t="s">
        <v>321</v>
      </c>
      <c r="Y688" s="9" t="str">
        <f t="shared" ca="1" si="52"/>
        <v>Sin costo</v>
      </c>
      <c r="Z688" t="s">
        <v>327</v>
      </c>
      <c r="AA688" t="s">
        <v>329</v>
      </c>
      <c r="AB688" t="s">
        <v>334</v>
      </c>
      <c r="AC688" s="12" t="s">
        <v>339</v>
      </c>
      <c r="AE688" t="s">
        <v>268</v>
      </c>
      <c r="AG688" s="12" t="s">
        <v>268</v>
      </c>
      <c r="AH688" t="s">
        <v>92</v>
      </c>
      <c r="AI688" s="12" t="s">
        <v>268</v>
      </c>
      <c r="AJ688" t="s">
        <v>92</v>
      </c>
      <c r="AK688" t="s">
        <v>92</v>
      </c>
      <c r="AL688" t="s">
        <v>92</v>
      </c>
      <c r="AM688" s="12" t="s">
        <v>268</v>
      </c>
      <c r="AN688" s="12" t="s">
        <v>268</v>
      </c>
      <c r="AO688" s="12" t="s">
        <v>268</v>
      </c>
      <c r="AP688" s="12" t="s">
        <v>268</v>
      </c>
      <c r="AQ688" s="12" t="s">
        <v>268</v>
      </c>
      <c r="AR688" s="28" t="str">
        <f t="shared" ca="1" si="53"/>
        <v/>
      </c>
      <c r="AS688" s="28" t="str">
        <f t="shared" ca="1" si="54"/>
        <v/>
      </c>
    </row>
    <row r="689" spans="2:45" ht="27.6" customHeight="1">
      <c r="B689">
        <f t="shared" ca="1" si="50"/>
        <v>0</v>
      </c>
      <c r="C689" t="s">
        <v>85</v>
      </c>
      <c r="D689" t="s">
        <v>92</v>
      </c>
      <c r="E689" t="s">
        <v>92</v>
      </c>
      <c r="F689" t="s">
        <v>92</v>
      </c>
      <c r="G689" t="s">
        <v>92</v>
      </c>
      <c r="H689" t="s">
        <v>92</v>
      </c>
      <c r="I689" s="12" t="s">
        <v>268</v>
      </c>
      <c r="J689" t="s">
        <v>278</v>
      </c>
      <c r="L689" t="s">
        <v>92</v>
      </c>
      <c r="N689" s="14">
        <v>1</v>
      </c>
      <c r="P689" s="12" t="s">
        <v>268</v>
      </c>
      <c r="W689" s="9" t="str">
        <f t="shared" ca="1" si="51"/>
        <v>18.5%</v>
      </c>
      <c r="X689" t="s">
        <v>321</v>
      </c>
      <c r="Y689" s="9" t="str">
        <f t="shared" ca="1" si="52"/>
        <v>Sin costo</v>
      </c>
      <c r="Z689" t="s">
        <v>327</v>
      </c>
      <c r="AA689" t="s">
        <v>329</v>
      </c>
      <c r="AB689" t="s">
        <v>334</v>
      </c>
      <c r="AC689" s="12" t="s">
        <v>339</v>
      </c>
      <c r="AE689" t="s">
        <v>268</v>
      </c>
      <c r="AG689" s="12" t="s">
        <v>268</v>
      </c>
      <c r="AH689" t="s">
        <v>92</v>
      </c>
      <c r="AI689" s="12" t="s">
        <v>268</v>
      </c>
      <c r="AJ689" t="s">
        <v>92</v>
      </c>
      <c r="AK689" t="s">
        <v>92</v>
      </c>
      <c r="AL689" t="s">
        <v>92</v>
      </c>
      <c r="AM689" s="12" t="s">
        <v>268</v>
      </c>
      <c r="AN689" s="12" t="s">
        <v>268</v>
      </c>
      <c r="AO689" s="12" t="s">
        <v>268</v>
      </c>
      <c r="AP689" s="12" t="s">
        <v>268</v>
      </c>
      <c r="AQ689" s="12" t="s">
        <v>268</v>
      </c>
      <c r="AR689" s="28" t="str">
        <f t="shared" ca="1" si="53"/>
        <v/>
      </c>
      <c r="AS689" s="28" t="str">
        <f t="shared" ca="1" si="54"/>
        <v/>
      </c>
    </row>
    <row r="690" spans="2:45" ht="27.6" customHeight="1">
      <c r="B690">
        <f t="shared" ca="1" si="50"/>
        <v>0</v>
      </c>
      <c r="C690" t="s">
        <v>85</v>
      </c>
      <c r="D690" t="s">
        <v>92</v>
      </c>
      <c r="E690" t="s">
        <v>92</v>
      </c>
      <c r="F690" t="s">
        <v>92</v>
      </c>
      <c r="G690" t="s">
        <v>92</v>
      </c>
      <c r="H690" t="s">
        <v>92</v>
      </c>
      <c r="I690" s="12" t="s">
        <v>268</v>
      </c>
      <c r="J690" t="s">
        <v>278</v>
      </c>
      <c r="L690" t="s">
        <v>92</v>
      </c>
      <c r="N690" s="14">
        <v>1</v>
      </c>
      <c r="P690" s="12" t="s">
        <v>268</v>
      </c>
      <c r="W690" s="9" t="str">
        <f t="shared" ca="1" si="51"/>
        <v>18.5%</v>
      </c>
      <c r="X690" t="s">
        <v>321</v>
      </c>
      <c r="Y690" s="9" t="str">
        <f t="shared" ca="1" si="52"/>
        <v>Sin costo</v>
      </c>
      <c r="Z690" t="s">
        <v>327</v>
      </c>
      <c r="AA690" t="s">
        <v>329</v>
      </c>
      <c r="AB690" t="s">
        <v>334</v>
      </c>
      <c r="AC690" s="12" t="s">
        <v>339</v>
      </c>
      <c r="AE690" t="s">
        <v>268</v>
      </c>
      <c r="AG690" s="12" t="s">
        <v>268</v>
      </c>
      <c r="AH690" t="s">
        <v>92</v>
      </c>
      <c r="AI690" s="12" t="s">
        <v>268</v>
      </c>
      <c r="AJ690" t="s">
        <v>92</v>
      </c>
      <c r="AK690" t="s">
        <v>92</v>
      </c>
      <c r="AL690" t="s">
        <v>92</v>
      </c>
      <c r="AM690" s="12" t="s">
        <v>268</v>
      </c>
      <c r="AN690" s="12" t="s">
        <v>268</v>
      </c>
      <c r="AO690" s="12" t="s">
        <v>268</v>
      </c>
      <c r="AP690" s="12" t="s">
        <v>268</v>
      </c>
      <c r="AQ690" s="12" t="s">
        <v>268</v>
      </c>
      <c r="AR690" s="28" t="str">
        <f t="shared" ca="1" si="53"/>
        <v/>
      </c>
      <c r="AS690" s="28" t="str">
        <f t="shared" ca="1" si="54"/>
        <v/>
      </c>
    </row>
    <row r="691" spans="2:45" ht="27.6" customHeight="1">
      <c r="B691">
        <f t="shared" ca="1" si="50"/>
        <v>0</v>
      </c>
      <c r="C691" t="s">
        <v>85</v>
      </c>
      <c r="D691" t="s">
        <v>92</v>
      </c>
      <c r="E691" t="s">
        <v>92</v>
      </c>
      <c r="F691" t="s">
        <v>92</v>
      </c>
      <c r="G691" t="s">
        <v>92</v>
      </c>
      <c r="H691" t="s">
        <v>92</v>
      </c>
      <c r="I691" s="12" t="s">
        <v>268</v>
      </c>
      <c r="J691" t="s">
        <v>278</v>
      </c>
      <c r="L691" t="s">
        <v>92</v>
      </c>
      <c r="N691" s="14">
        <v>1</v>
      </c>
      <c r="P691" s="12" t="s">
        <v>268</v>
      </c>
      <c r="W691" s="9" t="str">
        <f t="shared" ca="1" si="51"/>
        <v>18.5%</v>
      </c>
      <c r="X691" t="s">
        <v>321</v>
      </c>
      <c r="Y691" s="9" t="str">
        <f t="shared" ca="1" si="52"/>
        <v>Sin costo</v>
      </c>
      <c r="Z691" t="s">
        <v>327</v>
      </c>
      <c r="AA691" t="s">
        <v>329</v>
      </c>
      <c r="AB691" t="s">
        <v>334</v>
      </c>
      <c r="AC691" s="12" t="s">
        <v>339</v>
      </c>
      <c r="AE691" t="s">
        <v>268</v>
      </c>
      <c r="AG691" s="12" t="s">
        <v>268</v>
      </c>
      <c r="AH691" t="s">
        <v>92</v>
      </c>
      <c r="AI691" s="12" t="s">
        <v>268</v>
      </c>
      <c r="AJ691" t="s">
        <v>92</v>
      </c>
      <c r="AK691" t="s">
        <v>92</v>
      </c>
      <c r="AL691" t="s">
        <v>92</v>
      </c>
      <c r="AM691" s="12" t="s">
        <v>268</v>
      </c>
      <c r="AN691" s="12" t="s">
        <v>268</v>
      </c>
      <c r="AO691" s="12" t="s">
        <v>268</v>
      </c>
      <c r="AP691" s="12" t="s">
        <v>268</v>
      </c>
      <c r="AQ691" s="12" t="s">
        <v>268</v>
      </c>
      <c r="AR691" s="28" t="str">
        <f t="shared" ca="1" si="53"/>
        <v/>
      </c>
      <c r="AS691" s="28" t="str">
        <f t="shared" ca="1" si="54"/>
        <v/>
      </c>
    </row>
    <row r="692" spans="2:45" ht="27.6" customHeight="1">
      <c r="B692">
        <f t="shared" ca="1" si="50"/>
        <v>0</v>
      </c>
      <c r="C692" t="s">
        <v>85</v>
      </c>
      <c r="D692" t="s">
        <v>92</v>
      </c>
      <c r="E692" t="s">
        <v>92</v>
      </c>
      <c r="F692" t="s">
        <v>92</v>
      </c>
      <c r="G692" t="s">
        <v>92</v>
      </c>
      <c r="H692" t="s">
        <v>92</v>
      </c>
      <c r="I692" s="12" t="s">
        <v>268</v>
      </c>
      <c r="J692" t="s">
        <v>278</v>
      </c>
      <c r="L692" t="s">
        <v>92</v>
      </c>
      <c r="N692" s="14">
        <v>1</v>
      </c>
      <c r="P692" s="12" t="s">
        <v>268</v>
      </c>
      <c r="W692" s="9" t="str">
        <f t="shared" ca="1" si="51"/>
        <v>18.5%</v>
      </c>
      <c r="X692" t="s">
        <v>321</v>
      </c>
      <c r="Y692" s="9" t="str">
        <f t="shared" ca="1" si="52"/>
        <v>Sin costo</v>
      </c>
      <c r="Z692" t="s">
        <v>327</v>
      </c>
      <c r="AA692" t="s">
        <v>329</v>
      </c>
      <c r="AB692" t="s">
        <v>334</v>
      </c>
      <c r="AC692" s="12" t="s">
        <v>339</v>
      </c>
      <c r="AE692" t="s">
        <v>268</v>
      </c>
      <c r="AG692" s="12" t="s">
        <v>268</v>
      </c>
      <c r="AH692" t="s">
        <v>92</v>
      </c>
      <c r="AI692" s="12" t="s">
        <v>268</v>
      </c>
      <c r="AJ692" t="s">
        <v>92</v>
      </c>
      <c r="AK692" t="s">
        <v>92</v>
      </c>
      <c r="AL692" t="s">
        <v>92</v>
      </c>
      <c r="AM692" s="12" t="s">
        <v>268</v>
      </c>
      <c r="AN692" s="12" t="s">
        <v>268</v>
      </c>
      <c r="AO692" s="12" t="s">
        <v>268</v>
      </c>
      <c r="AP692" s="12" t="s">
        <v>268</v>
      </c>
      <c r="AQ692" s="12" t="s">
        <v>268</v>
      </c>
      <c r="AR692" s="28" t="str">
        <f t="shared" ca="1" si="53"/>
        <v/>
      </c>
      <c r="AS692" s="28" t="str">
        <f t="shared" ca="1" si="54"/>
        <v/>
      </c>
    </row>
    <row r="693" spans="2:45" ht="27.6" customHeight="1">
      <c r="B693">
        <f t="shared" ca="1" si="50"/>
        <v>0</v>
      </c>
      <c r="C693" t="s">
        <v>85</v>
      </c>
      <c r="D693" t="s">
        <v>92</v>
      </c>
      <c r="E693" t="s">
        <v>92</v>
      </c>
      <c r="F693" t="s">
        <v>92</v>
      </c>
      <c r="G693" t="s">
        <v>92</v>
      </c>
      <c r="H693" t="s">
        <v>92</v>
      </c>
      <c r="I693" s="12" t="s">
        <v>268</v>
      </c>
      <c r="J693" t="s">
        <v>278</v>
      </c>
      <c r="L693" t="s">
        <v>92</v>
      </c>
      <c r="N693" s="14">
        <v>1</v>
      </c>
      <c r="P693" s="12" t="s">
        <v>268</v>
      </c>
      <c r="W693" s="9" t="str">
        <f t="shared" ca="1" si="51"/>
        <v>18.5%</v>
      </c>
      <c r="X693" t="s">
        <v>321</v>
      </c>
      <c r="Y693" s="9" t="str">
        <f t="shared" ca="1" si="52"/>
        <v>Sin costo</v>
      </c>
      <c r="Z693" t="s">
        <v>327</v>
      </c>
      <c r="AA693" t="s">
        <v>329</v>
      </c>
      <c r="AB693" t="s">
        <v>334</v>
      </c>
      <c r="AC693" s="12" t="s">
        <v>339</v>
      </c>
      <c r="AE693" t="s">
        <v>268</v>
      </c>
      <c r="AG693" s="12" t="s">
        <v>268</v>
      </c>
      <c r="AH693" t="s">
        <v>92</v>
      </c>
      <c r="AI693" s="12" t="s">
        <v>268</v>
      </c>
      <c r="AJ693" t="s">
        <v>92</v>
      </c>
      <c r="AK693" t="s">
        <v>92</v>
      </c>
      <c r="AL693" t="s">
        <v>92</v>
      </c>
      <c r="AM693" s="12" t="s">
        <v>268</v>
      </c>
      <c r="AN693" s="12" t="s">
        <v>268</v>
      </c>
      <c r="AO693" s="12" t="s">
        <v>268</v>
      </c>
      <c r="AP693" s="12" t="s">
        <v>268</v>
      </c>
      <c r="AQ693" s="12" t="s">
        <v>268</v>
      </c>
      <c r="AR693" s="28" t="str">
        <f t="shared" ca="1" si="53"/>
        <v/>
      </c>
      <c r="AS693" s="28" t="str">
        <f t="shared" ca="1" si="54"/>
        <v/>
      </c>
    </row>
    <row r="694" spans="2:45" ht="27.6" customHeight="1">
      <c r="B694">
        <f t="shared" ca="1" si="50"/>
        <v>0</v>
      </c>
      <c r="C694" t="s">
        <v>85</v>
      </c>
      <c r="D694" t="s">
        <v>92</v>
      </c>
      <c r="E694" t="s">
        <v>92</v>
      </c>
      <c r="F694" t="s">
        <v>92</v>
      </c>
      <c r="G694" t="s">
        <v>92</v>
      </c>
      <c r="H694" t="s">
        <v>92</v>
      </c>
      <c r="I694" s="12" t="s">
        <v>268</v>
      </c>
      <c r="J694" t="s">
        <v>278</v>
      </c>
      <c r="L694" t="s">
        <v>92</v>
      </c>
      <c r="N694" s="14">
        <v>1</v>
      </c>
      <c r="P694" s="12" t="s">
        <v>268</v>
      </c>
      <c r="W694" s="9" t="str">
        <f t="shared" ca="1" si="51"/>
        <v>18.5%</v>
      </c>
      <c r="X694" t="s">
        <v>321</v>
      </c>
      <c r="Y694" s="9" t="str">
        <f t="shared" ca="1" si="52"/>
        <v>Sin costo</v>
      </c>
      <c r="Z694" t="s">
        <v>327</v>
      </c>
      <c r="AA694" t="s">
        <v>329</v>
      </c>
      <c r="AB694" t="s">
        <v>334</v>
      </c>
      <c r="AC694" s="12" t="s">
        <v>339</v>
      </c>
      <c r="AE694" t="s">
        <v>268</v>
      </c>
      <c r="AG694" s="12" t="s">
        <v>268</v>
      </c>
      <c r="AH694" t="s">
        <v>92</v>
      </c>
      <c r="AI694" s="12" t="s">
        <v>268</v>
      </c>
      <c r="AJ694" t="s">
        <v>92</v>
      </c>
      <c r="AK694" t="s">
        <v>92</v>
      </c>
      <c r="AL694" t="s">
        <v>92</v>
      </c>
      <c r="AM694" s="12" t="s">
        <v>268</v>
      </c>
      <c r="AN694" s="12" t="s">
        <v>268</v>
      </c>
      <c r="AO694" s="12" t="s">
        <v>268</v>
      </c>
      <c r="AP694" s="12" t="s">
        <v>268</v>
      </c>
      <c r="AQ694" s="12" t="s">
        <v>268</v>
      </c>
      <c r="AR694" s="28" t="str">
        <f t="shared" ca="1" si="53"/>
        <v/>
      </c>
      <c r="AS694" s="28" t="str">
        <f t="shared" ca="1" si="54"/>
        <v/>
      </c>
    </row>
    <row r="695" spans="2:45" ht="27.6" customHeight="1">
      <c r="B695">
        <f t="shared" ca="1" si="50"/>
        <v>0</v>
      </c>
      <c r="C695" t="s">
        <v>85</v>
      </c>
      <c r="D695" t="s">
        <v>92</v>
      </c>
      <c r="E695" t="s">
        <v>92</v>
      </c>
      <c r="F695" t="s">
        <v>92</v>
      </c>
      <c r="G695" t="s">
        <v>92</v>
      </c>
      <c r="H695" t="s">
        <v>92</v>
      </c>
      <c r="I695" s="12" t="s">
        <v>268</v>
      </c>
      <c r="J695" t="s">
        <v>278</v>
      </c>
      <c r="L695" t="s">
        <v>92</v>
      </c>
      <c r="N695" s="14">
        <v>1</v>
      </c>
      <c r="P695" s="12" t="s">
        <v>268</v>
      </c>
      <c r="W695" s="9" t="str">
        <f t="shared" ca="1" si="51"/>
        <v>18.5%</v>
      </c>
      <c r="X695" t="s">
        <v>321</v>
      </c>
      <c r="Y695" s="9" t="str">
        <f t="shared" ca="1" si="52"/>
        <v>Sin costo</v>
      </c>
      <c r="Z695" t="s">
        <v>327</v>
      </c>
      <c r="AA695" t="s">
        <v>329</v>
      </c>
      <c r="AB695" t="s">
        <v>334</v>
      </c>
      <c r="AC695" s="12" t="s">
        <v>339</v>
      </c>
      <c r="AE695" t="s">
        <v>268</v>
      </c>
      <c r="AG695" s="12" t="s">
        <v>268</v>
      </c>
      <c r="AH695" t="s">
        <v>92</v>
      </c>
      <c r="AI695" s="12" t="s">
        <v>268</v>
      </c>
      <c r="AJ695" t="s">
        <v>92</v>
      </c>
      <c r="AK695" t="s">
        <v>92</v>
      </c>
      <c r="AL695" t="s">
        <v>92</v>
      </c>
      <c r="AM695" s="12" t="s">
        <v>268</v>
      </c>
      <c r="AN695" s="12" t="s">
        <v>268</v>
      </c>
      <c r="AO695" s="12" t="s">
        <v>268</v>
      </c>
      <c r="AP695" s="12" t="s">
        <v>268</v>
      </c>
      <c r="AQ695" s="12" t="s">
        <v>268</v>
      </c>
      <c r="AR695" s="28" t="str">
        <f t="shared" ca="1" si="53"/>
        <v/>
      </c>
      <c r="AS695" s="28" t="str">
        <f t="shared" ca="1" si="54"/>
        <v/>
      </c>
    </row>
    <row r="696" spans="2:45" ht="27.6" customHeight="1">
      <c r="B696">
        <f t="shared" ca="1" si="50"/>
        <v>0</v>
      </c>
      <c r="C696" t="s">
        <v>85</v>
      </c>
      <c r="D696" t="s">
        <v>92</v>
      </c>
      <c r="E696" t="s">
        <v>92</v>
      </c>
      <c r="F696" t="s">
        <v>92</v>
      </c>
      <c r="G696" t="s">
        <v>92</v>
      </c>
      <c r="H696" t="s">
        <v>92</v>
      </c>
      <c r="I696" s="12" t="s">
        <v>268</v>
      </c>
      <c r="J696" t="s">
        <v>278</v>
      </c>
      <c r="L696" t="s">
        <v>92</v>
      </c>
      <c r="N696" s="14">
        <v>1</v>
      </c>
      <c r="P696" s="12" t="s">
        <v>268</v>
      </c>
      <c r="W696" s="9" t="str">
        <f t="shared" ca="1" si="51"/>
        <v>18.5%</v>
      </c>
      <c r="X696" t="s">
        <v>321</v>
      </c>
      <c r="Y696" s="9" t="str">
        <f t="shared" ca="1" si="52"/>
        <v>Sin costo</v>
      </c>
      <c r="Z696" t="s">
        <v>327</v>
      </c>
      <c r="AA696" t="s">
        <v>329</v>
      </c>
      <c r="AB696" t="s">
        <v>334</v>
      </c>
      <c r="AC696" s="12" t="s">
        <v>339</v>
      </c>
      <c r="AE696" t="s">
        <v>268</v>
      </c>
      <c r="AG696" s="12" t="s">
        <v>268</v>
      </c>
      <c r="AH696" t="s">
        <v>92</v>
      </c>
      <c r="AI696" s="12" t="s">
        <v>268</v>
      </c>
      <c r="AJ696" t="s">
        <v>92</v>
      </c>
      <c r="AK696" t="s">
        <v>92</v>
      </c>
      <c r="AL696" t="s">
        <v>92</v>
      </c>
      <c r="AM696" s="12" t="s">
        <v>268</v>
      </c>
      <c r="AN696" s="12" t="s">
        <v>268</v>
      </c>
      <c r="AO696" s="12" t="s">
        <v>268</v>
      </c>
      <c r="AP696" s="12" t="s">
        <v>268</v>
      </c>
      <c r="AQ696" s="12" t="s">
        <v>268</v>
      </c>
      <c r="AR696" s="28" t="str">
        <f t="shared" ca="1" si="53"/>
        <v/>
      </c>
      <c r="AS696" s="28" t="str">
        <f t="shared" ca="1" si="54"/>
        <v/>
      </c>
    </row>
    <row r="697" spans="2:45" ht="27.6" customHeight="1">
      <c r="B697">
        <f t="shared" ca="1" si="50"/>
        <v>0</v>
      </c>
      <c r="C697" t="s">
        <v>85</v>
      </c>
      <c r="D697" t="s">
        <v>92</v>
      </c>
      <c r="E697" t="s">
        <v>92</v>
      </c>
      <c r="F697" t="s">
        <v>92</v>
      </c>
      <c r="G697" t="s">
        <v>92</v>
      </c>
      <c r="H697" t="s">
        <v>92</v>
      </c>
      <c r="I697" s="12" t="s">
        <v>268</v>
      </c>
      <c r="J697" t="s">
        <v>278</v>
      </c>
      <c r="L697" t="s">
        <v>92</v>
      </c>
      <c r="N697" s="14">
        <v>1</v>
      </c>
      <c r="P697" s="12" t="s">
        <v>268</v>
      </c>
      <c r="W697" s="9" t="str">
        <f t="shared" ca="1" si="51"/>
        <v>18.5%</v>
      </c>
      <c r="X697" t="s">
        <v>321</v>
      </c>
      <c r="Y697" s="9" t="str">
        <f t="shared" ca="1" si="52"/>
        <v>Sin costo</v>
      </c>
      <c r="Z697" t="s">
        <v>327</v>
      </c>
      <c r="AA697" t="s">
        <v>329</v>
      </c>
      <c r="AB697" t="s">
        <v>334</v>
      </c>
      <c r="AC697" s="12" t="s">
        <v>339</v>
      </c>
      <c r="AE697" t="s">
        <v>268</v>
      </c>
      <c r="AG697" s="12" t="s">
        <v>268</v>
      </c>
      <c r="AH697" t="s">
        <v>92</v>
      </c>
      <c r="AI697" s="12" t="s">
        <v>268</v>
      </c>
      <c r="AJ697" t="s">
        <v>92</v>
      </c>
      <c r="AK697" t="s">
        <v>92</v>
      </c>
      <c r="AL697" t="s">
        <v>92</v>
      </c>
      <c r="AM697" s="12" t="s">
        <v>268</v>
      </c>
      <c r="AN697" s="12" t="s">
        <v>268</v>
      </c>
      <c r="AO697" s="12" t="s">
        <v>268</v>
      </c>
      <c r="AP697" s="12" t="s">
        <v>268</v>
      </c>
      <c r="AQ697" s="12" t="s">
        <v>268</v>
      </c>
      <c r="AR697" s="28" t="str">
        <f t="shared" ca="1" si="53"/>
        <v/>
      </c>
      <c r="AS697" s="28" t="str">
        <f t="shared" ca="1" si="54"/>
        <v/>
      </c>
    </row>
    <row r="698" spans="2:45" ht="27.6" customHeight="1">
      <c r="B698">
        <f t="shared" ca="1" si="50"/>
        <v>0</v>
      </c>
      <c r="C698" t="s">
        <v>85</v>
      </c>
      <c r="D698" t="s">
        <v>92</v>
      </c>
      <c r="E698" t="s">
        <v>92</v>
      </c>
      <c r="F698" t="s">
        <v>92</v>
      </c>
      <c r="G698" t="s">
        <v>92</v>
      </c>
      <c r="H698" t="s">
        <v>92</v>
      </c>
      <c r="I698" s="12" t="s">
        <v>268</v>
      </c>
      <c r="J698" t="s">
        <v>278</v>
      </c>
      <c r="L698" t="s">
        <v>92</v>
      </c>
      <c r="N698" s="14">
        <v>1</v>
      </c>
      <c r="P698" s="12" t="s">
        <v>268</v>
      </c>
      <c r="W698" s="9" t="str">
        <f t="shared" ca="1" si="51"/>
        <v>18.5%</v>
      </c>
      <c r="X698" t="s">
        <v>321</v>
      </c>
      <c r="Y698" s="9" t="str">
        <f t="shared" ca="1" si="52"/>
        <v>Sin costo</v>
      </c>
      <c r="Z698" t="s">
        <v>327</v>
      </c>
      <c r="AA698" t="s">
        <v>329</v>
      </c>
      <c r="AB698" t="s">
        <v>334</v>
      </c>
      <c r="AC698" s="12" t="s">
        <v>339</v>
      </c>
      <c r="AE698" t="s">
        <v>268</v>
      </c>
      <c r="AG698" s="12" t="s">
        <v>268</v>
      </c>
      <c r="AH698" t="s">
        <v>92</v>
      </c>
      <c r="AI698" s="12" t="s">
        <v>268</v>
      </c>
      <c r="AJ698" t="s">
        <v>92</v>
      </c>
      <c r="AK698" t="s">
        <v>92</v>
      </c>
      <c r="AL698" t="s">
        <v>92</v>
      </c>
      <c r="AM698" s="12" t="s">
        <v>268</v>
      </c>
      <c r="AN698" s="12" t="s">
        <v>268</v>
      </c>
      <c r="AO698" s="12" t="s">
        <v>268</v>
      </c>
      <c r="AP698" s="12" t="s">
        <v>268</v>
      </c>
      <c r="AQ698" s="12" t="s">
        <v>268</v>
      </c>
      <c r="AR698" s="28" t="str">
        <f t="shared" ca="1" si="53"/>
        <v/>
      </c>
      <c r="AS698" s="28" t="str">
        <f t="shared" ca="1" si="54"/>
        <v/>
      </c>
    </row>
    <row r="699" spans="2:45" ht="27.6" customHeight="1">
      <c r="B699">
        <f t="shared" ca="1" si="50"/>
        <v>0</v>
      </c>
      <c r="C699" t="s">
        <v>85</v>
      </c>
      <c r="D699" t="s">
        <v>92</v>
      </c>
      <c r="E699" t="s">
        <v>92</v>
      </c>
      <c r="F699" t="s">
        <v>92</v>
      </c>
      <c r="G699" t="s">
        <v>92</v>
      </c>
      <c r="H699" t="s">
        <v>92</v>
      </c>
      <c r="I699" s="12" t="s">
        <v>268</v>
      </c>
      <c r="J699" t="s">
        <v>278</v>
      </c>
      <c r="L699" t="s">
        <v>92</v>
      </c>
      <c r="N699" s="14">
        <v>1</v>
      </c>
      <c r="P699" s="12" t="s">
        <v>268</v>
      </c>
      <c r="W699" s="9" t="str">
        <f t="shared" ca="1" si="51"/>
        <v>18.5%</v>
      </c>
      <c r="X699" t="s">
        <v>321</v>
      </c>
      <c r="Y699" s="9" t="str">
        <f t="shared" ca="1" si="52"/>
        <v>Sin costo</v>
      </c>
      <c r="Z699" t="s">
        <v>327</v>
      </c>
      <c r="AA699" t="s">
        <v>329</v>
      </c>
      <c r="AB699" t="s">
        <v>334</v>
      </c>
      <c r="AC699" s="12" t="s">
        <v>339</v>
      </c>
      <c r="AE699" t="s">
        <v>268</v>
      </c>
      <c r="AG699" s="12" t="s">
        <v>268</v>
      </c>
      <c r="AH699" t="s">
        <v>92</v>
      </c>
      <c r="AI699" s="12" t="s">
        <v>268</v>
      </c>
      <c r="AJ699" t="s">
        <v>92</v>
      </c>
      <c r="AK699" t="s">
        <v>92</v>
      </c>
      <c r="AL699" t="s">
        <v>92</v>
      </c>
      <c r="AM699" s="12" t="s">
        <v>268</v>
      </c>
      <c r="AN699" s="12" t="s">
        <v>268</v>
      </c>
      <c r="AO699" s="12" t="s">
        <v>268</v>
      </c>
      <c r="AP699" s="12" t="s">
        <v>268</v>
      </c>
      <c r="AQ699" s="12" t="s">
        <v>268</v>
      </c>
      <c r="AR699" s="28" t="str">
        <f t="shared" ca="1" si="53"/>
        <v/>
      </c>
      <c r="AS699" s="28" t="str">
        <f t="shared" ca="1" si="54"/>
        <v/>
      </c>
    </row>
    <row r="700" spans="2:45" ht="27.6" customHeight="1">
      <c r="B700">
        <f t="shared" ca="1" si="50"/>
        <v>0</v>
      </c>
      <c r="C700" t="s">
        <v>85</v>
      </c>
      <c r="D700" t="s">
        <v>92</v>
      </c>
      <c r="E700" t="s">
        <v>92</v>
      </c>
      <c r="F700" t="s">
        <v>92</v>
      </c>
      <c r="G700" t="s">
        <v>92</v>
      </c>
      <c r="H700" t="s">
        <v>92</v>
      </c>
      <c r="I700" s="12" t="s">
        <v>268</v>
      </c>
      <c r="J700" t="s">
        <v>278</v>
      </c>
      <c r="L700" t="s">
        <v>92</v>
      </c>
      <c r="N700" s="14">
        <v>1</v>
      </c>
      <c r="P700" s="12" t="s">
        <v>268</v>
      </c>
      <c r="W700" s="9" t="str">
        <f t="shared" ca="1" si="51"/>
        <v>18.5%</v>
      </c>
      <c r="X700" t="s">
        <v>321</v>
      </c>
      <c r="Y700" s="9" t="str">
        <f t="shared" ca="1" si="52"/>
        <v>Sin costo</v>
      </c>
      <c r="Z700" t="s">
        <v>327</v>
      </c>
      <c r="AA700" t="s">
        <v>329</v>
      </c>
      <c r="AB700" t="s">
        <v>334</v>
      </c>
      <c r="AC700" s="12" t="s">
        <v>339</v>
      </c>
      <c r="AE700" t="s">
        <v>268</v>
      </c>
      <c r="AG700" s="12" t="s">
        <v>268</v>
      </c>
      <c r="AH700" t="s">
        <v>92</v>
      </c>
      <c r="AI700" s="12" t="s">
        <v>268</v>
      </c>
      <c r="AJ700" t="s">
        <v>92</v>
      </c>
      <c r="AK700" t="s">
        <v>92</v>
      </c>
      <c r="AL700" t="s">
        <v>92</v>
      </c>
      <c r="AM700" s="12" t="s">
        <v>268</v>
      </c>
      <c r="AN700" s="12" t="s">
        <v>268</v>
      </c>
      <c r="AO700" s="12" t="s">
        <v>268</v>
      </c>
      <c r="AP700" s="12" t="s">
        <v>268</v>
      </c>
      <c r="AQ700" s="12" t="s">
        <v>268</v>
      </c>
      <c r="AR700" s="28" t="str">
        <f t="shared" ca="1" si="53"/>
        <v/>
      </c>
      <c r="AS700" s="28" t="str">
        <f t="shared" ca="1" si="54"/>
        <v/>
      </c>
    </row>
    <row r="701" spans="2:45" ht="27.6" customHeight="1">
      <c r="B701">
        <f t="shared" ca="1" si="50"/>
        <v>0</v>
      </c>
      <c r="C701" t="s">
        <v>85</v>
      </c>
      <c r="D701" t="s">
        <v>92</v>
      </c>
      <c r="E701" t="s">
        <v>92</v>
      </c>
      <c r="F701" t="s">
        <v>92</v>
      </c>
      <c r="G701" t="s">
        <v>92</v>
      </c>
      <c r="H701" t="s">
        <v>92</v>
      </c>
      <c r="I701" s="12" t="s">
        <v>268</v>
      </c>
      <c r="J701" t="s">
        <v>278</v>
      </c>
      <c r="L701" t="s">
        <v>92</v>
      </c>
      <c r="N701" s="14">
        <v>1</v>
      </c>
      <c r="P701" s="12" t="s">
        <v>268</v>
      </c>
      <c r="W701" s="9" t="str">
        <f t="shared" ca="1" si="51"/>
        <v>18.5%</v>
      </c>
      <c r="X701" t="s">
        <v>321</v>
      </c>
      <c r="Y701" s="9" t="str">
        <f t="shared" ca="1" si="52"/>
        <v>Sin costo</v>
      </c>
      <c r="Z701" t="s">
        <v>327</v>
      </c>
      <c r="AA701" t="s">
        <v>329</v>
      </c>
      <c r="AB701" t="s">
        <v>334</v>
      </c>
      <c r="AC701" s="12" t="s">
        <v>339</v>
      </c>
      <c r="AE701" t="s">
        <v>268</v>
      </c>
      <c r="AG701" s="12" t="s">
        <v>268</v>
      </c>
      <c r="AH701" t="s">
        <v>92</v>
      </c>
      <c r="AI701" s="12" t="s">
        <v>268</v>
      </c>
      <c r="AJ701" t="s">
        <v>92</v>
      </c>
      <c r="AK701" t="s">
        <v>92</v>
      </c>
      <c r="AL701" t="s">
        <v>92</v>
      </c>
      <c r="AM701" s="12" t="s">
        <v>268</v>
      </c>
      <c r="AN701" s="12" t="s">
        <v>268</v>
      </c>
      <c r="AO701" s="12" t="s">
        <v>268</v>
      </c>
      <c r="AP701" s="12" t="s">
        <v>268</v>
      </c>
      <c r="AQ701" s="12" t="s">
        <v>268</v>
      </c>
      <c r="AR701" s="28" t="str">
        <f t="shared" ca="1" si="53"/>
        <v/>
      </c>
      <c r="AS701" s="28" t="str">
        <f t="shared" ca="1" si="54"/>
        <v/>
      </c>
    </row>
    <row r="702" spans="2:45" ht="27.6" customHeight="1">
      <c r="B702">
        <f t="shared" ca="1" si="50"/>
        <v>0</v>
      </c>
      <c r="C702" t="s">
        <v>85</v>
      </c>
      <c r="D702" t="s">
        <v>92</v>
      </c>
      <c r="E702" t="s">
        <v>92</v>
      </c>
      <c r="F702" t="s">
        <v>92</v>
      </c>
      <c r="G702" t="s">
        <v>92</v>
      </c>
      <c r="H702" t="s">
        <v>92</v>
      </c>
      <c r="I702" s="12" t="s">
        <v>268</v>
      </c>
      <c r="J702" t="s">
        <v>278</v>
      </c>
      <c r="L702" t="s">
        <v>92</v>
      </c>
      <c r="N702" s="14">
        <v>1</v>
      </c>
      <c r="P702" s="12" t="s">
        <v>268</v>
      </c>
      <c r="W702" s="9" t="str">
        <f t="shared" ca="1" si="51"/>
        <v>18.5%</v>
      </c>
      <c r="X702" t="s">
        <v>321</v>
      </c>
      <c r="Y702" s="9" t="str">
        <f t="shared" ca="1" si="52"/>
        <v>Sin costo</v>
      </c>
      <c r="Z702" t="s">
        <v>327</v>
      </c>
      <c r="AA702" t="s">
        <v>329</v>
      </c>
      <c r="AB702" t="s">
        <v>334</v>
      </c>
      <c r="AC702" s="12" t="s">
        <v>339</v>
      </c>
      <c r="AE702" t="s">
        <v>268</v>
      </c>
      <c r="AG702" s="12" t="s">
        <v>268</v>
      </c>
      <c r="AH702" t="s">
        <v>92</v>
      </c>
      <c r="AI702" s="12" t="s">
        <v>268</v>
      </c>
      <c r="AJ702" t="s">
        <v>92</v>
      </c>
      <c r="AK702" t="s">
        <v>92</v>
      </c>
      <c r="AL702" t="s">
        <v>92</v>
      </c>
      <c r="AM702" s="12" t="s">
        <v>268</v>
      </c>
      <c r="AN702" s="12" t="s">
        <v>268</v>
      </c>
      <c r="AO702" s="12" t="s">
        <v>268</v>
      </c>
      <c r="AP702" s="12" t="s">
        <v>268</v>
      </c>
      <c r="AQ702" s="12" t="s">
        <v>268</v>
      </c>
      <c r="AR702" s="28" t="str">
        <f t="shared" ca="1" si="53"/>
        <v/>
      </c>
      <c r="AS702" s="28" t="str">
        <f t="shared" ca="1" si="54"/>
        <v/>
      </c>
    </row>
    <row r="703" spans="2:45" ht="27.6" customHeight="1">
      <c r="B703">
        <f t="shared" ca="1" si="50"/>
        <v>0</v>
      </c>
      <c r="C703" t="s">
        <v>85</v>
      </c>
      <c r="D703" t="s">
        <v>92</v>
      </c>
      <c r="E703" t="s">
        <v>92</v>
      </c>
      <c r="F703" t="s">
        <v>92</v>
      </c>
      <c r="G703" t="s">
        <v>92</v>
      </c>
      <c r="H703" t="s">
        <v>92</v>
      </c>
      <c r="I703" s="12" t="s">
        <v>268</v>
      </c>
      <c r="J703" t="s">
        <v>278</v>
      </c>
      <c r="L703" t="s">
        <v>92</v>
      </c>
      <c r="N703" s="14">
        <v>1</v>
      </c>
      <c r="P703" s="12" t="s">
        <v>268</v>
      </c>
      <c r="W703" s="9" t="str">
        <f t="shared" ca="1" si="51"/>
        <v>18.5%</v>
      </c>
      <c r="X703" t="s">
        <v>321</v>
      </c>
      <c r="Y703" s="9" t="str">
        <f t="shared" ca="1" si="52"/>
        <v>Sin costo</v>
      </c>
      <c r="Z703" t="s">
        <v>327</v>
      </c>
      <c r="AA703" t="s">
        <v>329</v>
      </c>
      <c r="AB703" t="s">
        <v>334</v>
      </c>
      <c r="AC703" s="12" t="s">
        <v>339</v>
      </c>
      <c r="AE703" t="s">
        <v>268</v>
      </c>
      <c r="AG703" s="12" t="s">
        <v>268</v>
      </c>
      <c r="AH703" t="s">
        <v>92</v>
      </c>
      <c r="AI703" s="12" t="s">
        <v>268</v>
      </c>
      <c r="AJ703" t="s">
        <v>92</v>
      </c>
      <c r="AK703" t="s">
        <v>92</v>
      </c>
      <c r="AL703" t="s">
        <v>92</v>
      </c>
      <c r="AM703" s="12" t="s">
        <v>268</v>
      </c>
      <c r="AN703" s="12" t="s">
        <v>268</v>
      </c>
      <c r="AO703" s="12" t="s">
        <v>268</v>
      </c>
      <c r="AP703" s="12" t="s">
        <v>268</v>
      </c>
      <c r="AQ703" s="12" t="s">
        <v>268</v>
      </c>
      <c r="AR703" s="28" t="str">
        <f t="shared" ca="1" si="53"/>
        <v/>
      </c>
      <c r="AS703" s="28" t="str">
        <f t="shared" ca="1" si="54"/>
        <v/>
      </c>
    </row>
    <row r="704" spans="2:45" ht="27.6" customHeight="1">
      <c r="B704">
        <f t="shared" ca="1" si="50"/>
        <v>0</v>
      </c>
      <c r="C704" t="s">
        <v>85</v>
      </c>
      <c r="D704" t="s">
        <v>92</v>
      </c>
      <c r="E704" t="s">
        <v>92</v>
      </c>
      <c r="F704" t="s">
        <v>92</v>
      </c>
      <c r="G704" t="s">
        <v>92</v>
      </c>
      <c r="H704" t="s">
        <v>92</v>
      </c>
      <c r="I704" s="12" t="s">
        <v>268</v>
      </c>
      <c r="J704" t="s">
        <v>278</v>
      </c>
      <c r="L704" t="s">
        <v>92</v>
      </c>
      <c r="N704" s="14">
        <v>1</v>
      </c>
      <c r="P704" s="12" t="s">
        <v>268</v>
      </c>
      <c r="W704" s="9" t="str">
        <f t="shared" ca="1" si="51"/>
        <v>18.5%</v>
      </c>
      <c r="X704" t="s">
        <v>321</v>
      </c>
      <c r="Y704" s="9" t="str">
        <f t="shared" ca="1" si="52"/>
        <v>Sin costo</v>
      </c>
      <c r="Z704" t="s">
        <v>327</v>
      </c>
      <c r="AA704" t="s">
        <v>329</v>
      </c>
      <c r="AB704" t="s">
        <v>334</v>
      </c>
      <c r="AC704" s="12" t="s">
        <v>339</v>
      </c>
      <c r="AE704" t="s">
        <v>268</v>
      </c>
      <c r="AG704" s="12" t="s">
        <v>268</v>
      </c>
      <c r="AH704" t="s">
        <v>92</v>
      </c>
      <c r="AI704" s="12" t="s">
        <v>268</v>
      </c>
      <c r="AJ704" t="s">
        <v>92</v>
      </c>
      <c r="AK704" t="s">
        <v>92</v>
      </c>
      <c r="AL704" t="s">
        <v>92</v>
      </c>
      <c r="AM704" s="12" t="s">
        <v>268</v>
      </c>
      <c r="AN704" s="12" t="s">
        <v>268</v>
      </c>
      <c r="AO704" s="12" t="s">
        <v>268</v>
      </c>
      <c r="AP704" s="12" t="s">
        <v>268</v>
      </c>
      <c r="AQ704" s="12" t="s">
        <v>268</v>
      </c>
      <c r="AR704" s="28" t="str">
        <f t="shared" ca="1" si="53"/>
        <v/>
      </c>
      <c r="AS704" s="28" t="str">
        <f t="shared" ca="1" si="54"/>
        <v/>
      </c>
    </row>
    <row r="705" spans="2:45" ht="27.6" customHeight="1">
      <c r="B705">
        <f t="shared" ca="1" si="50"/>
        <v>0</v>
      </c>
      <c r="C705" t="s">
        <v>85</v>
      </c>
      <c r="D705" t="s">
        <v>92</v>
      </c>
      <c r="E705" t="s">
        <v>92</v>
      </c>
      <c r="F705" t="s">
        <v>92</v>
      </c>
      <c r="G705" t="s">
        <v>92</v>
      </c>
      <c r="H705" t="s">
        <v>92</v>
      </c>
      <c r="I705" s="12" t="s">
        <v>268</v>
      </c>
      <c r="J705" t="s">
        <v>278</v>
      </c>
      <c r="L705" t="s">
        <v>92</v>
      </c>
      <c r="N705" s="14">
        <v>1</v>
      </c>
      <c r="P705" s="12" t="s">
        <v>268</v>
      </c>
      <c r="W705" s="9" t="str">
        <f t="shared" ca="1" si="51"/>
        <v>18.5%</v>
      </c>
      <c r="X705" t="s">
        <v>321</v>
      </c>
      <c r="Y705" s="9" t="str">
        <f t="shared" ca="1" si="52"/>
        <v>Sin costo</v>
      </c>
      <c r="Z705" t="s">
        <v>327</v>
      </c>
      <c r="AA705" t="s">
        <v>329</v>
      </c>
      <c r="AB705" t="s">
        <v>334</v>
      </c>
      <c r="AC705" s="12" t="s">
        <v>339</v>
      </c>
      <c r="AE705" t="s">
        <v>268</v>
      </c>
      <c r="AG705" s="12" t="s">
        <v>268</v>
      </c>
      <c r="AH705" t="s">
        <v>92</v>
      </c>
      <c r="AI705" s="12" t="s">
        <v>268</v>
      </c>
      <c r="AJ705" t="s">
        <v>92</v>
      </c>
      <c r="AK705" t="s">
        <v>92</v>
      </c>
      <c r="AL705" t="s">
        <v>92</v>
      </c>
      <c r="AM705" s="12" t="s">
        <v>268</v>
      </c>
      <c r="AN705" s="12" t="s">
        <v>268</v>
      </c>
      <c r="AO705" s="12" t="s">
        <v>268</v>
      </c>
      <c r="AP705" s="12" t="s">
        <v>268</v>
      </c>
      <c r="AQ705" s="12" t="s">
        <v>268</v>
      </c>
      <c r="AR705" s="28" t="str">
        <f t="shared" ca="1" si="53"/>
        <v/>
      </c>
      <c r="AS705" s="28" t="str">
        <f t="shared" ca="1" si="54"/>
        <v/>
      </c>
    </row>
    <row r="706" spans="2:45" ht="27.6" customHeight="1">
      <c r="B706">
        <f t="shared" ca="1" si="50"/>
        <v>0</v>
      </c>
      <c r="C706" t="s">
        <v>85</v>
      </c>
      <c r="D706" t="s">
        <v>92</v>
      </c>
      <c r="E706" t="s">
        <v>92</v>
      </c>
      <c r="F706" t="s">
        <v>92</v>
      </c>
      <c r="G706" t="s">
        <v>92</v>
      </c>
      <c r="H706" t="s">
        <v>92</v>
      </c>
      <c r="I706" s="12" t="s">
        <v>268</v>
      </c>
      <c r="J706" t="s">
        <v>278</v>
      </c>
      <c r="L706" t="s">
        <v>92</v>
      </c>
      <c r="N706" s="14">
        <v>1</v>
      </c>
      <c r="P706" s="12" t="s">
        <v>268</v>
      </c>
      <c r="W706" s="9" t="str">
        <f t="shared" ca="1" si="51"/>
        <v>18.5%</v>
      </c>
      <c r="X706" t="s">
        <v>321</v>
      </c>
      <c r="Y706" s="9" t="str">
        <f t="shared" ca="1" si="52"/>
        <v>Sin costo</v>
      </c>
      <c r="Z706" t="s">
        <v>327</v>
      </c>
      <c r="AA706" t="s">
        <v>329</v>
      </c>
      <c r="AB706" t="s">
        <v>334</v>
      </c>
      <c r="AC706" s="12" t="s">
        <v>339</v>
      </c>
      <c r="AE706" t="s">
        <v>268</v>
      </c>
      <c r="AG706" s="12" t="s">
        <v>268</v>
      </c>
      <c r="AH706" t="s">
        <v>92</v>
      </c>
      <c r="AI706" s="12" t="s">
        <v>268</v>
      </c>
      <c r="AJ706" t="s">
        <v>92</v>
      </c>
      <c r="AK706" t="s">
        <v>92</v>
      </c>
      <c r="AL706" t="s">
        <v>92</v>
      </c>
      <c r="AM706" s="12" t="s">
        <v>268</v>
      </c>
      <c r="AN706" s="12" t="s">
        <v>268</v>
      </c>
      <c r="AO706" s="12" t="s">
        <v>268</v>
      </c>
      <c r="AP706" s="12" t="s">
        <v>268</v>
      </c>
      <c r="AQ706" s="12" t="s">
        <v>268</v>
      </c>
      <c r="AR706" s="28" t="str">
        <f t="shared" ca="1" si="53"/>
        <v/>
      </c>
      <c r="AS706" s="28" t="str">
        <f t="shared" ca="1" si="54"/>
        <v/>
      </c>
    </row>
    <row r="707" spans="2:45" ht="27.6" customHeight="1">
      <c r="B707">
        <f t="shared" ca="1" si="50"/>
        <v>0</v>
      </c>
      <c r="C707" t="s">
        <v>85</v>
      </c>
      <c r="D707" t="s">
        <v>92</v>
      </c>
      <c r="E707" t="s">
        <v>92</v>
      </c>
      <c r="F707" t="s">
        <v>92</v>
      </c>
      <c r="G707" t="s">
        <v>92</v>
      </c>
      <c r="H707" t="s">
        <v>92</v>
      </c>
      <c r="I707" s="12" t="s">
        <v>268</v>
      </c>
      <c r="J707" t="s">
        <v>278</v>
      </c>
      <c r="L707" t="s">
        <v>92</v>
      </c>
      <c r="N707" s="14">
        <v>1</v>
      </c>
      <c r="P707" s="12" t="s">
        <v>268</v>
      </c>
      <c r="W707" s="9" t="str">
        <f t="shared" ca="1" si="51"/>
        <v>18.5%</v>
      </c>
      <c r="X707" t="s">
        <v>321</v>
      </c>
      <c r="Y707" s="9" t="str">
        <f t="shared" ca="1" si="52"/>
        <v>Sin costo</v>
      </c>
      <c r="Z707" t="s">
        <v>327</v>
      </c>
      <c r="AA707" t="s">
        <v>329</v>
      </c>
      <c r="AB707" t="s">
        <v>334</v>
      </c>
      <c r="AC707" s="12" t="s">
        <v>339</v>
      </c>
      <c r="AE707" t="s">
        <v>268</v>
      </c>
      <c r="AG707" s="12" t="s">
        <v>268</v>
      </c>
      <c r="AH707" t="s">
        <v>92</v>
      </c>
      <c r="AI707" s="12" t="s">
        <v>268</v>
      </c>
      <c r="AJ707" t="s">
        <v>92</v>
      </c>
      <c r="AK707" t="s">
        <v>92</v>
      </c>
      <c r="AL707" t="s">
        <v>92</v>
      </c>
      <c r="AM707" s="12" t="s">
        <v>268</v>
      </c>
      <c r="AN707" s="12" t="s">
        <v>268</v>
      </c>
      <c r="AO707" s="12" t="s">
        <v>268</v>
      </c>
      <c r="AP707" s="12" t="s">
        <v>268</v>
      </c>
      <c r="AQ707" s="12" t="s">
        <v>268</v>
      </c>
      <c r="AR707" s="28" t="str">
        <f t="shared" ca="1" si="53"/>
        <v/>
      </c>
      <c r="AS707" s="28" t="str">
        <f t="shared" ca="1" si="54"/>
        <v/>
      </c>
    </row>
    <row r="708" spans="2:45" ht="27.6" customHeight="1">
      <c r="B708">
        <f t="shared" ca="1" si="50"/>
        <v>0</v>
      </c>
      <c r="C708" t="s">
        <v>85</v>
      </c>
      <c r="D708" t="s">
        <v>92</v>
      </c>
      <c r="E708" t="s">
        <v>92</v>
      </c>
      <c r="F708" t="s">
        <v>92</v>
      </c>
      <c r="G708" t="s">
        <v>92</v>
      </c>
      <c r="H708" t="s">
        <v>92</v>
      </c>
      <c r="I708" s="12" t="s">
        <v>268</v>
      </c>
      <c r="J708" t="s">
        <v>278</v>
      </c>
      <c r="L708" t="s">
        <v>92</v>
      </c>
      <c r="N708" s="14">
        <v>1</v>
      </c>
      <c r="P708" s="12" t="s">
        <v>268</v>
      </c>
      <c r="W708" s="9" t="str">
        <f t="shared" ca="1" si="51"/>
        <v>18.5%</v>
      </c>
      <c r="X708" t="s">
        <v>321</v>
      </c>
      <c r="Y708" s="9" t="str">
        <f t="shared" ca="1" si="52"/>
        <v>Sin costo</v>
      </c>
      <c r="Z708" t="s">
        <v>327</v>
      </c>
      <c r="AA708" t="s">
        <v>329</v>
      </c>
      <c r="AB708" t="s">
        <v>334</v>
      </c>
      <c r="AC708" s="12" t="s">
        <v>339</v>
      </c>
      <c r="AE708" t="s">
        <v>268</v>
      </c>
      <c r="AG708" s="12" t="s">
        <v>268</v>
      </c>
      <c r="AH708" t="s">
        <v>92</v>
      </c>
      <c r="AI708" s="12" t="s">
        <v>268</v>
      </c>
      <c r="AJ708" t="s">
        <v>92</v>
      </c>
      <c r="AK708" t="s">
        <v>92</v>
      </c>
      <c r="AL708" t="s">
        <v>92</v>
      </c>
      <c r="AM708" s="12" t="s">
        <v>268</v>
      </c>
      <c r="AN708" s="12" t="s">
        <v>268</v>
      </c>
      <c r="AO708" s="12" t="s">
        <v>268</v>
      </c>
      <c r="AP708" s="12" t="s">
        <v>268</v>
      </c>
      <c r="AQ708" s="12" t="s">
        <v>268</v>
      </c>
      <c r="AR708" s="28" t="str">
        <f t="shared" ca="1" si="53"/>
        <v/>
      </c>
      <c r="AS708" s="28" t="str">
        <f t="shared" ca="1" si="54"/>
        <v/>
      </c>
    </row>
    <row r="709" spans="2:45" ht="27.6" customHeight="1">
      <c r="B709">
        <f t="shared" ca="1" si="50"/>
        <v>0</v>
      </c>
      <c r="C709" t="s">
        <v>85</v>
      </c>
      <c r="D709" t="s">
        <v>92</v>
      </c>
      <c r="E709" t="s">
        <v>92</v>
      </c>
      <c r="F709" t="s">
        <v>92</v>
      </c>
      <c r="G709" t="s">
        <v>92</v>
      </c>
      <c r="H709" t="s">
        <v>92</v>
      </c>
      <c r="I709" s="12" t="s">
        <v>268</v>
      </c>
      <c r="J709" t="s">
        <v>278</v>
      </c>
      <c r="L709" t="s">
        <v>92</v>
      </c>
      <c r="N709" s="14">
        <v>1</v>
      </c>
      <c r="P709" s="12" t="s">
        <v>268</v>
      </c>
      <c r="W709" s="9" t="str">
        <f t="shared" ca="1" si="51"/>
        <v>18.5%</v>
      </c>
      <c r="X709" t="s">
        <v>321</v>
      </c>
      <c r="Y709" s="9" t="str">
        <f t="shared" ca="1" si="52"/>
        <v>Sin costo</v>
      </c>
      <c r="Z709" t="s">
        <v>327</v>
      </c>
      <c r="AA709" t="s">
        <v>329</v>
      </c>
      <c r="AB709" t="s">
        <v>334</v>
      </c>
      <c r="AC709" s="12" t="s">
        <v>339</v>
      </c>
      <c r="AE709" t="s">
        <v>268</v>
      </c>
      <c r="AG709" s="12" t="s">
        <v>268</v>
      </c>
      <c r="AH709" t="s">
        <v>92</v>
      </c>
      <c r="AI709" s="12" t="s">
        <v>268</v>
      </c>
      <c r="AJ709" t="s">
        <v>92</v>
      </c>
      <c r="AK709" t="s">
        <v>92</v>
      </c>
      <c r="AL709" t="s">
        <v>92</v>
      </c>
      <c r="AM709" s="12" t="s">
        <v>268</v>
      </c>
      <c r="AN709" s="12" t="s">
        <v>268</v>
      </c>
      <c r="AO709" s="12" t="s">
        <v>268</v>
      </c>
      <c r="AP709" s="12" t="s">
        <v>268</v>
      </c>
      <c r="AQ709" s="12" t="s">
        <v>268</v>
      </c>
      <c r="AR709" s="28" t="str">
        <f t="shared" ca="1" si="53"/>
        <v/>
      </c>
      <c r="AS709" s="28" t="str">
        <f t="shared" ca="1" si="54"/>
        <v/>
      </c>
    </row>
    <row r="710" spans="2:45" ht="27.6" customHeight="1">
      <c r="B710">
        <f t="shared" ca="1" si="50"/>
        <v>0</v>
      </c>
      <c r="C710" t="s">
        <v>85</v>
      </c>
      <c r="D710" t="s">
        <v>92</v>
      </c>
      <c r="E710" t="s">
        <v>92</v>
      </c>
      <c r="F710" t="s">
        <v>92</v>
      </c>
      <c r="G710" t="s">
        <v>92</v>
      </c>
      <c r="H710" t="s">
        <v>92</v>
      </c>
      <c r="I710" s="12" t="s">
        <v>268</v>
      </c>
      <c r="J710" t="s">
        <v>278</v>
      </c>
      <c r="L710" t="s">
        <v>92</v>
      </c>
      <c r="N710" s="14">
        <v>1</v>
      </c>
      <c r="P710" s="12" t="s">
        <v>268</v>
      </c>
      <c r="W710" s="9" t="str">
        <f t="shared" ca="1" si="51"/>
        <v>18.5%</v>
      </c>
      <c r="X710" t="s">
        <v>321</v>
      </c>
      <c r="Y710" s="9" t="str">
        <f t="shared" ca="1" si="52"/>
        <v>Sin costo</v>
      </c>
      <c r="Z710" t="s">
        <v>327</v>
      </c>
      <c r="AA710" t="s">
        <v>329</v>
      </c>
      <c r="AB710" t="s">
        <v>334</v>
      </c>
      <c r="AC710" s="12" t="s">
        <v>339</v>
      </c>
      <c r="AE710" t="s">
        <v>268</v>
      </c>
      <c r="AG710" s="12" t="s">
        <v>268</v>
      </c>
      <c r="AH710" t="s">
        <v>92</v>
      </c>
      <c r="AI710" s="12" t="s">
        <v>268</v>
      </c>
      <c r="AJ710" t="s">
        <v>92</v>
      </c>
      <c r="AK710" t="s">
        <v>92</v>
      </c>
      <c r="AL710" t="s">
        <v>92</v>
      </c>
      <c r="AM710" s="12" t="s">
        <v>268</v>
      </c>
      <c r="AN710" s="12" t="s">
        <v>268</v>
      </c>
      <c r="AO710" s="12" t="s">
        <v>268</v>
      </c>
      <c r="AP710" s="12" t="s">
        <v>268</v>
      </c>
      <c r="AQ710" s="12" t="s">
        <v>268</v>
      </c>
      <c r="AR710" s="28" t="str">
        <f t="shared" ca="1" si="53"/>
        <v/>
      </c>
      <c r="AS710" s="28" t="str">
        <f t="shared" ca="1" si="54"/>
        <v/>
      </c>
    </row>
    <row r="711" spans="2:45" ht="27.6" customHeight="1">
      <c r="B711">
        <f t="shared" ref="B711:B774" ca="1" si="55">LEN(INDIRECT(ADDRESS(ROW() + (0),COLUMN() + (-1))))</f>
        <v>0</v>
      </c>
      <c r="C711" t="s">
        <v>85</v>
      </c>
      <c r="D711" t="s">
        <v>92</v>
      </c>
      <c r="E711" t="s">
        <v>92</v>
      </c>
      <c r="F711" t="s">
        <v>92</v>
      </c>
      <c r="G711" t="s">
        <v>92</v>
      </c>
      <c r="H711" t="s">
        <v>92</v>
      </c>
      <c r="I711" s="12" t="s">
        <v>268</v>
      </c>
      <c r="J711" t="s">
        <v>278</v>
      </c>
      <c r="L711" t="s">
        <v>92</v>
      </c>
      <c r="N711" s="14">
        <v>1</v>
      </c>
      <c r="P711" s="12" t="s">
        <v>268</v>
      </c>
      <c r="W711" s="9" t="str">
        <f t="shared" ref="W711:W774" ca="1" si="56">IF(INDIRECT(ADDRESS(ROW() + (0),COLUMN() + (1)))="Cuotas extra", IF(("21.5%")="", "-", "21.5%"), IF(INDIRECT(ADDRESS(ROW() + (0),COLUMN() + (1)))="Cuotas", IF(("18.5%")="", "-", "18.5%"), "-"))</f>
        <v>18.5%</v>
      </c>
      <c r="X711" t="s">
        <v>321</v>
      </c>
      <c r="Y711" s="9" t="str">
        <f t="shared" ref="Y711:Y774" ca="1" si="57">IF(INDIRECT(ADDRESS(ROW() + (0),COLUMN() + (-1)))="Cuotas extra", IF(("")="", "Sin costo", ""), IF(INDIRECT(ADDRESS(ROW() + (0),COLUMN() + (-1)))="Cuotas", IF(("")="", "Sin costo", ""), "-"))</f>
        <v>Sin costo</v>
      </c>
      <c r="Z711" t="s">
        <v>327</v>
      </c>
      <c r="AA711" t="s">
        <v>329</v>
      </c>
      <c r="AB711" t="s">
        <v>334</v>
      </c>
      <c r="AC711" s="12" t="s">
        <v>339</v>
      </c>
      <c r="AE711" t="s">
        <v>268</v>
      </c>
      <c r="AG711" s="12" t="s">
        <v>268</v>
      </c>
      <c r="AH711" t="s">
        <v>92</v>
      </c>
      <c r="AI711" s="12" t="s">
        <v>268</v>
      </c>
      <c r="AJ711" t="s">
        <v>92</v>
      </c>
      <c r="AK711" t="s">
        <v>92</v>
      </c>
      <c r="AL711" t="s">
        <v>92</v>
      </c>
      <c r="AM711" s="12" t="s">
        <v>268</v>
      </c>
      <c r="AN711" s="12" t="s">
        <v>268</v>
      </c>
      <c r="AO711" s="12" t="s">
        <v>268</v>
      </c>
      <c r="AP711" s="12" t="s">
        <v>268</v>
      </c>
      <c r="AQ711" s="12" t="s">
        <v>268</v>
      </c>
      <c r="AR711" s="28" t="str">
        <f t="shared" ref="AR711:AR774" ca="1" si="5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11" s="28" t="str">
        <f t="shared" ref="AS711:AS774" ca="1" si="59">IF(TRIM(INDIRECT("A"&amp;ROW())) &lt;&gt; "",FALSE,"")</f>
        <v/>
      </c>
    </row>
    <row r="712" spans="2:45" ht="27.6" customHeight="1">
      <c r="B712">
        <f t="shared" ca="1" si="55"/>
        <v>0</v>
      </c>
      <c r="C712" t="s">
        <v>85</v>
      </c>
      <c r="D712" t="s">
        <v>92</v>
      </c>
      <c r="E712" t="s">
        <v>92</v>
      </c>
      <c r="F712" t="s">
        <v>92</v>
      </c>
      <c r="G712" t="s">
        <v>92</v>
      </c>
      <c r="H712" t="s">
        <v>92</v>
      </c>
      <c r="I712" s="12" t="s">
        <v>268</v>
      </c>
      <c r="J712" t="s">
        <v>278</v>
      </c>
      <c r="L712" t="s">
        <v>92</v>
      </c>
      <c r="N712" s="14">
        <v>1</v>
      </c>
      <c r="P712" s="12" t="s">
        <v>268</v>
      </c>
      <c r="W712" s="9" t="str">
        <f t="shared" ca="1" si="56"/>
        <v>18.5%</v>
      </c>
      <c r="X712" t="s">
        <v>321</v>
      </c>
      <c r="Y712" s="9" t="str">
        <f t="shared" ca="1" si="57"/>
        <v>Sin costo</v>
      </c>
      <c r="Z712" t="s">
        <v>327</v>
      </c>
      <c r="AA712" t="s">
        <v>329</v>
      </c>
      <c r="AB712" t="s">
        <v>334</v>
      </c>
      <c r="AC712" s="12" t="s">
        <v>339</v>
      </c>
      <c r="AE712" t="s">
        <v>268</v>
      </c>
      <c r="AG712" s="12" t="s">
        <v>268</v>
      </c>
      <c r="AH712" t="s">
        <v>92</v>
      </c>
      <c r="AI712" s="12" t="s">
        <v>268</v>
      </c>
      <c r="AJ712" t="s">
        <v>92</v>
      </c>
      <c r="AK712" t="s">
        <v>92</v>
      </c>
      <c r="AL712" t="s">
        <v>92</v>
      </c>
      <c r="AM712" s="12" t="s">
        <v>268</v>
      </c>
      <c r="AN712" s="12" t="s">
        <v>268</v>
      </c>
      <c r="AO712" s="12" t="s">
        <v>268</v>
      </c>
      <c r="AP712" s="12" t="s">
        <v>268</v>
      </c>
      <c r="AQ712" s="12" t="s">
        <v>268</v>
      </c>
      <c r="AR712" s="28" t="str">
        <f t="shared" ca="1" si="58"/>
        <v/>
      </c>
      <c r="AS712" s="28" t="str">
        <f t="shared" ca="1" si="59"/>
        <v/>
      </c>
    </row>
    <row r="713" spans="2:45" ht="27.6" customHeight="1">
      <c r="B713">
        <f t="shared" ca="1" si="55"/>
        <v>0</v>
      </c>
      <c r="C713" t="s">
        <v>85</v>
      </c>
      <c r="D713" t="s">
        <v>92</v>
      </c>
      <c r="E713" t="s">
        <v>92</v>
      </c>
      <c r="F713" t="s">
        <v>92</v>
      </c>
      <c r="G713" t="s">
        <v>92</v>
      </c>
      <c r="H713" t="s">
        <v>92</v>
      </c>
      <c r="I713" s="12" t="s">
        <v>268</v>
      </c>
      <c r="J713" t="s">
        <v>278</v>
      </c>
      <c r="L713" t="s">
        <v>92</v>
      </c>
      <c r="N713" s="14">
        <v>1</v>
      </c>
      <c r="P713" s="12" t="s">
        <v>268</v>
      </c>
      <c r="W713" s="9" t="str">
        <f t="shared" ca="1" si="56"/>
        <v>18.5%</v>
      </c>
      <c r="X713" t="s">
        <v>321</v>
      </c>
      <c r="Y713" s="9" t="str">
        <f t="shared" ca="1" si="57"/>
        <v>Sin costo</v>
      </c>
      <c r="Z713" t="s">
        <v>327</v>
      </c>
      <c r="AA713" t="s">
        <v>329</v>
      </c>
      <c r="AB713" t="s">
        <v>334</v>
      </c>
      <c r="AC713" s="12" t="s">
        <v>339</v>
      </c>
      <c r="AE713" t="s">
        <v>268</v>
      </c>
      <c r="AG713" s="12" t="s">
        <v>268</v>
      </c>
      <c r="AH713" t="s">
        <v>92</v>
      </c>
      <c r="AI713" s="12" t="s">
        <v>268</v>
      </c>
      <c r="AJ713" t="s">
        <v>92</v>
      </c>
      <c r="AK713" t="s">
        <v>92</v>
      </c>
      <c r="AL713" t="s">
        <v>92</v>
      </c>
      <c r="AM713" s="12" t="s">
        <v>268</v>
      </c>
      <c r="AN713" s="12" t="s">
        <v>268</v>
      </c>
      <c r="AO713" s="12" t="s">
        <v>268</v>
      </c>
      <c r="AP713" s="12" t="s">
        <v>268</v>
      </c>
      <c r="AQ713" s="12" t="s">
        <v>268</v>
      </c>
      <c r="AR713" s="28" t="str">
        <f t="shared" ca="1" si="58"/>
        <v/>
      </c>
      <c r="AS713" s="28" t="str">
        <f t="shared" ca="1" si="59"/>
        <v/>
      </c>
    </row>
    <row r="714" spans="2:45" ht="27.6" customHeight="1">
      <c r="B714">
        <f t="shared" ca="1" si="55"/>
        <v>0</v>
      </c>
      <c r="C714" t="s">
        <v>85</v>
      </c>
      <c r="D714" t="s">
        <v>92</v>
      </c>
      <c r="E714" t="s">
        <v>92</v>
      </c>
      <c r="F714" t="s">
        <v>92</v>
      </c>
      <c r="G714" t="s">
        <v>92</v>
      </c>
      <c r="H714" t="s">
        <v>92</v>
      </c>
      <c r="I714" s="12" t="s">
        <v>268</v>
      </c>
      <c r="J714" t="s">
        <v>278</v>
      </c>
      <c r="L714" t="s">
        <v>92</v>
      </c>
      <c r="N714" s="14">
        <v>1</v>
      </c>
      <c r="P714" s="12" t="s">
        <v>268</v>
      </c>
      <c r="W714" s="9" t="str">
        <f t="shared" ca="1" si="56"/>
        <v>18.5%</v>
      </c>
      <c r="X714" t="s">
        <v>321</v>
      </c>
      <c r="Y714" s="9" t="str">
        <f t="shared" ca="1" si="57"/>
        <v>Sin costo</v>
      </c>
      <c r="Z714" t="s">
        <v>327</v>
      </c>
      <c r="AA714" t="s">
        <v>329</v>
      </c>
      <c r="AB714" t="s">
        <v>334</v>
      </c>
      <c r="AC714" s="12" t="s">
        <v>339</v>
      </c>
      <c r="AE714" t="s">
        <v>268</v>
      </c>
      <c r="AG714" s="12" t="s">
        <v>268</v>
      </c>
      <c r="AH714" t="s">
        <v>92</v>
      </c>
      <c r="AI714" s="12" t="s">
        <v>268</v>
      </c>
      <c r="AJ714" t="s">
        <v>92</v>
      </c>
      <c r="AK714" t="s">
        <v>92</v>
      </c>
      <c r="AL714" t="s">
        <v>92</v>
      </c>
      <c r="AM714" s="12" t="s">
        <v>268</v>
      </c>
      <c r="AN714" s="12" t="s">
        <v>268</v>
      </c>
      <c r="AO714" s="12" t="s">
        <v>268</v>
      </c>
      <c r="AP714" s="12" t="s">
        <v>268</v>
      </c>
      <c r="AQ714" s="12" t="s">
        <v>268</v>
      </c>
      <c r="AR714" s="28" t="str">
        <f t="shared" ca="1" si="58"/>
        <v/>
      </c>
      <c r="AS714" s="28" t="str">
        <f t="shared" ca="1" si="59"/>
        <v/>
      </c>
    </row>
    <row r="715" spans="2:45" ht="27.6" customHeight="1">
      <c r="B715">
        <f t="shared" ca="1" si="55"/>
        <v>0</v>
      </c>
      <c r="C715" t="s">
        <v>85</v>
      </c>
      <c r="D715" t="s">
        <v>92</v>
      </c>
      <c r="E715" t="s">
        <v>92</v>
      </c>
      <c r="F715" t="s">
        <v>92</v>
      </c>
      <c r="G715" t="s">
        <v>92</v>
      </c>
      <c r="H715" t="s">
        <v>92</v>
      </c>
      <c r="I715" s="12" t="s">
        <v>268</v>
      </c>
      <c r="J715" t="s">
        <v>278</v>
      </c>
      <c r="L715" t="s">
        <v>92</v>
      </c>
      <c r="N715" s="14">
        <v>1</v>
      </c>
      <c r="P715" s="12" t="s">
        <v>268</v>
      </c>
      <c r="W715" s="9" t="str">
        <f t="shared" ca="1" si="56"/>
        <v>18.5%</v>
      </c>
      <c r="X715" t="s">
        <v>321</v>
      </c>
      <c r="Y715" s="9" t="str">
        <f t="shared" ca="1" si="57"/>
        <v>Sin costo</v>
      </c>
      <c r="Z715" t="s">
        <v>327</v>
      </c>
      <c r="AA715" t="s">
        <v>329</v>
      </c>
      <c r="AB715" t="s">
        <v>334</v>
      </c>
      <c r="AC715" s="12" t="s">
        <v>339</v>
      </c>
      <c r="AE715" t="s">
        <v>268</v>
      </c>
      <c r="AG715" s="12" t="s">
        <v>268</v>
      </c>
      <c r="AH715" t="s">
        <v>92</v>
      </c>
      <c r="AI715" s="12" t="s">
        <v>268</v>
      </c>
      <c r="AJ715" t="s">
        <v>92</v>
      </c>
      <c r="AK715" t="s">
        <v>92</v>
      </c>
      <c r="AL715" t="s">
        <v>92</v>
      </c>
      <c r="AM715" s="12" t="s">
        <v>268</v>
      </c>
      <c r="AN715" s="12" t="s">
        <v>268</v>
      </c>
      <c r="AO715" s="12" t="s">
        <v>268</v>
      </c>
      <c r="AP715" s="12" t="s">
        <v>268</v>
      </c>
      <c r="AQ715" s="12" t="s">
        <v>268</v>
      </c>
      <c r="AR715" s="28" t="str">
        <f t="shared" ca="1" si="58"/>
        <v/>
      </c>
      <c r="AS715" s="28" t="str">
        <f t="shared" ca="1" si="59"/>
        <v/>
      </c>
    </row>
    <row r="716" spans="2:45" ht="27.6" customHeight="1">
      <c r="B716">
        <f t="shared" ca="1" si="55"/>
        <v>0</v>
      </c>
      <c r="C716" t="s">
        <v>85</v>
      </c>
      <c r="D716" t="s">
        <v>92</v>
      </c>
      <c r="E716" t="s">
        <v>92</v>
      </c>
      <c r="F716" t="s">
        <v>92</v>
      </c>
      <c r="G716" t="s">
        <v>92</v>
      </c>
      <c r="H716" t="s">
        <v>92</v>
      </c>
      <c r="I716" s="12" t="s">
        <v>268</v>
      </c>
      <c r="J716" t="s">
        <v>278</v>
      </c>
      <c r="L716" t="s">
        <v>92</v>
      </c>
      <c r="N716" s="14">
        <v>1</v>
      </c>
      <c r="P716" s="12" t="s">
        <v>268</v>
      </c>
      <c r="W716" s="9" t="str">
        <f t="shared" ca="1" si="56"/>
        <v>18.5%</v>
      </c>
      <c r="X716" t="s">
        <v>321</v>
      </c>
      <c r="Y716" s="9" t="str">
        <f t="shared" ca="1" si="57"/>
        <v>Sin costo</v>
      </c>
      <c r="Z716" t="s">
        <v>327</v>
      </c>
      <c r="AA716" t="s">
        <v>329</v>
      </c>
      <c r="AB716" t="s">
        <v>334</v>
      </c>
      <c r="AC716" s="12" t="s">
        <v>339</v>
      </c>
      <c r="AE716" t="s">
        <v>268</v>
      </c>
      <c r="AG716" s="12" t="s">
        <v>268</v>
      </c>
      <c r="AH716" t="s">
        <v>92</v>
      </c>
      <c r="AI716" s="12" t="s">
        <v>268</v>
      </c>
      <c r="AJ716" t="s">
        <v>92</v>
      </c>
      <c r="AK716" t="s">
        <v>92</v>
      </c>
      <c r="AL716" t="s">
        <v>92</v>
      </c>
      <c r="AM716" s="12" t="s">
        <v>268</v>
      </c>
      <c r="AN716" s="12" t="s">
        <v>268</v>
      </c>
      <c r="AO716" s="12" t="s">
        <v>268</v>
      </c>
      <c r="AP716" s="12" t="s">
        <v>268</v>
      </c>
      <c r="AQ716" s="12" t="s">
        <v>268</v>
      </c>
      <c r="AR716" s="28" t="str">
        <f t="shared" ca="1" si="58"/>
        <v/>
      </c>
      <c r="AS716" s="28" t="str">
        <f t="shared" ca="1" si="59"/>
        <v/>
      </c>
    </row>
    <row r="717" spans="2:45" ht="27.6" customHeight="1">
      <c r="B717">
        <f t="shared" ca="1" si="55"/>
        <v>0</v>
      </c>
      <c r="C717" t="s">
        <v>85</v>
      </c>
      <c r="D717" t="s">
        <v>92</v>
      </c>
      <c r="E717" t="s">
        <v>92</v>
      </c>
      <c r="F717" t="s">
        <v>92</v>
      </c>
      <c r="G717" t="s">
        <v>92</v>
      </c>
      <c r="H717" t="s">
        <v>92</v>
      </c>
      <c r="I717" s="12" t="s">
        <v>268</v>
      </c>
      <c r="J717" t="s">
        <v>278</v>
      </c>
      <c r="L717" t="s">
        <v>92</v>
      </c>
      <c r="N717" s="14">
        <v>1</v>
      </c>
      <c r="P717" s="12" t="s">
        <v>268</v>
      </c>
      <c r="W717" s="9" t="str">
        <f t="shared" ca="1" si="56"/>
        <v>18.5%</v>
      </c>
      <c r="X717" t="s">
        <v>321</v>
      </c>
      <c r="Y717" s="9" t="str">
        <f t="shared" ca="1" si="57"/>
        <v>Sin costo</v>
      </c>
      <c r="Z717" t="s">
        <v>327</v>
      </c>
      <c r="AA717" t="s">
        <v>329</v>
      </c>
      <c r="AB717" t="s">
        <v>334</v>
      </c>
      <c r="AC717" s="12" t="s">
        <v>339</v>
      </c>
      <c r="AE717" t="s">
        <v>268</v>
      </c>
      <c r="AG717" s="12" t="s">
        <v>268</v>
      </c>
      <c r="AH717" t="s">
        <v>92</v>
      </c>
      <c r="AI717" s="12" t="s">
        <v>268</v>
      </c>
      <c r="AJ717" t="s">
        <v>92</v>
      </c>
      <c r="AK717" t="s">
        <v>92</v>
      </c>
      <c r="AL717" t="s">
        <v>92</v>
      </c>
      <c r="AM717" s="12" t="s">
        <v>268</v>
      </c>
      <c r="AN717" s="12" t="s">
        <v>268</v>
      </c>
      <c r="AO717" s="12" t="s">
        <v>268</v>
      </c>
      <c r="AP717" s="12" t="s">
        <v>268</v>
      </c>
      <c r="AQ717" s="12" t="s">
        <v>268</v>
      </c>
      <c r="AR717" s="28" t="str">
        <f t="shared" ca="1" si="58"/>
        <v/>
      </c>
      <c r="AS717" s="28" t="str">
        <f t="shared" ca="1" si="59"/>
        <v/>
      </c>
    </row>
    <row r="718" spans="2:45" ht="27.6" customHeight="1">
      <c r="B718">
        <f t="shared" ca="1" si="55"/>
        <v>0</v>
      </c>
      <c r="C718" t="s">
        <v>85</v>
      </c>
      <c r="D718" t="s">
        <v>92</v>
      </c>
      <c r="E718" t="s">
        <v>92</v>
      </c>
      <c r="F718" t="s">
        <v>92</v>
      </c>
      <c r="G718" t="s">
        <v>92</v>
      </c>
      <c r="H718" t="s">
        <v>92</v>
      </c>
      <c r="I718" s="12" t="s">
        <v>268</v>
      </c>
      <c r="J718" t="s">
        <v>278</v>
      </c>
      <c r="L718" t="s">
        <v>92</v>
      </c>
      <c r="N718" s="14">
        <v>1</v>
      </c>
      <c r="P718" s="12" t="s">
        <v>268</v>
      </c>
      <c r="W718" s="9" t="str">
        <f t="shared" ca="1" si="56"/>
        <v>18.5%</v>
      </c>
      <c r="X718" t="s">
        <v>321</v>
      </c>
      <c r="Y718" s="9" t="str">
        <f t="shared" ca="1" si="57"/>
        <v>Sin costo</v>
      </c>
      <c r="Z718" t="s">
        <v>327</v>
      </c>
      <c r="AA718" t="s">
        <v>329</v>
      </c>
      <c r="AB718" t="s">
        <v>334</v>
      </c>
      <c r="AC718" s="12" t="s">
        <v>339</v>
      </c>
      <c r="AE718" t="s">
        <v>268</v>
      </c>
      <c r="AG718" s="12" t="s">
        <v>268</v>
      </c>
      <c r="AH718" t="s">
        <v>92</v>
      </c>
      <c r="AI718" s="12" t="s">
        <v>268</v>
      </c>
      <c r="AJ718" t="s">
        <v>92</v>
      </c>
      <c r="AK718" t="s">
        <v>92</v>
      </c>
      <c r="AL718" t="s">
        <v>92</v>
      </c>
      <c r="AM718" s="12" t="s">
        <v>268</v>
      </c>
      <c r="AN718" s="12" t="s">
        <v>268</v>
      </c>
      <c r="AO718" s="12" t="s">
        <v>268</v>
      </c>
      <c r="AP718" s="12" t="s">
        <v>268</v>
      </c>
      <c r="AQ718" s="12" t="s">
        <v>268</v>
      </c>
      <c r="AR718" s="28" t="str">
        <f t="shared" ca="1" si="58"/>
        <v/>
      </c>
      <c r="AS718" s="28" t="str">
        <f t="shared" ca="1" si="59"/>
        <v/>
      </c>
    </row>
    <row r="719" spans="2:45" ht="27.6" customHeight="1">
      <c r="B719">
        <f t="shared" ca="1" si="55"/>
        <v>0</v>
      </c>
      <c r="C719" t="s">
        <v>85</v>
      </c>
      <c r="D719" t="s">
        <v>92</v>
      </c>
      <c r="E719" t="s">
        <v>92</v>
      </c>
      <c r="F719" t="s">
        <v>92</v>
      </c>
      <c r="G719" t="s">
        <v>92</v>
      </c>
      <c r="H719" t="s">
        <v>92</v>
      </c>
      <c r="I719" s="12" t="s">
        <v>268</v>
      </c>
      <c r="J719" t="s">
        <v>278</v>
      </c>
      <c r="L719" t="s">
        <v>92</v>
      </c>
      <c r="N719" s="14">
        <v>1</v>
      </c>
      <c r="P719" s="12" t="s">
        <v>268</v>
      </c>
      <c r="W719" s="9" t="str">
        <f t="shared" ca="1" si="56"/>
        <v>18.5%</v>
      </c>
      <c r="X719" t="s">
        <v>321</v>
      </c>
      <c r="Y719" s="9" t="str">
        <f t="shared" ca="1" si="57"/>
        <v>Sin costo</v>
      </c>
      <c r="Z719" t="s">
        <v>327</v>
      </c>
      <c r="AA719" t="s">
        <v>329</v>
      </c>
      <c r="AB719" t="s">
        <v>334</v>
      </c>
      <c r="AC719" s="12" t="s">
        <v>339</v>
      </c>
      <c r="AE719" t="s">
        <v>268</v>
      </c>
      <c r="AG719" s="12" t="s">
        <v>268</v>
      </c>
      <c r="AH719" t="s">
        <v>92</v>
      </c>
      <c r="AI719" s="12" t="s">
        <v>268</v>
      </c>
      <c r="AJ719" t="s">
        <v>92</v>
      </c>
      <c r="AK719" t="s">
        <v>92</v>
      </c>
      <c r="AL719" t="s">
        <v>92</v>
      </c>
      <c r="AM719" s="12" t="s">
        <v>268</v>
      </c>
      <c r="AN719" s="12" t="s">
        <v>268</v>
      </c>
      <c r="AO719" s="12" t="s">
        <v>268</v>
      </c>
      <c r="AP719" s="12" t="s">
        <v>268</v>
      </c>
      <c r="AQ719" s="12" t="s">
        <v>268</v>
      </c>
      <c r="AR719" s="28" t="str">
        <f t="shared" ca="1" si="58"/>
        <v/>
      </c>
      <c r="AS719" s="28" t="str">
        <f t="shared" ca="1" si="59"/>
        <v/>
      </c>
    </row>
    <row r="720" spans="2:45" ht="27.6" customHeight="1">
      <c r="B720">
        <f t="shared" ca="1" si="55"/>
        <v>0</v>
      </c>
      <c r="C720" t="s">
        <v>85</v>
      </c>
      <c r="D720" t="s">
        <v>92</v>
      </c>
      <c r="E720" t="s">
        <v>92</v>
      </c>
      <c r="F720" t="s">
        <v>92</v>
      </c>
      <c r="G720" t="s">
        <v>92</v>
      </c>
      <c r="H720" t="s">
        <v>92</v>
      </c>
      <c r="I720" s="12" t="s">
        <v>268</v>
      </c>
      <c r="J720" t="s">
        <v>278</v>
      </c>
      <c r="L720" t="s">
        <v>92</v>
      </c>
      <c r="N720" s="14">
        <v>1</v>
      </c>
      <c r="P720" s="12" t="s">
        <v>268</v>
      </c>
      <c r="W720" s="9" t="str">
        <f t="shared" ca="1" si="56"/>
        <v>18.5%</v>
      </c>
      <c r="X720" t="s">
        <v>321</v>
      </c>
      <c r="Y720" s="9" t="str">
        <f t="shared" ca="1" si="57"/>
        <v>Sin costo</v>
      </c>
      <c r="Z720" t="s">
        <v>327</v>
      </c>
      <c r="AA720" t="s">
        <v>329</v>
      </c>
      <c r="AB720" t="s">
        <v>334</v>
      </c>
      <c r="AC720" s="12" t="s">
        <v>339</v>
      </c>
      <c r="AE720" t="s">
        <v>268</v>
      </c>
      <c r="AG720" s="12" t="s">
        <v>268</v>
      </c>
      <c r="AH720" t="s">
        <v>92</v>
      </c>
      <c r="AI720" s="12" t="s">
        <v>268</v>
      </c>
      <c r="AJ720" t="s">
        <v>92</v>
      </c>
      <c r="AK720" t="s">
        <v>92</v>
      </c>
      <c r="AL720" t="s">
        <v>92</v>
      </c>
      <c r="AM720" s="12" t="s">
        <v>268</v>
      </c>
      <c r="AN720" s="12" t="s">
        <v>268</v>
      </c>
      <c r="AO720" s="12" t="s">
        <v>268</v>
      </c>
      <c r="AP720" s="12" t="s">
        <v>268</v>
      </c>
      <c r="AQ720" s="12" t="s">
        <v>268</v>
      </c>
      <c r="AR720" s="28" t="str">
        <f t="shared" ca="1" si="58"/>
        <v/>
      </c>
      <c r="AS720" s="28" t="str">
        <f t="shared" ca="1" si="59"/>
        <v/>
      </c>
    </row>
    <row r="721" spans="2:45" ht="27.6" customHeight="1">
      <c r="B721">
        <f t="shared" ca="1" si="55"/>
        <v>0</v>
      </c>
      <c r="C721" t="s">
        <v>85</v>
      </c>
      <c r="D721" t="s">
        <v>92</v>
      </c>
      <c r="E721" t="s">
        <v>92</v>
      </c>
      <c r="F721" t="s">
        <v>92</v>
      </c>
      <c r="G721" t="s">
        <v>92</v>
      </c>
      <c r="H721" t="s">
        <v>92</v>
      </c>
      <c r="I721" s="12" t="s">
        <v>268</v>
      </c>
      <c r="J721" t="s">
        <v>278</v>
      </c>
      <c r="L721" t="s">
        <v>92</v>
      </c>
      <c r="N721" s="14">
        <v>1</v>
      </c>
      <c r="P721" s="12" t="s">
        <v>268</v>
      </c>
      <c r="W721" s="9" t="str">
        <f t="shared" ca="1" si="56"/>
        <v>18.5%</v>
      </c>
      <c r="X721" t="s">
        <v>321</v>
      </c>
      <c r="Y721" s="9" t="str">
        <f t="shared" ca="1" si="57"/>
        <v>Sin costo</v>
      </c>
      <c r="Z721" t="s">
        <v>327</v>
      </c>
      <c r="AA721" t="s">
        <v>329</v>
      </c>
      <c r="AB721" t="s">
        <v>334</v>
      </c>
      <c r="AC721" s="12" t="s">
        <v>339</v>
      </c>
      <c r="AE721" t="s">
        <v>268</v>
      </c>
      <c r="AG721" s="12" t="s">
        <v>268</v>
      </c>
      <c r="AH721" t="s">
        <v>92</v>
      </c>
      <c r="AI721" s="12" t="s">
        <v>268</v>
      </c>
      <c r="AJ721" t="s">
        <v>92</v>
      </c>
      <c r="AK721" t="s">
        <v>92</v>
      </c>
      <c r="AL721" t="s">
        <v>92</v>
      </c>
      <c r="AM721" s="12" t="s">
        <v>268</v>
      </c>
      <c r="AN721" s="12" t="s">
        <v>268</v>
      </c>
      <c r="AO721" s="12" t="s">
        <v>268</v>
      </c>
      <c r="AP721" s="12" t="s">
        <v>268</v>
      </c>
      <c r="AQ721" s="12" t="s">
        <v>268</v>
      </c>
      <c r="AR721" s="28" t="str">
        <f t="shared" ca="1" si="58"/>
        <v/>
      </c>
      <c r="AS721" s="28" t="str">
        <f t="shared" ca="1" si="59"/>
        <v/>
      </c>
    </row>
    <row r="722" spans="2:45" ht="27.6" customHeight="1">
      <c r="B722">
        <f t="shared" ca="1" si="55"/>
        <v>0</v>
      </c>
      <c r="C722" t="s">
        <v>85</v>
      </c>
      <c r="D722" t="s">
        <v>92</v>
      </c>
      <c r="E722" t="s">
        <v>92</v>
      </c>
      <c r="F722" t="s">
        <v>92</v>
      </c>
      <c r="G722" t="s">
        <v>92</v>
      </c>
      <c r="H722" t="s">
        <v>92</v>
      </c>
      <c r="I722" s="12" t="s">
        <v>268</v>
      </c>
      <c r="J722" t="s">
        <v>278</v>
      </c>
      <c r="L722" t="s">
        <v>92</v>
      </c>
      <c r="N722" s="14">
        <v>1</v>
      </c>
      <c r="P722" s="12" t="s">
        <v>268</v>
      </c>
      <c r="W722" s="9" t="str">
        <f t="shared" ca="1" si="56"/>
        <v>18.5%</v>
      </c>
      <c r="X722" t="s">
        <v>321</v>
      </c>
      <c r="Y722" s="9" t="str">
        <f t="shared" ca="1" si="57"/>
        <v>Sin costo</v>
      </c>
      <c r="Z722" t="s">
        <v>327</v>
      </c>
      <c r="AA722" t="s">
        <v>329</v>
      </c>
      <c r="AB722" t="s">
        <v>334</v>
      </c>
      <c r="AC722" s="12" t="s">
        <v>339</v>
      </c>
      <c r="AE722" t="s">
        <v>268</v>
      </c>
      <c r="AG722" s="12" t="s">
        <v>268</v>
      </c>
      <c r="AH722" t="s">
        <v>92</v>
      </c>
      <c r="AI722" s="12" t="s">
        <v>268</v>
      </c>
      <c r="AJ722" t="s">
        <v>92</v>
      </c>
      <c r="AK722" t="s">
        <v>92</v>
      </c>
      <c r="AL722" t="s">
        <v>92</v>
      </c>
      <c r="AM722" s="12" t="s">
        <v>268</v>
      </c>
      <c r="AN722" s="12" t="s">
        <v>268</v>
      </c>
      <c r="AO722" s="12" t="s">
        <v>268</v>
      </c>
      <c r="AP722" s="12" t="s">
        <v>268</v>
      </c>
      <c r="AQ722" s="12" t="s">
        <v>268</v>
      </c>
      <c r="AR722" s="28" t="str">
        <f t="shared" ca="1" si="58"/>
        <v/>
      </c>
      <c r="AS722" s="28" t="str">
        <f t="shared" ca="1" si="59"/>
        <v/>
      </c>
    </row>
    <row r="723" spans="2:45" ht="27.6" customHeight="1">
      <c r="B723">
        <f t="shared" ca="1" si="55"/>
        <v>0</v>
      </c>
      <c r="C723" t="s">
        <v>85</v>
      </c>
      <c r="D723" t="s">
        <v>92</v>
      </c>
      <c r="E723" t="s">
        <v>92</v>
      </c>
      <c r="F723" t="s">
        <v>92</v>
      </c>
      <c r="G723" t="s">
        <v>92</v>
      </c>
      <c r="H723" t="s">
        <v>92</v>
      </c>
      <c r="I723" s="12" t="s">
        <v>268</v>
      </c>
      <c r="J723" t="s">
        <v>278</v>
      </c>
      <c r="L723" t="s">
        <v>92</v>
      </c>
      <c r="N723" s="14">
        <v>1</v>
      </c>
      <c r="P723" s="12" t="s">
        <v>268</v>
      </c>
      <c r="W723" s="9" t="str">
        <f t="shared" ca="1" si="56"/>
        <v>18.5%</v>
      </c>
      <c r="X723" t="s">
        <v>321</v>
      </c>
      <c r="Y723" s="9" t="str">
        <f t="shared" ca="1" si="57"/>
        <v>Sin costo</v>
      </c>
      <c r="Z723" t="s">
        <v>327</v>
      </c>
      <c r="AA723" t="s">
        <v>329</v>
      </c>
      <c r="AB723" t="s">
        <v>334</v>
      </c>
      <c r="AC723" s="12" t="s">
        <v>339</v>
      </c>
      <c r="AE723" t="s">
        <v>268</v>
      </c>
      <c r="AG723" s="12" t="s">
        <v>268</v>
      </c>
      <c r="AH723" t="s">
        <v>92</v>
      </c>
      <c r="AI723" s="12" t="s">
        <v>268</v>
      </c>
      <c r="AJ723" t="s">
        <v>92</v>
      </c>
      <c r="AK723" t="s">
        <v>92</v>
      </c>
      <c r="AL723" t="s">
        <v>92</v>
      </c>
      <c r="AM723" s="12" t="s">
        <v>268</v>
      </c>
      <c r="AN723" s="12" t="s">
        <v>268</v>
      </c>
      <c r="AO723" s="12" t="s">
        <v>268</v>
      </c>
      <c r="AP723" s="12" t="s">
        <v>268</v>
      </c>
      <c r="AQ723" s="12" t="s">
        <v>268</v>
      </c>
      <c r="AR723" s="28" t="str">
        <f t="shared" ca="1" si="58"/>
        <v/>
      </c>
      <c r="AS723" s="28" t="str">
        <f t="shared" ca="1" si="59"/>
        <v/>
      </c>
    </row>
    <row r="724" spans="2:45" ht="27.6" customHeight="1">
      <c r="B724">
        <f t="shared" ca="1" si="55"/>
        <v>0</v>
      </c>
      <c r="C724" t="s">
        <v>85</v>
      </c>
      <c r="D724" t="s">
        <v>92</v>
      </c>
      <c r="E724" t="s">
        <v>92</v>
      </c>
      <c r="F724" t="s">
        <v>92</v>
      </c>
      <c r="G724" t="s">
        <v>92</v>
      </c>
      <c r="H724" t="s">
        <v>92</v>
      </c>
      <c r="I724" s="12" t="s">
        <v>268</v>
      </c>
      <c r="J724" t="s">
        <v>278</v>
      </c>
      <c r="L724" t="s">
        <v>92</v>
      </c>
      <c r="N724" s="14">
        <v>1</v>
      </c>
      <c r="P724" s="12" t="s">
        <v>268</v>
      </c>
      <c r="W724" s="9" t="str">
        <f t="shared" ca="1" si="56"/>
        <v>18.5%</v>
      </c>
      <c r="X724" t="s">
        <v>321</v>
      </c>
      <c r="Y724" s="9" t="str">
        <f t="shared" ca="1" si="57"/>
        <v>Sin costo</v>
      </c>
      <c r="Z724" t="s">
        <v>327</v>
      </c>
      <c r="AA724" t="s">
        <v>329</v>
      </c>
      <c r="AB724" t="s">
        <v>334</v>
      </c>
      <c r="AC724" s="12" t="s">
        <v>339</v>
      </c>
      <c r="AE724" t="s">
        <v>268</v>
      </c>
      <c r="AG724" s="12" t="s">
        <v>268</v>
      </c>
      <c r="AH724" t="s">
        <v>92</v>
      </c>
      <c r="AI724" s="12" t="s">
        <v>268</v>
      </c>
      <c r="AJ724" t="s">
        <v>92</v>
      </c>
      <c r="AK724" t="s">
        <v>92</v>
      </c>
      <c r="AL724" t="s">
        <v>92</v>
      </c>
      <c r="AM724" s="12" t="s">
        <v>268</v>
      </c>
      <c r="AN724" s="12" t="s">
        <v>268</v>
      </c>
      <c r="AO724" s="12" t="s">
        <v>268</v>
      </c>
      <c r="AP724" s="12" t="s">
        <v>268</v>
      </c>
      <c r="AQ724" s="12" t="s">
        <v>268</v>
      </c>
      <c r="AR724" s="28" t="str">
        <f t="shared" ca="1" si="58"/>
        <v/>
      </c>
      <c r="AS724" s="28" t="str">
        <f t="shared" ca="1" si="59"/>
        <v/>
      </c>
    </row>
    <row r="725" spans="2:45" ht="27.6" customHeight="1">
      <c r="B725">
        <f t="shared" ca="1" si="55"/>
        <v>0</v>
      </c>
      <c r="C725" t="s">
        <v>85</v>
      </c>
      <c r="D725" t="s">
        <v>92</v>
      </c>
      <c r="E725" t="s">
        <v>92</v>
      </c>
      <c r="F725" t="s">
        <v>92</v>
      </c>
      <c r="G725" t="s">
        <v>92</v>
      </c>
      <c r="H725" t="s">
        <v>92</v>
      </c>
      <c r="I725" s="12" t="s">
        <v>268</v>
      </c>
      <c r="J725" t="s">
        <v>278</v>
      </c>
      <c r="L725" t="s">
        <v>92</v>
      </c>
      <c r="N725" s="14">
        <v>1</v>
      </c>
      <c r="P725" s="12" t="s">
        <v>268</v>
      </c>
      <c r="W725" s="9" t="str">
        <f t="shared" ca="1" si="56"/>
        <v>18.5%</v>
      </c>
      <c r="X725" t="s">
        <v>321</v>
      </c>
      <c r="Y725" s="9" t="str">
        <f t="shared" ca="1" si="57"/>
        <v>Sin costo</v>
      </c>
      <c r="Z725" t="s">
        <v>327</v>
      </c>
      <c r="AA725" t="s">
        <v>329</v>
      </c>
      <c r="AB725" t="s">
        <v>334</v>
      </c>
      <c r="AC725" s="12" t="s">
        <v>339</v>
      </c>
      <c r="AE725" t="s">
        <v>268</v>
      </c>
      <c r="AG725" s="12" t="s">
        <v>268</v>
      </c>
      <c r="AH725" t="s">
        <v>92</v>
      </c>
      <c r="AI725" s="12" t="s">
        <v>268</v>
      </c>
      <c r="AJ725" t="s">
        <v>92</v>
      </c>
      <c r="AK725" t="s">
        <v>92</v>
      </c>
      <c r="AL725" t="s">
        <v>92</v>
      </c>
      <c r="AM725" s="12" t="s">
        <v>268</v>
      </c>
      <c r="AN725" s="12" t="s">
        <v>268</v>
      </c>
      <c r="AO725" s="12" t="s">
        <v>268</v>
      </c>
      <c r="AP725" s="12" t="s">
        <v>268</v>
      </c>
      <c r="AQ725" s="12" t="s">
        <v>268</v>
      </c>
      <c r="AR725" s="28" t="str">
        <f t="shared" ca="1" si="58"/>
        <v/>
      </c>
      <c r="AS725" s="28" t="str">
        <f t="shared" ca="1" si="59"/>
        <v/>
      </c>
    </row>
    <row r="726" spans="2:45" ht="27.6" customHeight="1">
      <c r="B726">
        <f t="shared" ca="1" si="55"/>
        <v>0</v>
      </c>
      <c r="C726" t="s">
        <v>85</v>
      </c>
      <c r="D726" t="s">
        <v>92</v>
      </c>
      <c r="E726" t="s">
        <v>92</v>
      </c>
      <c r="F726" t="s">
        <v>92</v>
      </c>
      <c r="G726" t="s">
        <v>92</v>
      </c>
      <c r="H726" t="s">
        <v>92</v>
      </c>
      <c r="I726" s="12" t="s">
        <v>268</v>
      </c>
      <c r="J726" t="s">
        <v>278</v>
      </c>
      <c r="L726" t="s">
        <v>92</v>
      </c>
      <c r="N726" s="14">
        <v>1</v>
      </c>
      <c r="P726" s="12" t="s">
        <v>268</v>
      </c>
      <c r="W726" s="9" t="str">
        <f t="shared" ca="1" si="56"/>
        <v>18.5%</v>
      </c>
      <c r="X726" t="s">
        <v>321</v>
      </c>
      <c r="Y726" s="9" t="str">
        <f t="shared" ca="1" si="57"/>
        <v>Sin costo</v>
      </c>
      <c r="Z726" t="s">
        <v>327</v>
      </c>
      <c r="AA726" t="s">
        <v>329</v>
      </c>
      <c r="AB726" t="s">
        <v>334</v>
      </c>
      <c r="AC726" s="12" t="s">
        <v>339</v>
      </c>
      <c r="AE726" t="s">
        <v>268</v>
      </c>
      <c r="AG726" s="12" t="s">
        <v>268</v>
      </c>
      <c r="AH726" t="s">
        <v>92</v>
      </c>
      <c r="AI726" s="12" t="s">
        <v>268</v>
      </c>
      <c r="AJ726" t="s">
        <v>92</v>
      </c>
      <c r="AK726" t="s">
        <v>92</v>
      </c>
      <c r="AL726" t="s">
        <v>92</v>
      </c>
      <c r="AM726" s="12" t="s">
        <v>268</v>
      </c>
      <c r="AN726" s="12" t="s">
        <v>268</v>
      </c>
      <c r="AO726" s="12" t="s">
        <v>268</v>
      </c>
      <c r="AP726" s="12" t="s">
        <v>268</v>
      </c>
      <c r="AQ726" s="12" t="s">
        <v>268</v>
      </c>
      <c r="AR726" s="28" t="str">
        <f t="shared" ca="1" si="58"/>
        <v/>
      </c>
      <c r="AS726" s="28" t="str">
        <f t="shared" ca="1" si="59"/>
        <v/>
      </c>
    </row>
    <row r="727" spans="2:45" ht="27.6" customHeight="1">
      <c r="B727">
        <f t="shared" ca="1" si="55"/>
        <v>0</v>
      </c>
      <c r="C727" t="s">
        <v>85</v>
      </c>
      <c r="D727" t="s">
        <v>92</v>
      </c>
      <c r="E727" t="s">
        <v>92</v>
      </c>
      <c r="F727" t="s">
        <v>92</v>
      </c>
      <c r="G727" t="s">
        <v>92</v>
      </c>
      <c r="H727" t="s">
        <v>92</v>
      </c>
      <c r="I727" s="12" t="s">
        <v>268</v>
      </c>
      <c r="J727" t="s">
        <v>278</v>
      </c>
      <c r="L727" t="s">
        <v>92</v>
      </c>
      <c r="N727" s="14">
        <v>1</v>
      </c>
      <c r="P727" s="12" t="s">
        <v>268</v>
      </c>
      <c r="W727" s="9" t="str">
        <f t="shared" ca="1" si="56"/>
        <v>18.5%</v>
      </c>
      <c r="X727" t="s">
        <v>321</v>
      </c>
      <c r="Y727" s="9" t="str">
        <f t="shared" ca="1" si="57"/>
        <v>Sin costo</v>
      </c>
      <c r="Z727" t="s">
        <v>327</v>
      </c>
      <c r="AA727" t="s">
        <v>329</v>
      </c>
      <c r="AB727" t="s">
        <v>334</v>
      </c>
      <c r="AC727" s="12" t="s">
        <v>339</v>
      </c>
      <c r="AE727" t="s">
        <v>268</v>
      </c>
      <c r="AG727" s="12" t="s">
        <v>268</v>
      </c>
      <c r="AH727" t="s">
        <v>92</v>
      </c>
      <c r="AI727" s="12" t="s">
        <v>268</v>
      </c>
      <c r="AJ727" t="s">
        <v>92</v>
      </c>
      <c r="AK727" t="s">
        <v>92</v>
      </c>
      <c r="AL727" t="s">
        <v>92</v>
      </c>
      <c r="AM727" s="12" t="s">
        <v>268</v>
      </c>
      <c r="AN727" s="12" t="s">
        <v>268</v>
      </c>
      <c r="AO727" s="12" t="s">
        <v>268</v>
      </c>
      <c r="AP727" s="12" t="s">
        <v>268</v>
      </c>
      <c r="AQ727" s="12" t="s">
        <v>268</v>
      </c>
      <c r="AR727" s="28" t="str">
        <f t="shared" ca="1" si="58"/>
        <v/>
      </c>
      <c r="AS727" s="28" t="str">
        <f t="shared" ca="1" si="59"/>
        <v/>
      </c>
    </row>
    <row r="728" spans="2:45" ht="27.6" customHeight="1">
      <c r="B728">
        <f t="shared" ca="1" si="55"/>
        <v>0</v>
      </c>
      <c r="C728" t="s">
        <v>85</v>
      </c>
      <c r="D728" t="s">
        <v>92</v>
      </c>
      <c r="E728" t="s">
        <v>92</v>
      </c>
      <c r="F728" t="s">
        <v>92</v>
      </c>
      <c r="G728" t="s">
        <v>92</v>
      </c>
      <c r="H728" t="s">
        <v>92</v>
      </c>
      <c r="I728" s="12" t="s">
        <v>268</v>
      </c>
      <c r="J728" t="s">
        <v>278</v>
      </c>
      <c r="L728" t="s">
        <v>92</v>
      </c>
      <c r="N728" s="14">
        <v>1</v>
      </c>
      <c r="P728" s="12" t="s">
        <v>268</v>
      </c>
      <c r="W728" s="9" t="str">
        <f t="shared" ca="1" si="56"/>
        <v>18.5%</v>
      </c>
      <c r="X728" t="s">
        <v>321</v>
      </c>
      <c r="Y728" s="9" t="str">
        <f t="shared" ca="1" si="57"/>
        <v>Sin costo</v>
      </c>
      <c r="Z728" t="s">
        <v>327</v>
      </c>
      <c r="AA728" t="s">
        <v>329</v>
      </c>
      <c r="AB728" t="s">
        <v>334</v>
      </c>
      <c r="AC728" s="12" t="s">
        <v>339</v>
      </c>
      <c r="AE728" t="s">
        <v>268</v>
      </c>
      <c r="AG728" s="12" t="s">
        <v>268</v>
      </c>
      <c r="AH728" t="s">
        <v>92</v>
      </c>
      <c r="AI728" s="12" t="s">
        <v>268</v>
      </c>
      <c r="AJ728" t="s">
        <v>92</v>
      </c>
      <c r="AK728" t="s">
        <v>92</v>
      </c>
      <c r="AL728" t="s">
        <v>92</v>
      </c>
      <c r="AM728" s="12" t="s">
        <v>268</v>
      </c>
      <c r="AN728" s="12" t="s">
        <v>268</v>
      </c>
      <c r="AO728" s="12" t="s">
        <v>268</v>
      </c>
      <c r="AP728" s="12" t="s">
        <v>268</v>
      </c>
      <c r="AQ728" s="12" t="s">
        <v>268</v>
      </c>
      <c r="AR728" s="28" t="str">
        <f t="shared" ca="1" si="58"/>
        <v/>
      </c>
      <c r="AS728" s="28" t="str">
        <f t="shared" ca="1" si="59"/>
        <v/>
      </c>
    </row>
    <row r="729" spans="2:45" ht="27.6" customHeight="1">
      <c r="B729">
        <f t="shared" ca="1" si="55"/>
        <v>0</v>
      </c>
      <c r="C729" t="s">
        <v>85</v>
      </c>
      <c r="D729" t="s">
        <v>92</v>
      </c>
      <c r="E729" t="s">
        <v>92</v>
      </c>
      <c r="F729" t="s">
        <v>92</v>
      </c>
      <c r="G729" t="s">
        <v>92</v>
      </c>
      <c r="H729" t="s">
        <v>92</v>
      </c>
      <c r="I729" s="12" t="s">
        <v>268</v>
      </c>
      <c r="J729" t="s">
        <v>278</v>
      </c>
      <c r="L729" t="s">
        <v>92</v>
      </c>
      <c r="N729" s="14">
        <v>1</v>
      </c>
      <c r="P729" s="12" t="s">
        <v>268</v>
      </c>
      <c r="W729" s="9" t="str">
        <f t="shared" ca="1" si="56"/>
        <v>18.5%</v>
      </c>
      <c r="X729" t="s">
        <v>321</v>
      </c>
      <c r="Y729" s="9" t="str">
        <f t="shared" ca="1" si="57"/>
        <v>Sin costo</v>
      </c>
      <c r="Z729" t="s">
        <v>327</v>
      </c>
      <c r="AA729" t="s">
        <v>329</v>
      </c>
      <c r="AB729" t="s">
        <v>334</v>
      </c>
      <c r="AC729" s="12" t="s">
        <v>339</v>
      </c>
      <c r="AE729" t="s">
        <v>268</v>
      </c>
      <c r="AG729" s="12" t="s">
        <v>268</v>
      </c>
      <c r="AH729" t="s">
        <v>92</v>
      </c>
      <c r="AI729" s="12" t="s">
        <v>268</v>
      </c>
      <c r="AJ729" t="s">
        <v>92</v>
      </c>
      <c r="AK729" t="s">
        <v>92</v>
      </c>
      <c r="AL729" t="s">
        <v>92</v>
      </c>
      <c r="AM729" s="12" t="s">
        <v>268</v>
      </c>
      <c r="AN729" s="12" t="s">
        <v>268</v>
      </c>
      <c r="AO729" s="12" t="s">
        <v>268</v>
      </c>
      <c r="AP729" s="12" t="s">
        <v>268</v>
      </c>
      <c r="AQ729" s="12" t="s">
        <v>268</v>
      </c>
      <c r="AR729" s="28" t="str">
        <f t="shared" ca="1" si="58"/>
        <v/>
      </c>
      <c r="AS729" s="28" t="str">
        <f t="shared" ca="1" si="59"/>
        <v/>
      </c>
    </row>
    <row r="730" spans="2:45" ht="27.6" customHeight="1">
      <c r="B730">
        <f t="shared" ca="1" si="55"/>
        <v>0</v>
      </c>
      <c r="C730" t="s">
        <v>85</v>
      </c>
      <c r="D730" t="s">
        <v>92</v>
      </c>
      <c r="E730" t="s">
        <v>92</v>
      </c>
      <c r="F730" t="s">
        <v>92</v>
      </c>
      <c r="G730" t="s">
        <v>92</v>
      </c>
      <c r="H730" t="s">
        <v>92</v>
      </c>
      <c r="I730" s="12" t="s">
        <v>268</v>
      </c>
      <c r="J730" t="s">
        <v>278</v>
      </c>
      <c r="L730" t="s">
        <v>92</v>
      </c>
      <c r="N730" s="14">
        <v>1</v>
      </c>
      <c r="P730" s="12" t="s">
        <v>268</v>
      </c>
      <c r="W730" s="9" t="str">
        <f t="shared" ca="1" si="56"/>
        <v>18.5%</v>
      </c>
      <c r="X730" t="s">
        <v>321</v>
      </c>
      <c r="Y730" s="9" t="str">
        <f t="shared" ca="1" si="57"/>
        <v>Sin costo</v>
      </c>
      <c r="Z730" t="s">
        <v>327</v>
      </c>
      <c r="AA730" t="s">
        <v>329</v>
      </c>
      <c r="AB730" t="s">
        <v>334</v>
      </c>
      <c r="AC730" s="12" t="s">
        <v>339</v>
      </c>
      <c r="AE730" t="s">
        <v>268</v>
      </c>
      <c r="AG730" s="12" t="s">
        <v>268</v>
      </c>
      <c r="AH730" t="s">
        <v>92</v>
      </c>
      <c r="AI730" s="12" t="s">
        <v>268</v>
      </c>
      <c r="AJ730" t="s">
        <v>92</v>
      </c>
      <c r="AK730" t="s">
        <v>92</v>
      </c>
      <c r="AL730" t="s">
        <v>92</v>
      </c>
      <c r="AM730" s="12" t="s">
        <v>268</v>
      </c>
      <c r="AN730" s="12" t="s">
        <v>268</v>
      </c>
      <c r="AO730" s="12" t="s">
        <v>268</v>
      </c>
      <c r="AP730" s="12" t="s">
        <v>268</v>
      </c>
      <c r="AQ730" s="12" t="s">
        <v>268</v>
      </c>
      <c r="AR730" s="28" t="str">
        <f t="shared" ca="1" si="58"/>
        <v/>
      </c>
      <c r="AS730" s="28" t="str">
        <f t="shared" ca="1" si="59"/>
        <v/>
      </c>
    </row>
    <row r="731" spans="2:45" ht="27.6" customHeight="1">
      <c r="B731">
        <f t="shared" ca="1" si="55"/>
        <v>0</v>
      </c>
      <c r="C731" t="s">
        <v>85</v>
      </c>
      <c r="D731" t="s">
        <v>92</v>
      </c>
      <c r="E731" t="s">
        <v>92</v>
      </c>
      <c r="F731" t="s">
        <v>92</v>
      </c>
      <c r="G731" t="s">
        <v>92</v>
      </c>
      <c r="H731" t="s">
        <v>92</v>
      </c>
      <c r="I731" s="12" t="s">
        <v>268</v>
      </c>
      <c r="J731" t="s">
        <v>278</v>
      </c>
      <c r="L731" t="s">
        <v>92</v>
      </c>
      <c r="N731" s="14">
        <v>1</v>
      </c>
      <c r="P731" s="12" t="s">
        <v>268</v>
      </c>
      <c r="W731" s="9" t="str">
        <f t="shared" ca="1" si="56"/>
        <v>18.5%</v>
      </c>
      <c r="X731" t="s">
        <v>321</v>
      </c>
      <c r="Y731" s="9" t="str">
        <f t="shared" ca="1" si="57"/>
        <v>Sin costo</v>
      </c>
      <c r="Z731" t="s">
        <v>327</v>
      </c>
      <c r="AA731" t="s">
        <v>329</v>
      </c>
      <c r="AB731" t="s">
        <v>334</v>
      </c>
      <c r="AC731" s="12" t="s">
        <v>339</v>
      </c>
      <c r="AE731" t="s">
        <v>268</v>
      </c>
      <c r="AG731" s="12" t="s">
        <v>268</v>
      </c>
      <c r="AH731" t="s">
        <v>92</v>
      </c>
      <c r="AI731" s="12" t="s">
        <v>268</v>
      </c>
      <c r="AJ731" t="s">
        <v>92</v>
      </c>
      <c r="AK731" t="s">
        <v>92</v>
      </c>
      <c r="AL731" t="s">
        <v>92</v>
      </c>
      <c r="AM731" s="12" t="s">
        <v>268</v>
      </c>
      <c r="AN731" s="12" t="s">
        <v>268</v>
      </c>
      <c r="AO731" s="12" t="s">
        <v>268</v>
      </c>
      <c r="AP731" s="12" t="s">
        <v>268</v>
      </c>
      <c r="AQ731" s="12" t="s">
        <v>268</v>
      </c>
      <c r="AR731" s="28" t="str">
        <f t="shared" ca="1" si="58"/>
        <v/>
      </c>
      <c r="AS731" s="28" t="str">
        <f t="shared" ca="1" si="59"/>
        <v/>
      </c>
    </row>
    <row r="732" spans="2:45" ht="27.6" customHeight="1">
      <c r="B732">
        <f t="shared" ca="1" si="55"/>
        <v>0</v>
      </c>
      <c r="C732" t="s">
        <v>85</v>
      </c>
      <c r="D732" t="s">
        <v>92</v>
      </c>
      <c r="E732" t="s">
        <v>92</v>
      </c>
      <c r="F732" t="s">
        <v>92</v>
      </c>
      <c r="G732" t="s">
        <v>92</v>
      </c>
      <c r="H732" t="s">
        <v>92</v>
      </c>
      <c r="I732" s="12" t="s">
        <v>268</v>
      </c>
      <c r="J732" t="s">
        <v>278</v>
      </c>
      <c r="L732" t="s">
        <v>92</v>
      </c>
      <c r="N732" s="14">
        <v>1</v>
      </c>
      <c r="P732" s="12" t="s">
        <v>268</v>
      </c>
      <c r="W732" s="9" t="str">
        <f t="shared" ca="1" si="56"/>
        <v>18.5%</v>
      </c>
      <c r="X732" t="s">
        <v>321</v>
      </c>
      <c r="Y732" s="9" t="str">
        <f t="shared" ca="1" si="57"/>
        <v>Sin costo</v>
      </c>
      <c r="Z732" t="s">
        <v>327</v>
      </c>
      <c r="AA732" t="s">
        <v>329</v>
      </c>
      <c r="AB732" t="s">
        <v>334</v>
      </c>
      <c r="AC732" s="12" t="s">
        <v>339</v>
      </c>
      <c r="AE732" t="s">
        <v>268</v>
      </c>
      <c r="AG732" s="12" t="s">
        <v>268</v>
      </c>
      <c r="AH732" t="s">
        <v>92</v>
      </c>
      <c r="AI732" s="12" t="s">
        <v>268</v>
      </c>
      <c r="AJ732" t="s">
        <v>92</v>
      </c>
      <c r="AK732" t="s">
        <v>92</v>
      </c>
      <c r="AL732" t="s">
        <v>92</v>
      </c>
      <c r="AM732" s="12" t="s">
        <v>268</v>
      </c>
      <c r="AN732" s="12" t="s">
        <v>268</v>
      </c>
      <c r="AO732" s="12" t="s">
        <v>268</v>
      </c>
      <c r="AP732" s="12" t="s">
        <v>268</v>
      </c>
      <c r="AQ732" s="12" t="s">
        <v>268</v>
      </c>
      <c r="AR732" s="28" t="str">
        <f t="shared" ca="1" si="58"/>
        <v/>
      </c>
      <c r="AS732" s="28" t="str">
        <f t="shared" ca="1" si="59"/>
        <v/>
      </c>
    </row>
    <row r="733" spans="2:45" ht="27.6" customHeight="1">
      <c r="B733">
        <f t="shared" ca="1" si="55"/>
        <v>0</v>
      </c>
      <c r="C733" t="s">
        <v>85</v>
      </c>
      <c r="D733" t="s">
        <v>92</v>
      </c>
      <c r="E733" t="s">
        <v>92</v>
      </c>
      <c r="F733" t="s">
        <v>92</v>
      </c>
      <c r="G733" t="s">
        <v>92</v>
      </c>
      <c r="H733" t="s">
        <v>92</v>
      </c>
      <c r="I733" s="12" t="s">
        <v>268</v>
      </c>
      <c r="J733" t="s">
        <v>278</v>
      </c>
      <c r="L733" t="s">
        <v>92</v>
      </c>
      <c r="N733" s="14">
        <v>1</v>
      </c>
      <c r="P733" s="12" t="s">
        <v>268</v>
      </c>
      <c r="W733" s="9" t="str">
        <f t="shared" ca="1" si="56"/>
        <v>18.5%</v>
      </c>
      <c r="X733" t="s">
        <v>321</v>
      </c>
      <c r="Y733" s="9" t="str">
        <f t="shared" ca="1" si="57"/>
        <v>Sin costo</v>
      </c>
      <c r="Z733" t="s">
        <v>327</v>
      </c>
      <c r="AA733" t="s">
        <v>329</v>
      </c>
      <c r="AB733" t="s">
        <v>334</v>
      </c>
      <c r="AC733" s="12" t="s">
        <v>339</v>
      </c>
      <c r="AE733" t="s">
        <v>268</v>
      </c>
      <c r="AG733" s="12" t="s">
        <v>268</v>
      </c>
      <c r="AH733" t="s">
        <v>92</v>
      </c>
      <c r="AI733" s="12" t="s">
        <v>268</v>
      </c>
      <c r="AJ733" t="s">
        <v>92</v>
      </c>
      <c r="AK733" t="s">
        <v>92</v>
      </c>
      <c r="AL733" t="s">
        <v>92</v>
      </c>
      <c r="AM733" s="12" t="s">
        <v>268</v>
      </c>
      <c r="AN733" s="12" t="s">
        <v>268</v>
      </c>
      <c r="AO733" s="12" t="s">
        <v>268</v>
      </c>
      <c r="AP733" s="12" t="s">
        <v>268</v>
      </c>
      <c r="AQ733" s="12" t="s">
        <v>268</v>
      </c>
      <c r="AR733" s="28" t="str">
        <f t="shared" ca="1" si="58"/>
        <v/>
      </c>
      <c r="AS733" s="28" t="str">
        <f t="shared" ca="1" si="59"/>
        <v/>
      </c>
    </row>
    <row r="734" spans="2:45" ht="27.6" customHeight="1">
      <c r="B734">
        <f t="shared" ca="1" si="55"/>
        <v>0</v>
      </c>
      <c r="C734" t="s">
        <v>85</v>
      </c>
      <c r="D734" t="s">
        <v>92</v>
      </c>
      <c r="E734" t="s">
        <v>92</v>
      </c>
      <c r="F734" t="s">
        <v>92</v>
      </c>
      <c r="G734" t="s">
        <v>92</v>
      </c>
      <c r="H734" t="s">
        <v>92</v>
      </c>
      <c r="I734" s="12" t="s">
        <v>268</v>
      </c>
      <c r="J734" t="s">
        <v>278</v>
      </c>
      <c r="L734" t="s">
        <v>92</v>
      </c>
      <c r="N734" s="14">
        <v>1</v>
      </c>
      <c r="P734" s="12" t="s">
        <v>268</v>
      </c>
      <c r="W734" s="9" t="str">
        <f t="shared" ca="1" si="56"/>
        <v>18.5%</v>
      </c>
      <c r="X734" t="s">
        <v>321</v>
      </c>
      <c r="Y734" s="9" t="str">
        <f t="shared" ca="1" si="57"/>
        <v>Sin costo</v>
      </c>
      <c r="Z734" t="s">
        <v>327</v>
      </c>
      <c r="AA734" t="s">
        <v>329</v>
      </c>
      <c r="AB734" t="s">
        <v>334</v>
      </c>
      <c r="AC734" s="12" t="s">
        <v>339</v>
      </c>
      <c r="AE734" t="s">
        <v>268</v>
      </c>
      <c r="AG734" s="12" t="s">
        <v>268</v>
      </c>
      <c r="AH734" t="s">
        <v>92</v>
      </c>
      <c r="AI734" s="12" t="s">
        <v>268</v>
      </c>
      <c r="AJ734" t="s">
        <v>92</v>
      </c>
      <c r="AK734" t="s">
        <v>92</v>
      </c>
      <c r="AL734" t="s">
        <v>92</v>
      </c>
      <c r="AM734" s="12" t="s">
        <v>268</v>
      </c>
      <c r="AN734" s="12" t="s">
        <v>268</v>
      </c>
      <c r="AO734" s="12" t="s">
        <v>268</v>
      </c>
      <c r="AP734" s="12" t="s">
        <v>268</v>
      </c>
      <c r="AQ734" s="12" t="s">
        <v>268</v>
      </c>
      <c r="AR734" s="28" t="str">
        <f t="shared" ca="1" si="58"/>
        <v/>
      </c>
      <c r="AS734" s="28" t="str">
        <f t="shared" ca="1" si="59"/>
        <v/>
      </c>
    </row>
    <row r="735" spans="2:45" ht="27.6" customHeight="1">
      <c r="B735">
        <f t="shared" ca="1" si="55"/>
        <v>0</v>
      </c>
      <c r="C735" t="s">
        <v>85</v>
      </c>
      <c r="D735" t="s">
        <v>92</v>
      </c>
      <c r="E735" t="s">
        <v>92</v>
      </c>
      <c r="F735" t="s">
        <v>92</v>
      </c>
      <c r="G735" t="s">
        <v>92</v>
      </c>
      <c r="H735" t="s">
        <v>92</v>
      </c>
      <c r="I735" s="12" t="s">
        <v>268</v>
      </c>
      <c r="J735" t="s">
        <v>278</v>
      </c>
      <c r="L735" t="s">
        <v>92</v>
      </c>
      <c r="N735" s="14">
        <v>1</v>
      </c>
      <c r="P735" s="12" t="s">
        <v>268</v>
      </c>
      <c r="W735" s="9" t="str">
        <f t="shared" ca="1" si="56"/>
        <v>18.5%</v>
      </c>
      <c r="X735" t="s">
        <v>321</v>
      </c>
      <c r="Y735" s="9" t="str">
        <f t="shared" ca="1" si="57"/>
        <v>Sin costo</v>
      </c>
      <c r="Z735" t="s">
        <v>327</v>
      </c>
      <c r="AA735" t="s">
        <v>329</v>
      </c>
      <c r="AB735" t="s">
        <v>334</v>
      </c>
      <c r="AC735" s="12" t="s">
        <v>339</v>
      </c>
      <c r="AE735" t="s">
        <v>268</v>
      </c>
      <c r="AG735" s="12" t="s">
        <v>268</v>
      </c>
      <c r="AH735" t="s">
        <v>92</v>
      </c>
      <c r="AI735" s="12" t="s">
        <v>268</v>
      </c>
      <c r="AJ735" t="s">
        <v>92</v>
      </c>
      <c r="AK735" t="s">
        <v>92</v>
      </c>
      <c r="AL735" t="s">
        <v>92</v>
      </c>
      <c r="AM735" s="12" t="s">
        <v>268</v>
      </c>
      <c r="AN735" s="12" t="s">
        <v>268</v>
      </c>
      <c r="AO735" s="12" t="s">
        <v>268</v>
      </c>
      <c r="AP735" s="12" t="s">
        <v>268</v>
      </c>
      <c r="AQ735" s="12" t="s">
        <v>268</v>
      </c>
      <c r="AR735" s="28" t="str">
        <f t="shared" ca="1" si="58"/>
        <v/>
      </c>
      <c r="AS735" s="28" t="str">
        <f t="shared" ca="1" si="59"/>
        <v/>
      </c>
    </row>
    <row r="736" spans="2:45" ht="27.6" customHeight="1">
      <c r="B736">
        <f t="shared" ca="1" si="55"/>
        <v>0</v>
      </c>
      <c r="C736" t="s">
        <v>85</v>
      </c>
      <c r="D736" t="s">
        <v>92</v>
      </c>
      <c r="E736" t="s">
        <v>92</v>
      </c>
      <c r="F736" t="s">
        <v>92</v>
      </c>
      <c r="G736" t="s">
        <v>92</v>
      </c>
      <c r="H736" t="s">
        <v>92</v>
      </c>
      <c r="I736" s="12" t="s">
        <v>268</v>
      </c>
      <c r="J736" t="s">
        <v>278</v>
      </c>
      <c r="L736" t="s">
        <v>92</v>
      </c>
      <c r="N736" s="14">
        <v>1</v>
      </c>
      <c r="P736" s="12" t="s">
        <v>268</v>
      </c>
      <c r="W736" s="9" t="str">
        <f t="shared" ca="1" si="56"/>
        <v>18.5%</v>
      </c>
      <c r="X736" t="s">
        <v>321</v>
      </c>
      <c r="Y736" s="9" t="str">
        <f t="shared" ca="1" si="57"/>
        <v>Sin costo</v>
      </c>
      <c r="Z736" t="s">
        <v>327</v>
      </c>
      <c r="AA736" t="s">
        <v>329</v>
      </c>
      <c r="AB736" t="s">
        <v>334</v>
      </c>
      <c r="AC736" s="12" t="s">
        <v>339</v>
      </c>
      <c r="AE736" t="s">
        <v>268</v>
      </c>
      <c r="AG736" s="12" t="s">
        <v>268</v>
      </c>
      <c r="AH736" t="s">
        <v>92</v>
      </c>
      <c r="AI736" s="12" t="s">
        <v>268</v>
      </c>
      <c r="AJ736" t="s">
        <v>92</v>
      </c>
      <c r="AK736" t="s">
        <v>92</v>
      </c>
      <c r="AL736" t="s">
        <v>92</v>
      </c>
      <c r="AM736" s="12" t="s">
        <v>268</v>
      </c>
      <c r="AN736" s="12" t="s">
        <v>268</v>
      </c>
      <c r="AO736" s="12" t="s">
        <v>268</v>
      </c>
      <c r="AP736" s="12" t="s">
        <v>268</v>
      </c>
      <c r="AQ736" s="12" t="s">
        <v>268</v>
      </c>
      <c r="AR736" s="28" t="str">
        <f t="shared" ca="1" si="58"/>
        <v/>
      </c>
      <c r="AS736" s="28" t="str">
        <f t="shared" ca="1" si="59"/>
        <v/>
      </c>
    </row>
    <row r="737" spans="2:45" ht="27.6" customHeight="1">
      <c r="B737">
        <f t="shared" ca="1" si="55"/>
        <v>0</v>
      </c>
      <c r="C737" t="s">
        <v>85</v>
      </c>
      <c r="D737" t="s">
        <v>92</v>
      </c>
      <c r="E737" t="s">
        <v>92</v>
      </c>
      <c r="F737" t="s">
        <v>92</v>
      </c>
      <c r="G737" t="s">
        <v>92</v>
      </c>
      <c r="H737" t="s">
        <v>92</v>
      </c>
      <c r="I737" s="12" t="s">
        <v>268</v>
      </c>
      <c r="J737" t="s">
        <v>278</v>
      </c>
      <c r="L737" t="s">
        <v>92</v>
      </c>
      <c r="N737" s="14">
        <v>1</v>
      </c>
      <c r="P737" s="12" t="s">
        <v>268</v>
      </c>
      <c r="W737" s="9" t="str">
        <f t="shared" ca="1" si="56"/>
        <v>18.5%</v>
      </c>
      <c r="X737" t="s">
        <v>321</v>
      </c>
      <c r="Y737" s="9" t="str">
        <f t="shared" ca="1" si="57"/>
        <v>Sin costo</v>
      </c>
      <c r="Z737" t="s">
        <v>327</v>
      </c>
      <c r="AA737" t="s">
        <v>329</v>
      </c>
      <c r="AB737" t="s">
        <v>334</v>
      </c>
      <c r="AC737" s="12" t="s">
        <v>339</v>
      </c>
      <c r="AE737" t="s">
        <v>268</v>
      </c>
      <c r="AG737" s="12" t="s">
        <v>268</v>
      </c>
      <c r="AH737" t="s">
        <v>92</v>
      </c>
      <c r="AI737" s="12" t="s">
        <v>268</v>
      </c>
      <c r="AJ737" t="s">
        <v>92</v>
      </c>
      <c r="AK737" t="s">
        <v>92</v>
      </c>
      <c r="AL737" t="s">
        <v>92</v>
      </c>
      <c r="AM737" s="12" t="s">
        <v>268</v>
      </c>
      <c r="AN737" s="12" t="s">
        <v>268</v>
      </c>
      <c r="AO737" s="12" t="s">
        <v>268</v>
      </c>
      <c r="AP737" s="12" t="s">
        <v>268</v>
      </c>
      <c r="AQ737" s="12" t="s">
        <v>268</v>
      </c>
      <c r="AR737" s="28" t="str">
        <f t="shared" ca="1" si="58"/>
        <v/>
      </c>
      <c r="AS737" s="28" t="str">
        <f t="shared" ca="1" si="59"/>
        <v/>
      </c>
    </row>
    <row r="738" spans="2:45" ht="27.6" customHeight="1">
      <c r="B738">
        <f t="shared" ca="1" si="55"/>
        <v>0</v>
      </c>
      <c r="C738" t="s">
        <v>85</v>
      </c>
      <c r="D738" t="s">
        <v>92</v>
      </c>
      <c r="E738" t="s">
        <v>92</v>
      </c>
      <c r="F738" t="s">
        <v>92</v>
      </c>
      <c r="G738" t="s">
        <v>92</v>
      </c>
      <c r="H738" t="s">
        <v>92</v>
      </c>
      <c r="I738" s="12" t="s">
        <v>268</v>
      </c>
      <c r="J738" t="s">
        <v>278</v>
      </c>
      <c r="L738" t="s">
        <v>92</v>
      </c>
      <c r="N738" s="14">
        <v>1</v>
      </c>
      <c r="P738" s="12" t="s">
        <v>268</v>
      </c>
      <c r="W738" s="9" t="str">
        <f t="shared" ca="1" si="56"/>
        <v>18.5%</v>
      </c>
      <c r="X738" t="s">
        <v>321</v>
      </c>
      <c r="Y738" s="9" t="str">
        <f t="shared" ca="1" si="57"/>
        <v>Sin costo</v>
      </c>
      <c r="Z738" t="s">
        <v>327</v>
      </c>
      <c r="AA738" t="s">
        <v>329</v>
      </c>
      <c r="AB738" t="s">
        <v>334</v>
      </c>
      <c r="AC738" s="12" t="s">
        <v>339</v>
      </c>
      <c r="AE738" t="s">
        <v>268</v>
      </c>
      <c r="AG738" s="12" t="s">
        <v>268</v>
      </c>
      <c r="AH738" t="s">
        <v>92</v>
      </c>
      <c r="AI738" s="12" t="s">
        <v>268</v>
      </c>
      <c r="AJ738" t="s">
        <v>92</v>
      </c>
      <c r="AK738" t="s">
        <v>92</v>
      </c>
      <c r="AL738" t="s">
        <v>92</v>
      </c>
      <c r="AM738" s="12" t="s">
        <v>268</v>
      </c>
      <c r="AN738" s="12" t="s">
        <v>268</v>
      </c>
      <c r="AO738" s="12" t="s">
        <v>268</v>
      </c>
      <c r="AP738" s="12" t="s">
        <v>268</v>
      </c>
      <c r="AQ738" s="12" t="s">
        <v>268</v>
      </c>
      <c r="AR738" s="28" t="str">
        <f t="shared" ca="1" si="58"/>
        <v/>
      </c>
      <c r="AS738" s="28" t="str">
        <f t="shared" ca="1" si="59"/>
        <v/>
      </c>
    </row>
    <row r="739" spans="2:45" ht="27.6" customHeight="1">
      <c r="B739">
        <f t="shared" ca="1" si="55"/>
        <v>0</v>
      </c>
      <c r="C739" t="s">
        <v>85</v>
      </c>
      <c r="D739" t="s">
        <v>92</v>
      </c>
      <c r="E739" t="s">
        <v>92</v>
      </c>
      <c r="F739" t="s">
        <v>92</v>
      </c>
      <c r="G739" t="s">
        <v>92</v>
      </c>
      <c r="H739" t="s">
        <v>92</v>
      </c>
      <c r="I739" s="12" t="s">
        <v>268</v>
      </c>
      <c r="J739" t="s">
        <v>278</v>
      </c>
      <c r="L739" t="s">
        <v>92</v>
      </c>
      <c r="N739" s="14">
        <v>1</v>
      </c>
      <c r="P739" s="12" t="s">
        <v>268</v>
      </c>
      <c r="W739" s="9" t="str">
        <f t="shared" ca="1" si="56"/>
        <v>18.5%</v>
      </c>
      <c r="X739" t="s">
        <v>321</v>
      </c>
      <c r="Y739" s="9" t="str">
        <f t="shared" ca="1" si="57"/>
        <v>Sin costo</v>
      </c>
      <c r="Z739" t="s">
        <v>327</v>
      </c>
      <c r="AA739" t="s">
        <v>329</v>
      </c>
      <c r="AB739" t="s">
        <v>334</v>
      </c>
      <c r="AC739" s="12" t="s">
        <v>339</v>
      </c>
      <c r="AE739" t="s">
        <v>268</v>
      </c>
      <c r="AG739" s="12" t="s">
        <v>268</v>
      </c>
      <c r="AH739" t="s">
        <v>92</v>
      </c>
      <c r="AI739" s="12" t="s">
        <v>268</v>
      </c>
      <c r="AJ739" t="s">
        <v>92</v>
      </c>
      <c r="AK739" t="s">
        <v>92</v>
      </c>
      <c r="AL739" t="s">
        <v>92</v>
      </c>
      <c r="AM739" s="12" t="s">
        <v>268</v>
      </c>
      <c r="AN739" s="12" t="s">
        <v>268</v>
      </c>
      <c r="AO739" s="12" t="s">
        <v>268</v>
      </c>
      <c r="AP739" s="12" t="s">
        <v>268</v>
      </c>
      <c r="AQ739" s="12" t="s">
        <v>268</v>
      </c>
      <c r="AR739" s="28" t="str">
        <f t="shared" ca="1" si="58"/>
        <v/>
      </c>
      <c r="AS739" s="28" t="str">
        <f t="shared" ca="1" si="59"/>
        <v/>
      </c>
    </row>
    <row r="740" spans="2:45" ht="27.6" customHeight="1">
      <c r="B740">
        <f t="shared" ca="1" si="55"/>
        <v>0</v>
      </c>
      <c r="C740" t="s">
        <v>85</v>
      </c>
      <c r="D740" t="s">
        <v>92</v>
      </c>
      <c r="E740" t="s">
        <v>92</v>
      </c>
      <c r="F740" t="s">
        <v>92</v>
      </c>
      <c r="G740" t="s">
        <v>92</v>
      </c>
      <c r="H740" t="s">
        <v>92</v>
      </c>
      <c r="I740" s="12" t="s">
        <v>268</v>
      </c>
      <c r="J740" t="s">
        <v>278</v>
      </c>
      <c r="L740" t="s">
        <v>92</v>
      </c>
      <c r="N740" s="14">
        <v>1</v>
      </c>
      <c r="P740" s="12" t="s">
        <v>268</v>
      </c>
      <c r="W740" s="9" t="str">
        <f t="shared" ca="1" si="56"/>
        <v>18.5%</v>
      </c>
      <c r="X740" t="s">
        <v>321</v>
      </c>
      <c r="Y740" s="9" t="str">
        <f t="shared" ca="1" si="57"/>
        <v>Sin costo</v>
      </c>
      <c r="Z740" t="s">
        <v>327</v>
      </c>
      <c r="AA740" t="s">
        <v>329</v>
      </c>
      <c r="AB740" t="s">
        <v>334</v>
      </c>
      <c r="AC740" s="12" t="s">
        <v>339</v>
      </c>
      <c r="AE740" t="s">
        <v>268</v>
      </c>
      <c r="AG740" s="12" t="s">
        <v>268</v>
      </c>
      <c r="AH740" t="s">
        <v>92</v>
      </c>
      <c r="AI740" s="12" t="s">
        <v>268</v>
      </c>
      <c r="AJ740" t="s">
        <v>92</v>
      </c>
      <c r="AK740" t="s">
        <v>92</v>
      </c>
      <c r="AL740" t="s">
        <v>92</v>
      </c>
      <c r="AM740" s="12" t="s">
        <v>268</v>
      </c>
      <c r="AN740" s="12" t="s">
        <v>268</v>
      </c>
      <c r="AO740" s="12" t="s">
        <v>268</v>
      </c>
      <c r="AP740" s="12" t="s">
        <v>268</v>
      </c>
      <c r="AQ740" s="12" t="s">
        <v>268</v>
      </c>
      <c r="AR740" s="28" t="str">
        <f t="shared" ca="1" si="58"/>
        <v/>
      </c>
      <c r="AS740" s="28" t="str">
        <f t="shared" ca="1" si="59"/>
        <v/>
      </c>
    </row>
    <row r="741" spans="2:45" ht="27.6" customHeight="1">
      <c r="B741">
        <f t="shared" ca="1" si="55"/>
        <v>0</v>
      </c>
      <c r="C741" t="s">
        <v>85</v>
      </c>
      <c r="D741" t="s">
        <v>92</v>
      </c>
      <c r="E741" t="s">
        <v>92</v>
      </c>
      <c r="F741" t="s">
        <v>92</v>
      </c>
      <c r="G741" t="s">
        <v>92</v>
      </c>
      <c r="H741" t="s">
        <v>92</v>
      </c>
      <c r="I741" s="12" t="s">
        <v>268</v>
      </c>
      <c r="J741" t="s">
        <v>278</v>
      </c>
      <c r="L741" t="s">
        <v>92</v>
      </c>
      <c r="N741" s="14">
        <v>1</v>
      </c>
      <c r="P741" s="12" t="s">
        <v>268</v>
      </c>
      <c r="W741" s="9" t="str">
        <f t="shared" ca="1" si="56"/>
        <v>18.5%</v>
      </c>
      <c r="X741" t="s">
        <v>321</v>
      </c>
      <c r="Y741" s="9" t="str">
        <f t="shared" ca="1" si="57"/>
        <v>Sin costo</v>
      </c>
      <c r="Z741" t="s">
        <v>327</v>
      </c>
      <c r="AA741" t="s">
        <v>329</v>
      </c>
      <c r="AB741" t="s">
        <v>334</v>
      </c>
      <c r="AC741" s="12" t="s">
        <v>339</v>
      </c>
      <c r="AE741" t="s">
        <v>268</v>
      </c>
      <c r="AG741" s="12" t="s">
        <v>268</v>
      </c>
      <c r="AH741" t="s">
        <v>92</v>
      </c>
      <c r="AI741" s="12" t="s">
        <v>268</v>
      </c>
      <c r="AJ741" t="s">
        <v>92</v>
      </c>
      <c r="AK741" t="s">
        <v>92</v>
      </c>
      <c r="AL741" t="s">
        <v>92</v>
      </c>
      <c r="AM741" s="12" t="s">
        <v>268</v>
      </c>
      <c r="AN741" s="12" t="s">
        <v>268</v>
      </c>
      <c r="AO741" s="12" t="s">
        <v>268</v>
      </c>
      <c r="AP741" s="12" t="s">
        <v>268</v>
      </c>
      <c r="AQ741" s="12" t="s">
        <v>268</v>
      </c>
      <c r="AR741" s="28" t="str">
        <f t="shared" ca="1" si="58"/>
        <v/>
      </c>
      <c r="AS741" s="28" t="str">
        <f t="shared" ca="1" si="59"/>
        <v/>
      </c>
    </row>
    <row r="742" spans="2:45" ht="27.6" customHeight="1">
      <c r="B742">
        <f t="shared" ca="1" si="55"/>
        <v>0</v>
      </c>
      <c r="C742" t="s">
        <v>85</v>
      </c>
      <c r="D742" t="s">
        <v>92</v>
      </c>
      <c r="E742" t="s">
        <v>92</v>
      </c>
      <c r="F742" t="s">
        <v>92</v>
      </c>
      <c r="G742" t="s">
        <v>92</v>
      </c>
      <c r="H742" t="s">
        <v>92</v>
      </c>
      <c r="I742" s="12" t="s">
        <v>268</v>
      </c>
      <c r="J742" t="s">
        <v>278</v>
      </c>
      <c r="L742" t="s">
        <v>92</v>
      </c>
      <c r="N742" s="14">
        <v>1</v>
      </c>
      <c r="P742" s="12" t="s">
        <v>268</v>
      </c>
      <c r="W742" s="9" t="str">
        <f t="shared" ca="1" si="56"/>
        <v>18.5%</v>
      </c>
      <c r="X742" t="s">
        <v>321</v>
      </c>
      <c r="Y742" s="9" t="str">
        <f t="shared" ca="1" si="57"/>
        <v>Sin costo</v>
      </c>
      <c r="Z742" t="s">
        <v>327</v>
      </c>
      <c r="AA742" t="s">
        <v>329</v>
      </c>
      <c r="AB742" t="s">
        <v>334</v>
      </c>
      <c r="AC742" s="12" t="s">
        <v>339</v>
      </c>
      <c r="AE742" t="s">
        <v>268</v>
      </c>
      <c r="AG742" s="12" t="s">
        <v>268</v>
      </c>
      <c r="AH742" t="s">
        <v>92</v>
      </c>
      <c r="AI742" s="12" t="s">
        <v>268</v>
      </c>
      <c r="AJ742" t="s">
        <v>92</v>
      </c>
      <c r="AK742" t="s">
        <v>92</v>
      </c>
      <c r="AL742" t="s">
        <v>92</v>
      </c>
      <c r="AM742" s="12" t="s">
        <v>268</v>
      </c>
      <c r="AN742" s="12" t="s">
        <v>268</v>
      </c>
      <c r="AO742" s="12" t="s">
        <v>268</v>
      </c>
      <c r="AP742" s="12" t="s">
        <v>268</v>
      </c>
      <c r="AQ742" s="12" t="s">
        <v>268</v>
      </c>
      <c r="AR742" s="28" t="str">
        <f t="shared" ca="1" si="58"/>
        <v/>
      </c>
      <c r="AS742" s="28" t="str">
        <f t="shared" ca="1" si="59"/>
        <v/>
      </c>
    </row>
    <row r="743" spans="2:45" ht="27.6" customHeight="1">
      <c r="B743">
        <f t="shared" ca="1" si="55"/>
        <v>0</v>
      </c>
      <c r="C743" t="s">
        <v>85</v>
      </c>
      <c r="D743" t="s">
        <v>92</v>
      </c>
      <c r="E743" t="s">
        <v>92</v>
      </c>
      <c r="F743" t="s">
        <v>92</v>
      </c>
      <c r="G743" t="s">
        <v>92</v>
      </c>
      <c r="H743" t="s">
        <v>92</v>
      </c>
      <c r="I743" s="12" t="s">
        <v>268</v>
      </c>
      <c r="J743" t="s">
        <v>278</v>
      </c>
      <c r="L743" t="s">
        <v>92</v>
      </c>
      <c r="N743" s="14">
        <v>1</v>
      </c>
      <c r="P743" s="12" t="s">
        <v>268</v>
      </c>
      <c r="W743" s="9" t="str">
        <f t="shared" ca="1" si="56"/>
        <v>18.5%</v>
      </c>
      <c r="X743" t="s">
        <v>321</v>
      </c>
      <c r="Y743" s="9" t="str">
        <f t="shared" ca="1" si="57"/>
        <v>Sin costo</v>
      </c>
      <c r="Z743" t="s">
        <v>327</v>
      </c>
      <c r="AA743" t="s">
        <v>329</v>
      </c>
      <c r="AB743" t="s">
        <v>334</v>
      </c>
      <c r="AC743" s="12" t="s">
        <v>339</v>
      </c>
      <c r="AE743" t="s">
        <v>268</v>
      </c>
      <c r="AG743" s="12" t="s">
        <v>268</v>
      </c>
      <c r="AH743" t="s">
        <v>92</v>
      </c>
      <c r="AI743" s="12" t="s">
        <v>268</v>
      </c>
      <c r="AJ743" t="s">
        <v>92</v>
      </c>
      <c r="AK743" t="s">
        <v>92</v>
      </c>
      <c r="AL743" t="s">
        <v>92</v>
      </c>
      <c r="AM743" s="12" t="s">
        <v>268</v>
      </c>
      <c r="AN743" s="12" t="s">
        <v>268</v>
      </c>
      <c r="AO743" s="12" t="s">
        <v>268</v>
      </c>
      <c r="AP743" s="12" t="s">
        <v>268</v>
      </c>
      <c r="AQ743" s="12" t="s">
        <v>268</v>
      </c>
      <c r="AR743" s="28" t="str">
        <f t="shared" ca="1" si="58"/>
        <v/>
      </c>
      <c r="AS743" s="28" t="str">
        <f t="shared" ca="1" si="59"/>
        <v/>
      </c>
    </row>
    <row r="744" spans="2:45" ht="27.6" customHeight="1">
      <c r="B744">
        <f t="shared" ca="1" si="55"/>
        <v>0</v>
      </c>
      <c r="C744" t="s">
        <v>85</v>
      </c>
      <c r="D744" t="s">
        <v>92</v>
      </c>
      <c r="E744" t="s">
        <v>92</v>
      </c>
      <c r="F744" t="s">
        <v>92</v>
      </c>
      <c r="G744" t="s">
        <v>92</v>
      </c>
      <c r="H744" t="s">
        <v>92</v>
      </c>
      <c r="I744" s="12" t="s">
        <v>268</v>
      </c>
      <c r="J744" t="s">
        <v>278</v>
      </c>
      <c r="L744" t="s">
        <v>92</v>
      </c>
      <c r="N744" s="14">
        <v>1</v>
      </c>
      <c r="P744" s="12" t="s">
        <v>268</v>
      </c>
      <c r="W744" s="9" t="str">
        <f t="shared" ca="1" si="56"/>
        <v>18.5%</v>
      </c>
      <c r="X744" t="s">
        <v>321</v>
      </c>
      <c r="Y744" s="9" t="str">
        <f t="shared" ca="1" si="57"/>
        <v>Sin costo</v>
      </c>
      <c r="Z744" t="s">
        <v>327</v>
      </c>
      <c r="AA744" t="s">
        <v>329</v>
      </c>
      <c r="AB744" t="s">
        <v>334</v>
      </c>
      <c r="AC744" s="12" t="s">
        <v>339</v>
      </c>
      <c r="AE744" t="s">
        <v>268</v>
      </c>
      <c r="AG744" s="12" t="s">
        <v>268</v>
      </c>
      <c r="AH744" t="s">
        <v>92</v>
      </c>
      <c r="AI744" s="12" t="s">
        <v>268</v>
      </c>
      <c r="AJ744" t="s">
        <v>92</v>
      </c>
      <c r="AK744" t="s">
        <v>92</v>
      </c>
      <c r="AL744" t="s">
        <v>92</v>
      </c>
      <c r="AM744" s="12" t="s">
        <v>268</v>
      </c>
      <c r="AN744" s="12" t="s">
        <v>268</v>
      </c>
      <c r="AO744" s="12" t="s">
        <v>268</v>
      </c>
      <c r="AP744" s="12" t="s">
        <v>268</v>
      </c>
      <c r="AQ744" s="12" t="s">
        <v>268</v>
      </c>
      <c r="AR744" s="28" t="str">
        <f t="shared" ca="1" si="58"/>
        <v/>
      </c>
      <c r="AS744" s="28" t="str">
        <f t="shared" ca="1" si="59"/>
        <v/>
      </c>
    </row>
    <row r="745" spans="2:45" ht="27.6" customHeight="1">
      <c r="B745">
        <f t="shared" ca="1" si="55"/>
        <v>0</v>
      </c>
      <c r="C745" t="s">
        <v>85</v>
      </c>
      <c r="D745" t="s">
        <v>92</v>
      </c>
      <c r="E745" t="s">
        <v>92</v>
      </c>
      <c r="F745" t="s">
        <v>92</v>
      </c>
      <c r="G745" t="s">
        <v>92</v>
      </c>
      <c r="H745" t="s">
        <v>92</v>
      </c>
      <c r="I745" s="12" t="s">
        <v>268</v>
      </c>
      <c r="J745" t="s">
        <v>278</v>
      </c>
      <c r="L745" t="s">
        <v>92</v>
      </c>
      <c r="N745" s="14">
        <v>1</v>
      </c>
      <c r="P745" s="12" t="s">
        <v>268</v>
      </c>
      <c r="W745" s="9" t="str">
        <f t="shared" ca="1" si="56"/>
        <v>18.5%</v>
      </c>
      <c r="X745" t="s">
        <v>321</v>
      </c>
      <c r="Y745" s="9" t="str">
        <f t="shared" ca="1" si="57"/>
        <v>Sin costo</v>
      </c>
      <c r="Z745" t="s">
        <v>327</v>
      </c>
      <c r="AA745" t="s">
        <v>329</v>
      </c>
      <c r="AB745" t="s">
        <v>334</v>
      </c>
      <c r="AC745" s="12" t="s">
        <v>339</v>
      </c>
      <c r="AE745" t="s">
        <v>268</v>
      </c>
      <c r="AG745" s="12" t="s">
        <v>268</v>
      </c>
      <c r="AH745" t="s">
        <v>92</v>
      </c>
      <c r="AI745" s="12" t="s">
        <v>268</v>
      </c>
      <c r="AJ745" t="s">
        <v>92</v>
      </c>
      <c r="AK745" t="s">
        <v>92</v>
      </c>
      <c r="AL745" t="s">
        <v>92</v>
      </c>
      <c r="AM745" s="12" t="s">
        <v>268</v>
      </c>
      <c r="AN745" s="12" t="s">
        <v>268</v>
      </c>
      <c r="AO745" s="12" t="s">
        <v>268</v>
      </c>
      <c r="AP745" s="12" t="s">
        <v>268</v>
      </c>
      <c r="AQ745" s="12" t="s">
        <v>268</v>
      </c>
      <c r="AR745" s="28" t="str">
        <f t="shared" ca="1" si="58"/>
        <v/>
      </c>
      <c r="AS745" s="28" t="str">
        <f t="shared" ca="1" si="59"/>
        <v/>
      </c>
    </row>
    <row r="746" spans="2:45" ht="27.6" customHeight="1">
      <c r="B746">
        <f t="shared" ca="1" si="55"/>
        <v>0</v>
      </c>
      <c r="C746" t="s">
        <v>85</v>
      </c>
      <c r="D746" t="s">
        <v>92</v>
      </c>
      <c r="E746" t="s">
        <v>92</v>
      </c>
      <c r="F746" t="s">
        <v>92</v>
      </c>
      <c r="G746" t="s">
        <v>92</v>
      </c>
      <c r="H746" t="s">
        <v>92</v>
      </c>
      <c r="I746" s="12" t="s">
        <v>268</v>
      </c>
      <c r="J746" t="s">
        <v>278</v>
      </c>
      <c r="L746" t="s">
        <v>92</v>
      </c>
      <c r="N746" s="14">
        <v>1</v>
      </c>
      <c r="P746" s="12" t="s">
        <v>268</v>
      </c>
      <c r="W746" s="9" t="str">
        <f t="shared" ca="1" si="56"/>
        <v>18.5%</v>
      </c>
      <c r="X746" t="s">
        <v>321</v>
      </c>
      <c r="Y746" s="9" t="str">
        <f t="shared" ca="1" si="57"/>
        <v>Sin costo</v>
      </c>
      <c r="Z746" t="s">
        <v>327</v>
      </c>
      <c r="AA746" t="s">
        <v>329</v>
      </c>
      <c r="AB746" t="s">
        <v>334</v>
      </c>
      <c r="AC746" s="12" t="s">
        <v>339</v>
      </c>
      <c r="AE746" t="s">
        <v>268</v>
      </c>
      <c r="AG746" s="12" t="s">
        <v>268</v>
      </c>
      <c r="AH746" t="s">
        <v>92</v>
      </c>
      <c r="AI746" s="12" t="s">
        <v>268</v>
      </c>
      <c r="AJ746" t="s">
        <v>92</v>
      </c>
      <c r="AK746" t="s">
        <v>92</v>
      </c>
      <c r="AL746" t="s">
        <v>92</v>
      </c>
      <c r="AM746" s="12" t="s">
        <v>268</v>
      </c>
      <c r="AN746" s="12" t="s">
        <v>268</v>
      </c>
      <c r="AO746" s="12" t="s">
        <v>268</v>
      </c>
      <c r="AP746" s="12" t="s">
        <v>268</v>
      </c>
      <c r="AQ746" s="12" t="s">
        <v>268</v>
      </c>
      <c r="AR746" s="28" t="str">
        <f t="shared" ca="1" si="58"/>
        <v/>
      </c>
      <c r="AS746" s="28" t="str">
        <f t="shared" ca="1" si="59"/>
        <v/>
      </c>
    </row>
    <row r="747" spans="2:45" ht="27.6" customHeight="1">
      <c r="B747">
        <f t="shared" ca="1" si="55"/>
        <v>0</v>
      </c>
      <c r="C747" t="s">
        <v>85</v>
      </c>
      <c r="D747" t="s">
        <v>92</v>
      </c>
      <c r="E747" t="s">
        <v>92</v>
      </c>
      <c r="F747" t="s">
        <v>92</v>
      </c>
      <c r="G747" t="s">
        <v>92</v>
      </c>
      <c r="H747" t="s">
        <v>92</v>
      </c>
      <c r="I747" s="12" t="s">
        <v>268</v>
      </c>
      <c r="J747" t="s">
        <v>278</v>
      </c>
      <c r="L747" t="s">
        <v>92</v>
      </c>
      <c r="N747" s="14">
        <v>1</v>
      </c>
      <c r="P747" s="12" t="s">
        <v>268</v>
      </c>
      <c r="W747" s="9" t="str">
        <f t="shared" ca="1" si="56"/>
        <v>18.5%</v>
      </c>
      <c r="X747" t="s">
        <v>321</v>
      </c>
      <c r="Y747" s="9" t="str">
        <f t="shared" ca="1" si="57"/>
        <v>Sin costo</v>
      </c>
      <c r="Z747" t="s">
        <v>327</v>
      </c>
      <c r="AA747" t="s">
        <v>329</v>
      </c>
      <c r="AB747" t="s">
        <v>334</v>
      </c>
      <c r="AC747" s="12" t="s">
        <v>339</v>
      </c>
      <c r="AE747" t="s">
        <v>268</v>
      </c>
      <c r="AG747" s="12" t="s">
        <v>268</v>
      </c>
      <c r="AH747" t="s">
        <v>92</v>
      </c>
      <c r="AI747" s="12" t="s">
        <v>268</v>
      </c>
      <c r="AJ747" t="s">
        <v>92</v>
      </c>
      <c r="AK747" t="s">
        <v>92</v>
      </c>
      <c r="AL747" t="s">
        <v>92</v>
      </c>
      <c r="AM747" s="12" t="s">
        <v>268</v>
      </c>
      <c r="AN747" s="12" t="s">
        <v>268</v>
      </c>
      <c r="AO747" s="12" t="s">
        <v>268</v>
      </c>
      <c r="AP747" s="12" t="s">
        <v>268</v>
      </c>
      <c r="AQ747" s="12" t="s">
        <v>268</v>
      </c>
      <c r="AR747" s="28" t="str">
        <f t="shared" ca="1" si="58"/>
        <v/>
      </c>
      <c r="AS747" s="28" t="str">
        <f t="shared" ca="1" si="59"/>
        <v/>
      </c>
    </row>
    <row r="748" spans="2:45" ht="27.6" customHeight="1">
      <c r="B748">
        <f t="shared" ca="1" si="55"/>
        <v>0</v>
      </c>
      <c r="C748" t="s">
        <v>85</v>
      </c>
      <c r="D748" t="s">
        <v>92</v>
      </c>
      <c r="E748" t="s">
        <v>92</v>
      </c>
      <c r="F748" t="s">
        <v>92</v>
      </c>
      <c r="G748" t="s">
        <v>92</v>
      </c>
      <c r="H748" t="s">
        <v>92</v>
      </c>
      <c r="I748" s="12" t="s">
        <v>268</v>
      </c>
      <c r="J748" t="s">
        <v>278</v>
      </c>
      <c r="L748" t="s">
        <v>92</v>
      </c>
      <c r="N748" s="14">
        <v>1</v>
      </c>
      <c r="P748" s="12" t="s">
        <v>268</v>
      </c>
      <c r="W748" s="9" t="str">
        <f t="shared" ca="1" si="56"/>
        <v>18.5%</v>
      </c>
      <c r="X748" t="s">
        <v>321</v>
      </c>
      <c r="Y748" s="9" t="str">
        <f t="shared" ca="1" si="57"/>
        <v>Sin costo</v>
      </c>
      <c r="Z748" t="s">
        <v>327</v>
      </c>
      <c r="AA748" t="s">
        <v>329</v>
      </c>
      <c r="AB748" t="s">
        <v>334</v>
      </c>
      <c r="AC748" s="12" t="s">
        <v>339</v>
      </c>
      <c r="AE748" t="s">
        <v>268</v>
      </c>
      <c r="AG748" s="12" t="s">
        <v>268</v>
      </c>
      <c r="AH748" t="s">
        <v>92</v>
      </c>
      <c r="AI748" s="12" t="s">
        <v>268</v>
      </c>
      <c r="AJ748" t="s">
        <v>92</v>
      </c>
      <c r="AK748" t="s">
        <v>92</v>
      </c>
      <c r="AL748" t="s">
        <v>92</v>
      </c>
      <c r="AM748" s="12" t="s">
        <v>268</v>
      </c>
      <c r="AN748" s="12" t="s">
        <v>268</v>
      </c>
      <c r="AO748" s="12" t="s">
        <v>268</v>
      </c>
      <c r="AP748" s="12" t="s">
        <v>268</v>
      </c>
      <c r="AQ748" s="12" t="s">
        <v>268</v>
      </c>
      <c r="AR748" s="28" t="str">
        <f t="shared" ca="1" si="58"/>
        <v/>
      </c>
      <c r="AS748" s="28" t="str">
        <f t="shared" ca="1" si="59"/>
        <v/>
      </c>
    </row>
    <row r="749" spans="2:45" ht="27.6" customHeight="1">
      <c r="B749">
        <f t="shared" ca="1" si="55"/>
        <v>0</v>
      </c>
      <c r="C749" t="s">
        <v>85</v>
      </c>
      <c r="D749" t="s">
        <v>92</v>
      </c>
      <c r="E749" t="s">
        <v>92</v>
      </c>
      <c r="F749" t="s">
        <v>92</v>
      </c>
      <c r="G749" t="s">
        <v>92</v>
      </c>
      <c r="H749" t="s">
        <v>92</v>
      </c>
      <c r="I749" s="12" t="s">
        <v>268</v>
      </c>
      <c r="J749" t="s">
        <v>278</v>
      </c>
      <c r="L749" t="s">
        <v>92</v>
      </c>
      <c r="N749" s="14">
        <v>1</v>
      </c>
      <c r="P749" s="12" t="s">
        <v>268</v>
      </c>
      <c r="W749" s="9" t="str">
        <f t="shared" ca="1" si="56"/>
        <v>18.5%</v>
      </c>
      <c r="X749" t="s">
        <v>321</v>
      </c>
      <c r="Y749" s="9" t="str">
        <f t="shared" ca="1" si="57"/>
        <v>Sin costo</v>
      </c>
      <c r="Z749" t="s">
        <v>327</v>
      </c>
      <c r="AA749" t="s">
        <v>329</v>
      </c>
      <c r="AB749" t="s">
        <v>334</v>
      </c>
      <c r="AC749" s="12" t="s">
        <v>339</v>
      </c>
      <c r="AE749" t="s">
        <v>268</v>
      </c>
      <c r="AG749" s="12" t="s">
        <v>268</v>
      </c>
      <c r="AH749" t="s">
        <v>92</v>
      </c>
      <c r="AI749" s="12" t="s">
        <v>268</v>
      </c>
      <c r="AJ749" t="s">
        <v>92</v>
      </c>
      <c r="AK749" t="s">
        <v>92</v>
      </c>
      <c r="AL749" t="s">
        <v>92</v>
      </c>
      <c r="AM749" s="12" t="s">
        <v>268</v>
      </c>
      <c r="AN749" s="12" t="s">
        <v>268</v>
      </c>
      <c r="AO749" s="12" t="s">
        <v>268</v>
      </c>
      <c r="AP749" s="12" t="s">
        <v>268</v>
      </c>
      <c r="AQ749" s="12" t="s">
        <v>268</v>
      </c>
      <c r="AR749" s="28" t="str">
        <f t="shared" ca="1" si="58"/>
        <v/>
      </c>
      <c r="AS749" s="28" t="str">
        <f t="shared" ca="1" si="59"/>
        <v/>
      </c>
    </row>
    <row r="750" spans="2:45" ht="27.6" customHeight="1">
      <c r="B750">
        <f t="shared" ca="1" si="55"/>
        <v>0</v>
      </c>
      <c r="C750" t="s">
        <v>85</v>
      </c>
      <c r="D750" t="s">
        <v>92</v>
      </c>
      <c r="E750" t="s">
        <v>92</v>
      </c>
      <c r="F750" t="s">
        <v>92</v>
      </c>
      <c r="G750" t="s">
        <v>92</v>
      </c>
      <c r="H750" t="s">
        <v>92</v>
      </c>
      <c r="I750" s="12" t="s">
        <v>268</v>
      </c>
      <c r="J750" t="s">
        <v>278</v>
      </c>
      <c r="L750" t="s">
        <v>92</v>
      </c>
      <c r="N750" s="14">
        <v>1</v>
      </c>
      <c r="P750" s="12" t="s">
        <v>268</v>
      </c>
      <c r="W750" s="9" t="str">
        <f t="shared" ca="1" si="56"/>
        <v>18.5%</v>
      </c>
      <c r="X750" t="s">
        <v>321</v>
      </c>
      <c r="Y750" s="9" t="str">
        <f t="shared" ca="1" si="57"/>
        <v>Sin costo</v>
      </c>
      <c r="Z750" t="s">
        <v>327</v>
      </c>
      <c r="AA750" t="s">
        <v>329</v>
      </c>
      <c r="AB750" t="s">
        <v>334</v>
      </c>
      <c r="AC750" s="12" t="s">
        <v>339</v>
      </c>
      <c r="AE750" t="s">
        <v>268</v>
      </c>
      <c r="AG750" s="12" t="s">
        <v>268</v>
      </c>
      <c r="AH750" t="s">
        <v>92</v>
      </c>
      <c r="AI750" s="12" t="s">
        <v>268</v>
      </c>
      <c r="AJ750" t="s">
        <v>92</v>
      </c>
      <c r="AK750" t="s">
        <v>92</v>
      </c>
      <c r="AL750" t="s">
        <v>92</v>
      </c>
      <c r="AM750" s="12" t="s">
        <v>268</v>
      </c>
      <c r="AN750" s="12" t="s">
        <v>268</v>
      </c>
      <c r="AO750" s="12" t="s">
        <v>268</v>
      </c>
      <c r="AP750" s="12" t="s">
        <v>268</v>
      </c>
      <c r="AQ750" s="12" t="s">
        <v>268</v>
      </c>
      <c r="AR750" s="28" t="str">
        <f t="shared" ca="1" si="58"/>
        <v/>
      </c>
      <c r="AS750" s="28" t="str">
        <f t="shared" ca="1" si="59"/>
        <v/>
      </c>
    </row>
    <row r="751" spans="2:45" ht="27.6" customHeight="1">
      <c r="B751">
        <f t="shared" ca="1" si="55"/>
        <v>0</v>
      </c>
      <c r="C751" t="s">
        <v>85</v>
      </c>
      <c r="D751" t="s">
        <v>92</v>
      </c>
      <c r="E751" t="s">
        <v>92</v>
      </c>
      <c r="F751" t="s">
        <v>92</v>
      </c>
      <c r="G751" t="s">
        <v>92</v>
      </c>
      <c r="H751" t="s">
        <v>92</v>
      </c>
      <c r="I751" s="12" t="s">
        <v>268</v>
      </c>
      <c r="J751" t="s">
        <v>278</v>
      </c>
      <c r="L751" t="s">
        <v>92</v>
      </c>
      <c r="N751" s="14">
        <v>1</v>
      </c>
      <c r="P751" s="12" t="s">
        <v>268</v>
      </c>
      <c r="W751" s="9" t="str">
        <f t="shared" ca="1" si="56"/>
        <v>18.5%</v>
      </c>
      <c r="X751" t="s">
        <v>321</v>
      </c>
      <c r="Y751" s="9" t="str">
        <f t="shared" ca="1" si="57"/>
        <v>Sin costo</v>
      </c>
      <c r="Z751" t="s">
        <v>327</v>
      </c>
      <c r="AA751" t="s">
        <v>329</v>
      </c>
      <c r="AB751" t="s">
        <v>334</v>
      </c>
      <c r="AC751" s="12" t="s">
        <v>339</v>
      </c>
      <c r="AE751" t="s">
        <v>268</v>
      </c>
      <c r="AG751" s="12" t="s">
        <v>268</v>
      </c>
      <c r="AH751" t="s">
        <v>92</v>
      </c>
      <c r="AI751" s="12" t="s">
        <v>268</v>
      </c>
      <c r="AJ751" t="s">
        <v>92</v>
      </c>
      <c r="AK751" t="s">
        <v>92</v>
      </c>
      <c r="AL751" t="s">
        <v>92</v>
      </c>
      <c r="AM751" s="12" t="s">
        <v>268</v>
      </c>
      <c r="AN751" s="12" t="s">
        <v>268</v>
      </c>
      <c r="AO751" s="12" t="s">
        <v>268</v>
      </c>
      <c r="AP751" s="12" t="s">
        <v>268</v>
      </c>
      <c r="AQ751" s="12" t="s">
        <v>268</v>
      </c>
      <c r="AR751" s="28" t="str">
        <f t="shared" ca="1" si="58"/>
        <v/>
      </c>
      <c r="AS751" s="28" t="str">
        <f t="shared" ca="1" si="59"/>
        <v/>
      </c>
    </row>
    <row r="752" spans="2:45" ht="27.6" customHeight="1">
      <c r="B752">
        <f t="shared" ca="1" si="55"/>
        <v>0</v>
      </c>
      <c r="C752" t="s">
        <v>85</v>
      </c>
      <c r="D752" t="s">
        <v>92</v>
      </c>
      <c r="E752" t="s">
        <v>92</v>
      </c>
      <c r="F752" t="s">
        <v>92</v>
      </c>
      <c r="G752" t="s">
        <v>92</v>
      </c>
      <c r="H752" t="s">
        <v>92</v>
      </c>
      <c r="I752" s="12" t="s">
        <v>268</v>
      </c>
      <c r="J752" t="s">
        <v>278</v>
      </c>
      <c r="L752" t="s">
        <v>92</v>
      </c>
      <c r="N752" s="14">
        <v>1</v>
      </c>
      <c r="P752" s="12" t="s">
        <v>268</v>
      </c>
      <c r="W752" s="9" t="str">
        <f t="shared" ca="1" si="56"/>
        <v>18.5%</v>
      </c>
      <c r="X752" t="s">
        <v>321</v>
      </c>
      <c r="Y752" s="9" t="str">
        <f t="shared" ca="1" si="57"/>
        <v>Sin costo</v>
      </c>
      <c r="Z752" t="s">
        <v>327</v>
      </c>
      <c r="AA752" t="s">
        <v>329</v>
      </c>
      <c r="AB752" t="s">
        <v>334</v>
      </c>
      <c r="AC752" s="12" t="s">
        <v>339</v>
      </c>
      <c r="AE752" t="s">
        <v>268</v>
      </c>
      <c r="AG752" s="12" t="s">
        <v>268</v>
      </c>
      <c r="AH752" t="s">
        <v>92</v>
      </c>
      <c r="AI752" s="12" t="s">
        <v>268</v>
      </c>
      <c r="AJ752" t="s">
        <v>92</v>
      </c>
      <c r="AK752" t="s">
        <v>92</v>
      </c>
      <c r="AL752" t="s">
        <v>92</v>
      </c>
      <c r="AM752" s="12" t="s">
        <v>268</v>
      </c>
      <c r="AN752" s="12" t="s">
        <v>268</v>
      </c>
      <c r="AO752" s="12" t="s">
        <v>268</v>
      </c>
      <c r="AP752" s="12" t="s">
        <v>268</v>
      </c>
      <c r="AQ752" s="12" t="s">
        <v>268</v>
      </c>
      <c r="AR752" s="28" t="str">
        <f t="shared" ca="1" si="58"/>
        <v/>
      </c>
      <c r="AS752" s="28" t="str">
        <f t="shared" ca="1" si="59"/>
        <v/>
      </c>
    </row>
    <row r="753" spans="2:45" ht="27.6" customHeight="1">
      <c r="B753">
        <f t="shared" ca="1" si="55"/>
        <v>0</v>
      </c>
      <c r="C753" t="s">
        <v>85</v>
      </c>
      <c r="D753" t="s">
        <v>92</v>
      </c>
      <c r="E753" t="s">
        <v>92</v>
      </c>
      <c r="F753" t="s">
        <v>92</v>
      </c>
      <c r="G753" t="s">
        <v>92</v>
      </c>
      <c r="H753" t="s">
        <v>92</v>
      </c>
      <c r="I753" s="12" t="s">
        <v>268</v>
      </c>
      <c r="J753" t="s">
        <v>278</v>
      </c>
      <c r="L753" t="s">
        <v>92</v>
      </c>
      <c r="N753" s="14">
        <v>1</v>
      </c>
      <c r="P753" s="12" t="s">
        <v>268</v>
      </c>
      <c r="W753" s="9" t="str">
        <f t="shared" ca="1" si="56"/>
        <v>18.5%</v>
      </c>
      <c r="X753" t="s">
        <v>321</v>
      </c>
      <c r="Y753" s="9" t="str">
        <f t="shared" ca="1" si="57"/>
        <v>Sin costo</v>
      </c>
      <c r="Z753" t="s">
        <v>327</v>
      </c>
      <c r="AA753" t="s">
        <v>329</v>
      </c>
      <c r="AB753" t="s">
        <v>334</v>
      </c>
      <c r="AC753" s="12" t="s">
        <v>339</v>
      </c>
      <c r="AE753" t="s">
        <v>268</v>
      </c>
      <c r="AG753" s="12" t="s">
        <v>268</v>
      </c>
      <c r="AH753" t="s">
        <v>92</v>
      </c>
      <c r="AI753" s="12" t="s">
        <v>268</v>
      </c>
      <c r="AJ753" t="s">
        <v>92</v>
      </c>
      <c r="AK753" t="s">
        <v>92</v>
      </c>
      <c r="AL753" t="s">
        <v>92</v>
      </c>
      <c r="AM753" s="12" t="s">
        <v>268</v>
      </c>
      <c r="AN753" s="12" t="s">
        <v>268</v>
      </c>
      <c r="AO753" s="12" t="s">
        <v>268</v>
      </c>
      <c r="AP753" s="12" t="s">
        <v>268</v>
      </c>
      <c r="AQ753" s="12" t="s">
        <v>268</v>
      </c>
      <c r="AR753" s="28" t="str">
        <f t="shared" ca="1" si="58"/>
        <v/>
      </c>
      <c r="AS753" s="28" t="str">
        <f t="shared" ca="1" si="59"/>
        <v/>
      </c>
    </row>
    <row r="754" spans="2:45" ht="27.6" customHeight="1">
      <c r="B754">
        <f t="shared" ca="1" si="55"/>
        <v>0</v>
      </c>
      <c r="C754" t="s">
        <v>85</v>
      </c>
      <c r="D754" t="s">
        <v>92</v>
      </c>
      <c r="E754" t="s">
        <v>92</v>
      </c>
      <c r="F754" t="s">
        <v>92</v>
      </c>
      <c r="G754" t="s">
        <v>92</v>
      </c>
      <c r="H754" t="s">
        <v>92</v>
      </c>
      <c r="I754" s="12" t="s">
        <v>268</v>
      </c>
      <c r="J754" t="s">
        <v>278</v>
      </c>
      <c r="L754" t="s">
        <v>92</v>
      </c>
      <c r="N754" s="14">
        <v>1</v>
      </c>
      <c r="P754" s="12" t="s">
        <v>268</v>
      </c>
      <c r="W754" s="9" t="str">
        <f t="shared" ca="1" si="56"/>
        <v>18.5%</v>
      </c>
      <c r="X754" t="s">
        <v>321</v>
      </c>
      <c r="Y754" s="9" t="str">
        <f t="shared" ca="1" si="57"/>
        <v>Sin costo</v>
      </c>
      <c r="Z754" t="s">
        <v>327</v>
      </c>
      <c r="AA754" t="s">
        <v>329</v>
      </c>
      <c r="AB754" t="s">
        <v>334</v>
      </c>
      <c r="AC754" s="12" t="s">
        <v>339</v>
      </c>
      <c r="AE754" t="s">
        <v>268</v>
      </c>
      <c r="AG754" s="12" t="s">
        <v>268</v>
      </c>
      <c r="AH754" t="s">
        <v>92</v>
      </c>
      <c r="AI754" s="12" t="s">
        <v>268</v>
      </c>
      <c r="AJ754" t="s">
        <v>92</v>
      </c>
      <c r="AK754" t="s">
        <v>92</v>
      </c>
      <c r="AL754" t="s">
        <v>92</v>
      </c>
      <c r="AM754" s="12" t="s">
        <v>268</v>
      </c>
      <c r="AN754" s="12" t="s">
        <v>268</v>
      </c>
      <c r="AO754" s="12" t="s">
        <v>268</v>
      </c>
      <c r="AP754" s="12" t="s">
        <v>268</v>
      </c>
      <c r="AQ754" s="12" t="s">
        <v>268</v>
      </c>
      <c r="AR754" s="28" t="str">
        <f t="shared" ca="1" si="58"/>
        <v/>
      </c>
      <c r="AS754" s="28" t="str">
        <f t="shared" ca="1" si="59"/>
        <v/>
      </c>
    </row>
    <row r="755" spans="2:45" ht="27.6" customHeight="1">
      <c r="B755">
        <f t="shared" ca="1" si="55"/>
        <v>0</v>
      </c>
      <c r="C755" t="s">
        <v>85</v>
      </c>
      <c r="D755" t="s">
        <v>92</v>
      </c>
      <c r="E755" t="s">
        <v>92</v>
      </c>
      <c r="F755" t="s">
        <v>92</v>
      </c>
      <c r="G755" t="s">
        <v>92</v>
      </c>
      <c r="H755" t="s">
        <v>92</v>
      </c>
      <c r="I755" s="12" t="s">
        <v>268</v>
      </c>
      <c r="J755" t="s">
        <v>278</v>
      </c>
      <c r="L755" t="s">
        <v>92</v>
      </c>
      <c r="N755" s="14">
        <v>1</v>
      </c>
      <c r="P755" s="12" t="s">
        <v>268</v>
      </c>
      <c r="W755" s="9" t="str">
        <f t="shared" ca="1" si="56"/>
        <v>18.5%</v>
      </c>
      <c r="X755" t="s">
        <v>321</v>
      </c>
      <c r="Y755" s="9" t="str">
        <f t="shared" ca="1" si="57"/>
        <v>Sin costo</v>
      </c>
      <c r="Z755" t="s">
        <v>327</v>
      </c>
      <c r="AA755" t="s">
        <v>329</v>
      </c>
      <c r="AB755" t="s">
        <v>334</v>
      </c>
      <c r="AC755" s="12" t="s">
        <v>339</v>
      </c>
      <c r="AE755" t="s">
        <v>268</v>
      </c>
      <c r="AG755" s="12" t="s">
        <v>268</v>
      </c>
      <c r="AH755" t="s">
        <v>92</v>
      </c>
      <c r="AI755" s="12" t="s">
        <v>268</v>
      </c>
      <c r="AJ755" t="s">
        <v>92</v>
      </c>
      <c r="AK755" t="s">
        <v>92</v>
      </c>
      <c r="AL755" t="s">
        <v>92</v>
      </c>
      <c r="AM755" s="12" t="s">
        <v>268</v>
      </c>
      <c r="AN755" s="12" t="s">
        <v>268</v>
      </c>
      <c r="AO755" s="12" t="s">
        <v>268</v>
      </c>
      <c r="AP755" s="12" t="s">
        <v>268</v>
      </c>
      <c r="AQ755" s="12" t="s">
        <v>268</v>
      </c>
      <c r="AR755" s="28" t="str">
        <f t="shared" ca="1" si="58"/>
        <v/>
      </c>
      <c r="AS755" s="28" t="str">
        <f t="shared" ca="1" si="59"/>
        <v/>
      </c>
    </row>
    <row r="756" spans="2:45" ht="27.6" customHeight="1">
      <c r="B756">
        <f t="shared" ca="1" si="55"/>
        <v>0</v>
      </c>
      <c r="C756" t="s">
        <v>85</v>
      </c>
      <c r="D756" t="s">
        <v>92</v>
      </c>
      <c r="E756" t="s">
        <v>92</v>
      </c>
      <c r="F756" t="s">
        <v>92</v>
      </c>
      <c r="G756" t="s">
        <v>92</v>
      </c>
      <c r="H756" t="s">
        <v>92</v>
      </c>
      <c r="I756" s="12" t="s">
        <v>268</v>
      </c>
      <c r="J756" t="s">
        <v>278</v>
      </c>
      <c r="L756" t="s">
        <v>92</v>
      </c>
      <c r="N756" s="14">
        <v>1</v>
      </c>
      <c r="P756" s="12" t="s">
        <v>268</v>
      </c>
      <c r="W756" s="9" t="str">
        <f t="shared" ca="1" si="56"/>
        <v>18.5%</v>
      </c>
      <c r="X756" t="s">
        <v>321</v>
      </c>
      <c r="Y756" s="9" t="str">
        <f t="shared" ca="1" si="57"/>
        <v>Sin costo</v>
      </c>
      <c r="Z756" t="s">
        <v>327</v>
      </c>
      <c r="AA756" t="s">
        <v>329</v>
      </c>
      <c r="AB756" t="s">
        <v>334</v>
      </c>
      <c r="AC756" s="12" t="s">
        <v>339</v>
      </c>
      <c r="AE756" t="s">
        <v>268</v>
      </c>
      <c r="AG756" s="12" t="s">
        <v>268</v>
      </c>
      <c r="AH756" t="s">
        <v>92</v>
      </c>
      <c r="AI756" s="12" t="s">
        <v>268</v>
      </c>
      <c r="AJ756" t="s">
        <v>92</v>
      </c>
      <c r="AK756" t="s">
        <v>92</v>
      </c>
      <c r="AL756" t="s">
        <v>92</v>
      </c>
      <c r="AM756" s="12" t="s">
        <v>268</v>
      </c>
      <c r="AN756" s="12" t="s">
        <v>268</v>
      </c>
      <c r="AO756" s="12" t="s">
        <v>268</v>
      </c>
      <c r="AP756" s="12" t="s">
        <v>268</v>
      </c>
      <c r="AQ756" s="12" t="s">
        <v>268</v>
      </c>
      <c r="AR756" s="28" t="str">
        <f t="shared" ca="1" si="58"/>
        <v/>
      </c>
      <c r="AS756" s="28" t="str">
        <f t="shared" ca="1" si="59"/>
        <v/>
      </c>
    </row>
    <row r="757" spans="2:45" ht="27.6" customHeight="1">
      <c r="B757">
        <f t="shared" ca="1" si="55"/>
        <v>0</v>
      </c>
      <c r="C757" t="s">
        <v>85</v>
      </c>
      <c r="D757" t="s">
        <v>92</v>
      </c>
      <c r="E757" t="s">
        <v>92</v>
      </c>
      <c r="F757" t="s">
        <v>92</v>
      </c>
      <c r="G757" t="s">
        <v>92</v>
      </c>
      <c r="H757" t="s">
        <v>92</v>
      </c>
      <c r="I757" s="12" t="s">
        <v>268</v>
      </c>
      <c r="J757" t="s">
        <v>278</v>
      </c>
      <c r="L757" t="s">
        <v>92</v>
      </c>
      <c r="N757" s="14">
        <v>1</v>
      </c>
      <c r="P757" s="12" t="s">
        <v>268</v>
      </c>
      <c r="W757" s="9" t="str">
        <f t="shared" ca="1" si="56"/>
        <v>18.5%</v>
      </c>
      <c r="X757" t="s">
        <v>321</v>
      </c>
      <c r="Y757" s="9" t="str">
        <f t="shared" ca="1" si="57"/>
        <v>Sin costo</v>
      </c>
      <c r="Z757" t="s">
        <v>327</v>
      </c>
      <c r="AA757" t="s">
        <v>329</v>
      </c>
      <c r="AB757" t="s">
        <v>334</v>
      </c>
      <c r="AC757" s="12" t="s">
        <v>339</v>
      </c>
      <c r="AE757" t="s">
        <v>268</v>
      </c>
      <c r="AG757" s="12" t="s">
        <v>268</v>
      </c>
      <c r="AH757" t="s">
        <v>92</v>
      </c>
      <c r="AI757" s="12" t="s">
        <v>268</v>
      </c>
      <c r="AJ757" t="s">
        <v>92</v>
      </c>
      <c r="AK757" t="s">
        <v>92</v>
      </c>
      <c r="AL757" t="s">
        <v>92</v>
      </c>
      <c r="AM757" s="12" t="s">
        <v>268</v>
      </c>
      <c r="AN757" s="12" t="s">
        <v>268</v>
      </c>
      <c r="AO757" s="12" t="s">
        <v>268</v>
      </c>
      <c r="AP757" s="12" t="s">
        <v>268</v>
      </c>
      <c r="AQ757" s="12" t="s">
        <v>268</v>
      </c>
      <c r="AR757" s="28" t="str">
        <f t="shared" ca="1" si="58"/>
        <v/>
      </c>
      <c r="AS757" s="28" t="str">
        <f t="shared" ca="1" si="59"/>
        <v/>
      </c>
    </row>
    <row r="758" spans="2:45" ht="27.6" customHeight="1">
      <c r="B758">
        <f t="shared" ca="1" si="55"/>
        <v>0</v>
      </c>
      <c r="C758" t="s">
        <v>85</v>
      </c>
      <c r="D758" t="s">
        <v>92</v>
      </c>
      <c r="E758" t="s">
        <v>92</v>
      </c>
      <c r="F758" t="s">
        <v>92</v>
      </c>
      <c r="G758" t="s">
        <v>92</v>
      </c>
      <c r="H758" t="s">
        <v>92</v>
      </c>
      <c r="I758" s="12" t="s">
        <v>268</v>
      </c>
      <c r="J758" t="s">
        <v>278</v>
      </c>
      <c r="L758" t="s">
        <v>92</v>
      </c>
      <c r="N758" s="14">
        <v>1</v>
      </c>
      <c r="P758" s="12" t="s">
        <v>268</v>
      </c>
      <c r="W758" s="9" t="str">
        <f t="shared" ca="1" si="56"/>
        <v>18.5%</v>
      </c>
      <c r="X758" t="s">
        <v>321</v>
      </c>
      <c r="Y758" s="9" t="str">
        <f t="shared" ca="1" si="57"/>
        <v>Sin costo</v>
      </c>
      <c r="Z758" t="s">
        <v>327</v>
      </c>
      <c r="AA758" t="s">
        <v>329</v>
      </c>
      <c r="AB758" t="s">
        <v>334</v>
      </c>
      <c r="AC758" s="12" t="s">
        <v>339</v>
      </c>
      <c r="AE758" t="s">
        <v>268</v>
      </c>
      <c r="AG758" s="12" t="s">
        <v>268</v>
      </c>
      <c r="AH758" t="s">
        <v>92</v>
      </c>
      <c r="AI758" s="12" t="s">
        <v>268</v>
      </c>
      <c r="AJ758" t="s">
        <v>92</v>
      </c>
      <c r="AK758" t="s">
        <v>92</v>
      </c>
      <c r="AL758" t="s">
        <v>92</v>
      </c>
      <c r="AM758" s="12" t="s">
        <v>268</v>
      </c>
      <c r="AN758" s="12" t="s">
        <v>268</v>
      </c>
      <c r="AO758" s="12" t="s">
        <v>268</v>
      </c>
      <c r="AP758" s="12" t="s">
        <v>268</v>
      </c>
      <c r="AQ758" s="12" t="s">
        <v>268</v>
      </c>
      <c r="AR758" s="28" t="str">
        <f t="shared" ca="1" si="58"/>
        <v/>
      </c>
      <c r="AS758" s="28" t="str">
        <f t="shared" ca="1" si="59"/>
        <v/>
      </c>
    </row>
    <row r="759" spans="2:45" ht="27.6" customHeight="1">
      <c r="B759">
        <f t="shared" ca="1" si="55"/>
        <v>0</v>
      </c>
      <c r="C759" t="s">
        <v>85</v>
      </c>
      <c r="D759" t="s">
        <v>92</v>
      </c>
      <c r="E759" t="s">
        <v>92</v>
      </c>
      <c r="F759" t="s">
        <v>92</v>
      </c>
      <c r="G759" t="s">
        <v>92</v>
      </c>
      <c r="H759" t="s">
        <v>92</v>
      </c>
      <c r="I759" s="12" t="s">
        <v>268</v>
      </c>
      <c r="J759" t="s">
        <v>278</v>
      </c>
      <c r="L759" t="s">
        <v>92</v>
      </c>
      <c r="N759" s="14">
        <v>1</v>
      </c>
      <c r="P759" s="12" t="s">
        <v>268</v>
      </c>
      <c r="W759" s="9" t="str">
        <f t="shared" ca="1" si="56"/>
        <v>18.5%</v>
      </c>
      <c r="X759" t="s">
        <v>321</v>
      </c>
      <c r="Y759" s="9" t="str">
        <f t="shared" ca="1" si="57"/>
        <v>Sin costo</v>
      </c>
      <c r="Z759" t="s">
        <v>327</v>
      </c>
      <c r="AA759" t="s">
        <v>329</v>
      </c>
      <c r="AB759" t="s">
        <v>334</v>
      </c>
      <c r="AC759" s="12" t="s">
        <v>339</v>
      </c>
      <c r="AE759" t="s">
        <v>268</v>
      </c>
      <c r="AG759" s="12" t="s">
        <v>268</v>
      </c>
      <c r="AH759" t="s">
        <v>92</v>
      </c>
      <c r="AI759" s="12" t="s">
        <v>268</v>
      </c>
      <c r="AJ759" t="s">
        <v>92</v>
      </c>
      <c r="AK759" t="s">
        <v>92</v>
      </c>
      <c r="AL759" t="s">
        <v>92</v>
      </c>
      <c r="AM759" s="12" t="s">
        <v>268</v>
      </c>
      <c r="AN759" s="12" t="s">
        <v>268</v>
      </c>
      <c r="AO759" s="12" t="s">
        <v>268</v>
      </c>
      <c r="AP759" s="12" t="s">
        <v>268</v>
      </c>
      <c r="AQ759" s="12" t="s">
        <v>268</v>
      </c>
      <c r="AR759" s="28" t="str">
        <f t="shared" ca="1" si="58"/>
        <v/>
      </c>
      <c r="AS759" s="28" t="str">
        <f t="shared" ca="1" si="59"/>
        <v/>
      </c>
    </row>
    <row r="760" spans="2:45" ht="27.6" customHeight="1">
      <c r="B760">
        <f t="shared" ca="1" si="55"/>
        <v>0</v>
      </c>
      <c r="C760" t="s">
        <v>85</v>
      </c>
      <c r="D760" t="s">
        <v>92</v>
      </c>
      <c r="E760" t="s">
        <v>92</v>
      </c>
      <c r="F760" t="s">
        <v>92</v>
      </c>
      <c r="G760" t="s">
        <v>92</v>
      </c>
      <c r="H760" t="s">
        <v>92</v>
      </c>
      <c r="I760" s="12" t="s">
        <v>268</v>
      </c>
      <c r="J760" t="s">
        <v>278</v>
      </c>
      <c r="L760" t="s">
        <v>92</v>
      </c>
      <c r="N760" s="14">
        <v>1</v>
      </c>
      <c r="P760" s="12" t="s">
        <v>268</v>
      </c>
      <c r="W760" s="9" t="str">
        <f t="shared" ca="1" si="56"/>
        <v>18.5%</v>
      </c>
      <c r="X760" t="s">
        <v>321</v>
      </c>
      <c r="Y760" s="9" t="str">
        <f t="shared" ca="1" si="57"/>
        <v>Sin costo</v>
      </c>
      <c r="Z760" t="s">
        <v>327</v>
      </c>
      <c r="AA760" t="s">
        <v>329</v>
      </c>
      <c r="AB760" t="s">
        <v>334</v>
      </c>
      <c r="AC760" s="12" t="s">
        <v>339</v>
      </c>
      <c r="AE760" t="s">
        <v>268</v>
      </c>
      <c r="AG760" s="12" t="s">
        <v>268</v>
      </c>
      <c r="AH760" t="s">
        <v>92</v>
      </c>
      <c r="AI760" s="12" t="s">
        <v>268</v>
      </c>
      <c r="AJ760" t="s">
        <v>92</v>
      </c>
      <c r="AK760" t="s">
        <v>92</v>
      </c>
      <c r="AL760" t="s">
        <v>92</v>
      </c>
      <c r="AM760" s="12" t="s">
        <v>268</v>
      </c>
      <c r="AN760" s="12" t="s">
        <v>268</v>
      </c>
      <c r="AO760" s="12" t="s">
        <v>268</v>
      </c>
      <c r="AP760" s="12" t="s">
        <v>268</v>
      </c>
      <c r="AQ760" s="12" t="s">
        <v>268</v>
      </c>
      <c r="AR760" s="28" t="str">
        <f t="shared" ca="1" si="58"/>
        <v/>
      </c>
      <c r="AS760" s="28" t="str">
        <f t="shared" ca="1" si="59"/>
        <v/>
      </c>
    </row>
    <row r="761" spans="2:45" ht="27.6" customHeight="1">
      <c r="B761">
        <f t="shared" ca="1" si="55"/>
        <v>0</v>
      </c>
      <c r="C761" t="s">
        <v>85</v>
      </c>
      <c r="D761" t="s">
        <v>92</v>
      </c>
      <c r="E761" t="s">
        <v>92</v>
      </c>
      <c r="F761" t="s">
        <v>92</v>
      </c>
      <c r="G761" t="s">
        <v>92</v>
      </c>
      <c r="H761" t="s">
        <v>92</v>
      </c>
      <c r="I761" s="12" t="s">
        <v>268</v>
      </c>
      <c r="J761" t="s">
        <v>278</v>
      </c>
      <c r="L761" t="s">
        <v>92</v>
      </c>
      <c r="N761" s="14">
        <v>1</v>
      </c>
      <c r="P761" s="12" t="s">
        <v>268</v>
      </c>
      <c r="W761" s="9" t="str">
        <f t="shared" ca="1" si="56"/>
        <v>18.5%</v>
      </c>
      <c r="X761" t="s">
        <v>321</v>
      </c>
      <c r="Y761" s="9" t="str">
        <f t="shared" ca="1" si="57"/>
        <v>Sin costo</v>
      </c>
      <c r="Z761" t="s">
        <v>327</v>
      </c>
      <c r="AA761" t="s">
        <v>329</v>
      </c>
      <c r="AB761" t="s">
        <v>334</v>
      </c>
      <c r="AC761" s="12" t="s">
        <v>339</v>
      </c>
      <c r="AE761" t="s">
        <v>268</v>
      </c>
      <c r="AG761" s="12" t="s">
        <v>268</v>
      </c>
      <c r="AH761" t="s">
        <v>92</v>
      </c>
      <c r="AI761" s="12" t="s">
        <v>268</v>
      </c>
      <c r="AJ761" t="s">
        <v>92</v>
      </c>
      <c r="AK761" t="s">
        <v>92</v>
      </c>
      <c r="AL761" t="s">
        <v>92</v>
      </c>
      <c r="AM761" s="12" t="s">
        <v>268</v>
      </c>
      <c r="AN761" s="12" t="s">
        <v>268</v>
      </c>
      <c r="AO761" s="12" t="s">
        <v>268</v>
      </c>
      <c r="AP761" s="12" t="s">
        <v>268</v>
      </c>
      <c r="AQ761" s="12" t="s">
        <v>268</v>
      </c>
      <c r="AR761" s="28" t="str">
        <f t="shared" ca="1" si="58"/>
        <v/>
      </c>
      <c r="AS761" s="28" t="str">
        <f t="shared" ca="1" si="59"/>
        <v/>
      </c>
    </row>
    <row r="762" spans="2:45" ht="27.6" customHeight="1">
      <c r="B762">
        <f t="shared" ca="1" si="55"/>
        <v>0</v>
      </c>
      <c r="C762" t="s">
        <v>85</v>
      </c>
      <c r="D762" t="s">
        <v>92</v>
      </c>
      <c r="E762" t="s">
        <v>92</v>
      </c>
      <c r="F762" t="s">
        <v>92</v>
      </c>
      <c r="G762" t="s">
        <v>92</v>
      </c>
      <c r="H762" t="s">
        <v>92</v>
      </c>
      <c r="I762" s="12" t="s">
        <v>268</v>
      </c>
      <c r="J762" t="s">
        <v>278</v>
      </c>
      <c r="L762" t="s">
        <v>92</v>
      </c>
      <c r="N762" s="14">
        <v>1</v>
      </c>
      <c r="P762" s="12" t="s">
        <v>268</v>
      </c>
      <c r="W762" s="9" t="str">
        <f t="shared" ca="1" si="56"/>
        <v>18.5%</v>
      </c>
      <c r="X762" t="s">
        <v>321</v>
      </c>
      <c r="Y762" s="9" t="str">
        <f t="shared" ca="1" si="57"/>
        <v>Sin costo</v>
      </c>
      <c r="Z762" t="s">
        <v>327</v>
      </c>
      <c r="AA762" t="s">
        <v>329</v>
      </c>
      <c r="AB762" t="s">
        <v>334</v>
      </c>
      <c r="AC762" s="12" t="s">
        <v>339</v>
      </c>
      <c r="AE762" t="s">
        <v>268</v>
      </c>
      <c r="AG762" s="12" t="s">
        <v>268</v>
      </c>
      <c r="AH762" t="s">
        <v>92</v>
      </c>
      <c r="AI762" s="12" t="s">
        <v>268</v>
      </c>
      <c r="AJ762" t="s">
        <v>92</v>
      </c>
      <c r="AK762" t="s">
        <v>92</v>
      </c>
      <c r="AL762" t="s">
        <v>92</v>
      </c>
      <c r="AM762" s="12" t="s">
        <v>268</v>
      </c>
      <c r="AN762" s="12" t="s">
        <v>268</v>
      </c>
      <c r="AO762" s="12" t="s">
        <v>268</v>
      </c>
      <c r="AP762" s="12" t="s">
        <v>268</v>
      </c>
      <c r="AQ762" s="12" t="s">
        <v>268</v>
      </c>
      <c r="AR762" s="28" t="str">
        <f t="shared" ca="1" si="58"/>
        <v/>
      </c>
      <c r="AS762" s="28" t="str">
        <f t="shared" ca="1" si="59"/>
        <v/>
      </c>
    </row>
    <row r="763" spans="2:45" ht="27.6" customHeight="1">
      <c r="B763">
        <f t="shared" ca="1" si="55"/>
        <v>0</v>
      </c>
      <c r="C763" t="s">
        <v>85</v>
      </c>
      <c r="D763" t="s">
        <v>92</v>
      </c>
      <c r="E763" t="s">
        <v>92</v>
      </c>
      <c r="F763" t="s">
        <v>92</v>
      </c>
      <c r="G763" t="s">
        <v>92</v>
      </c>
      <c r="H763" t="s">
        <v>92</v>
      </c>
      <c r="I763" s="12" t="s">
        <v>268</v>
      </c>
      <c r="J763" t="s">
        <v>278</v>
      </c>
      <c r="L763" t="s">
        <v>92</v>
      </c>
      <c r="N763" s="14">
        <v>1</v>
      </c>
      <c r="P763" s="12" t="s">
        <v>268</v>
      </c>
      <c r="W763" s="9" t="str">
        <f t="shared" ca="1" si="56"/>
        <v>18.5%</v>
      </c>
      <c r="X763" t="s">
        <v>321</v>
      </c>
      <c r="Y763" s="9" t="str">
        <f t="shared" ca="1" si="57"/>
        <v>Sin costo</v>
      </c>
      <c r="Z763" t="s">
        <v>327</v>
      </c>
      <c r="AA763" t="s">
        <v>329</v>
      </c>
      <c r="AB763" t="s">
        <v>334</v>
      </c>
      <c r="AC763" s="12" t="s">
        <v>339</v>
      </c>
      <c r="AE763" t="s">
        <v>268</v>
      </c>
      <c r="AG763" s="12" t="s">
        <v>268</v>
      </c>
      <c r="AH763" t="s">
        <v>92</v>
      </c>
      <c r="AI763" s="12" t="s">
        <v>268</v>
      </c>
      <c r="AJ763" t="s">
        <v>92</v>
      </c>
      <c r="AK763" t="s">
        <v>92</v>
      </c>
      <c r="AL763" t="s">
        <v>92</v>
      </c>
      <c r="AM763" s="12" t="s">
        <v>268</v>
      </c>
      <c r="AN763" s="12" t="s">
        <v>268</v>
      </c>
      <c r="AO763" s="12" t="s">
        <v>268</v>
      </c>
      <c r="AP763" s="12" t="s">
        <v>268</v>
      </c>
      <c r="AQ763" s="12" t="s">
        <v>268</v>
      </c>
      <c r="AR763" s="28" t="str">
        <f t="shared" ca="1" si="58"/>
        <v/>
      </c>
      <c r="AS763" s="28" t="str">
        <f t="shared" ca="1" si="59"/>
        <v/>
      </c>
    </row>
    <row r="764" spans="2:45" ht="27.6" customHeight="1">
      <c r="B764">
        <f t="shared" ca="1" si="55"/>
        <v>0</v>
      </c>
      <c r="C764" t="s">
        <v>85</v>
      </c>
      <c r="D764" t="s">
        <v>92</v>
      </c>
      <c r="E764" t="s">
        <v>92</v>
      </c>
      <c r="F764" t="s">
        <v>92</v>
      </c>
      <c r="G764" t="s">
        <v>92</v>
      </c>
      <c r="H764" t="s">
        <v>92</v>
      </c>
      <c r="I764" s="12" t="s">
        <v>268</v>
      </c>
      <c r="J764" t="s">
        <v>278</v>
      </c>
      <c r="L764" t="s">
        <v>92</v>
      </c>
      <c r="N764" s="14">
        <v>1</v>
      </c>
      <c r="P764" s="12" t="s">
        <v>268</v>
      </c>
      <c r="W764" s="9" t="str">
        <f t="shared" ca="1" si="56"/>
        <v>18.5%</v>
      </c>
      <c r="X764" t="s">
        <v>321</v>
      </c>
      <c r="Y764" s="9" t="str">
        <f t="shared" ca="1" si="57"/>
        <v>Sin costo</v>
      </c>
      <c r="Z764" t="s">
        <v>327</v>
      </c>
      <c r="AA764" t="s">
        <v>329</v>
      </c>
      <c r="AB764" t="s">
        <v>334</v>
      </c>
      <c r="AC764" s="12" t="s">
        <v>339</v>
      </c>
      <c r="AE764" t="s">
        <v>268</v>
      </c>
      <c r="AG764" s="12" t="s">
        <v>268</v>
      </c>
      <c r="AH764" t="s">
        <v>92</v>
      </c>
      <c r="AI764" s="12" t="s">
        <v>268</v>
      </c>
      <c r="AJ764" t="s">
        <v>92</v>
      </c>
      <c r="AK764" t="s">
        <v>92</v>
      </c>
      <c r="AL764" t="s">
        <v>92</v>
      </c>
      <c r="AM764" s="12" t="s">
        <v>268</v>
      </c>
      <c r="AN764" s="12" t="s">
        <v>268</v>
      </c>
      <c r="AO764" s="12" t="s">
        <v>268</v>
      </c>
      <c r="AP764" s="12" t="s">
        <v>268</v>
      </c>
      <c r="AQ764" s="12" t="s">
        <v>268</v>
      </c>
      <c r="AR764" s="28" t="str">
        <f t="shared" ca="1" si="58"/>
        <v/>
      </c>
      <c r="AS764" s="28" t="str">
        <f t="shared" ca="1" si="59"/>
        <v/>
      </c>
    </row>
    <row r="765" spans="2:45" ht="27.6" customHeight="1">
      <c r="B765">
        <f t="shared" ca="1" si="55"/>
        <v>0</v>
      </c>
      <c r="C765" t="s">
        <v>85</v>
      </c>
      <c r="D765" t="s">
        <v>92</v>
      </c>
      <c r="E765" t="s">
        <v>92</v>
      </c>
      <c r="F765" t="s">
        <v>92</v>
      </c>
      <c r="G765" t="s">
        <v>92</v>
      </c>
      <c r="H765" t="s">
        <v>92</v>
      </c>
      <c r="I765" s="12" t="s">
        <v>268</v>
      </c>
      <c r="J765" t="s">
        <v>278</v>
      </c>
      <c r="L765" t="s">
        <v>92</v>
      </c>
      <c r="N765" s="14">
        <v>1</v>
      </c>
      <c r="P765" s="12" t="s">
        <v>268</v>
      </c>
      <c r="W765" s="9" t="str">
        <f t="shared" ca="1" si="56"/>
        <v>18.5%</v>
      </c>
      <c r="X765" t="s">
        <v>321</v>
      </c>
      <c r="Y765" s="9" t="str">
        <f t="shared" ca="1" si="57"/>
        <v>Sin costo</v>
      </c>
      <c r="Z765" t="s">
        <v>327</v>
      </c>
      <c r="AA765" t="s">
        <v>329</v>
      </c>
      <c r="AB765" t="s">
        <v>334</v>
      </c>
      <c r="AC765" s="12" t="s">
        <v>339</v>
      </c>
      <c r="AE765" t="s">
        <v>268</v>
      </c>
      <c r="AG765" s="12" t="s">
        <v>268</v>
      </c>
      <c r="AH765" t="s">
        <v>92</v>
      </c>
      <c r="AI765" s="12" t="s">
        <v>268</v>
      </c>
      <c r="AJ765" t="s">
        <v>92</v>
      </c>
      <c r="AK765" t="s">
        <v>92</v>
      </c>
      <c r="AL765" t="s">
        <v>92</v>
      </c>
      <c r="AM765" s="12" t="s">
        <v>268</v>
      </c>
      <c r="AN765" s="12" t="s">
        <v>268</v>
      </c>
      <c r="AO765" s="12" t="s">
        <v>268</v>
      </c>
      <c r="AP765" s="12" t="s">
        <v>268</v>
      </c>
      <c r="AQ765" s="12" t="s">
        <v>268</v>
      </c>
      <c r="AR765" s="28" t="str">
        <f t="shared" ca="1" si="58"/>
        <v/>
      </c>
      <c r="AS765" s="28" t="str">
        <f t="shared" ca="1" si="59"/>
        <v/>
      </c>
    </row>
    <row r="766" spans="2:45" ht="27.6" customHeight="1">
      <c r="B766">
        <f t="shared" ca="1" si="55"/>
        <v>0</v>
      </c>
      <c r="C766" t="s">
        <v>85</v>
      </c>
      <c r="D766" t="s">
        <v>92</v>
      </c>
      <c r="E766" t="s">
        <v>92</v>
      </c>
      <c r="F766" t="s">
        <v>92</v>
      </c>
      <c r="G766" t="s">
        <v>92</v>
      </c>
      <c r="H766" t="s">
        <v>92</v>
      </c>
      <c r="I766" s="12" t="s">
        <v>268</v>
      </c>
      <c r="J766" t="s">
        <v>278</v>
      </c>
      <c r="L766" t="s">
        <v>92</v>
      </c>
      <c r="N766" s="14">
        <v>1</v>
      </c>
      <c r="P766" s="12" t="s">
        <v>268</v>
      </c>
      <c r="W766" s="9" t="str">
        <f t="shared" ca="1" si="56"/>
        <v>18.5%</v>
      </c>
      <c r="X766" t="s">
        <v>321</v>
      </c>
      <c r="Y766" s="9" t="str">
        <f t="shared" ca="1" si="57"/>
        <v>Sin costo</v>
      </c>
      <c r="Z766" t="s">
        <v>327</v>
      </c>
      <c r="AA766" t="s">
        <v>329</v>
      </c>
      <c r="AB766" t="s">
        <v>334</v>
      </c>
      <c r="AC766" s="12" t="s">
        <v>339</v>
      </c>
      <c r="AE766" t="s">
        <v>268</v>
      </c>
      <c r="AG766" s="12" t="s">
        <v>268</v>
      </c>
      <c r="AH766" t="s">
        <v>92</v>
      </c>
      <c r="AI766" s="12" t="s">
        <v>268</v>
      </c>
      <c r="AJ766" t="s">
        <v>92</v>
      </c>
      <c r="AK766" t="s">
        <v>92</v>
      </c>
      <c r="AL766" t="s">
        <v>92</v>
      </c>
      <c r="AM766" s="12" t="s">
        <v>268</v>
      </c>
      <c r="AN766" s="12" t="s">
        <v>268</v>
      </c>
      <c r="AO766" s="12" t="s">
        <v>268</v>
      </c>
      <c r="AP766" s="12" t="s">
        <v>268</v>
      </c>
      <c r="AQ766" s="12" t="s">
        <v>268</v>
      </c>
      <c r="AR766" s="28" t="str">
        <f t="shared" ca="1" si="58"/>
        <v/>
      </c>
      <c r="AS766" s="28" t="str">
        <f t="shared" ca="1" si="59"/>
        <v/>
      </c>
    </row>
    <row r="767" spans="2:45" ht="27.6" customHeight="1">
      <c r="B767">
        <f t="shared" ca="1" si="55"/>
        <v>0</v>
      </c>
      <c r="C767" t="s">
        <v>85</v>
      </c>
      <c r="D767" t="s">
        <v>92</v>
      </c>
      <c r="E767" t="s">
        <v>92</v>
      </c>
      <c r="F767" t="s">
        <v>92</v>
      </c>
      <c r="G767" t="s">
        <v>92</v>
      </c>
      <c r="H767" t="s">
        <v>92</v>
      </c>
      <c r="I767" s="12" t="s">
        <v>268</v>
      </c>
      <c r="J767" t="s">
        <v>278</v>
      </c>
      <c r="L767" t="s">
        <v>92</v>
      </c>
      <c r="N767" s="14">
        <v>1</v>
      </c>
      <c r="P767" s="12" t="s">
        <v>268</v>
      </c>
      <c r="W767" s="9" t="str">
        <f t="shared" ca="1" si="56"/>
        <v>18.5%</v>
      </c>
      <c r="X767" t="s">
        <v>321</v>
      </c>
      <c r="Y767" s="9" t="str">
        <f t="shared" ca="1" si="57"/>
        <v>Sin costo</v>
      </c>
      <c r="Z767" t="s">
        <v>327</v>
      </c>
      <c r="AA767" t="s">
        <v>329</v>
      </c>
      <c r="AB767" t="s">
        <v>334</v>
      </c>
      <c r="AC767" s="12" t="s">
        <v>339</v>
      </c>
      <c r="AE767" t="s">
        <v>268</v>
      </c>
      <c r="AG767" s="12" t="s">
        <v>268</v>
      </c>
      <c r="AH767" t="s">
        <v>92</v>
      </c>
      <c r="AI767" s="12" t="s">
        <v>268</v>
      </c>
      <c r="AJ767" t="s">
        <v>92</v>
      </c>
      <c r="AK767" t="s">
        <v>92</v>
      </c>
      <c r="AL767" t="s">
        <v>92</v>
      </c>
      <c r="AM767" s="12" t="s">
        <v>268</v>
      </c>
      <c r="AN767" s="12" t="s">
        <v>268</v>
      </c>
      <c r="AO767" s="12" t="s">
        <v>268</v>
      </c>
      <c r="AP767" s="12" t="s">
        <v>268</v>
      </c>
      <c r="AQ767" s="12" t="s">
        <v>268</v>
      </c>
      <c r="AR767" s="28" t="str">
        <f t="shared" ca="1" si="58"/>
        <v/>
      </c>
      <c r="AS767" s="28" t="str">
        <f t="shared" ca="1" si="59"/>
        <v/>
      </c>
    </row>
    <row r="768" spans="2:45" ht="27.6" customHeight="1">
      <c r="B768">
        <f t="shared" ca="1" si="55"/>
        <v>0</v>
      </c>
      <c r="C768" t="s">
        <v>85</v>
      </c>
      <c r="D768" t="s">
        <v>92</v>
      </c>
      <c r="E768" t="s">
        <v>92</v>
      </c>
      <c r="F768" t="s">
        <v>92</v>
      </c>
      <c r="G768" t="s">
        <v>92</v>
      </c>
      <c r="H768" t="s">
        <v>92</v>
      </c>
      <c r="I768" s="12" t="s">
        <v>268</v>
      </c>
      <c r="J768" t="s">
        <v>278</v>
      </c>
      <c r="L768" t="s">
        <v>92</v>
      </c>
      <c r="N768" s="14">
        <v>1</v>
      </c>
      <c r="P768" s="12" t="s">
        <v>268</v>
      </c>
      <c r="W768" s="9" t="str">
        <f t="shared" ca="1" si="56"/>
        <v>18.5%</v>
      </c>
      <c r="X768" t="s">
        <v>321</v>
      </c>
      <c r="Y768" s="9" t="str">
        <f t="shared" ca="1" si="57"/>
        <v>Sin costo</v>
      </c>
      <c r="Z768" t="s">
        <v>327</v>
      </c>
      <c r="AA768" t="s">
        <v>329</v>
      </c>
      <c r="AB768" t="s">
        <v>334</v>
      </c>
      <c r="AC768" s="12" t="s">
        <v>339</v>
      </c>
      <c r="AE768" t="s">
        <v>268</v>
      </c>
      <c r="AG768" s="12" t="s">
        <v>268</v>
      </c>
      <c r="AH768" t="s">
        <v>92</v>
      </c>
      <c r="AI768" s="12" t="s">
        <v>268</v>
      </c>
      <c r="AJ768" t="s">
        <v>92</v>
      </c>
      <c r="AK768" t="s">
        <v>92</v>
      </c>
      <c r="AL768" t="s">
        <v>92</v>
      </c>
      <c r="AM768" s="12" t="s">
        <v>268</v>
      </c>
      <c r="AN768" s="12" t="s">
        <v>268</v>
      </c>
      <c r="AO768" s="12" t="s">
        <v>268</v>
      </c>
      <c r="AP768" s="12" t="s">
        <v>268</v>
      </c>
      <c r="AQ768" s="12" t="s">
        <v>268</v>
      </c>
      <c r="AR768" s="28" t="str">
        <f t="shared" ca="1" si="58"/>
        <v/>
      </c>
      <c r="AS768" s="28" t="str">
        <f t="shared" ca="1" si="59"/>
        <v/>
      </c>
    </row>
    <row r="769" spans="2:45" ht="27.6" customHeight="1">
      <c r="B769">
        <f t="shared" ca="1" si="55"/>
        <v>0</v>
      </c>
      <c r="C769" t="s">
        <v>85</v>
      </c>
      <c r="D769" t="s">
        <v>92</v>
      </c>
      <c r="E769" t="s">
        <v>92</v>
      </c>
      <c r="F769" t="s">
        <v>92</v>
      </c>
      <c r="G769" t="s">
        <v>92</v>
      </c>
      <c r="H769" t="s">
        <v>92</v>
      </c>
      <c r="I769" s="12" t="s">
        <v>268</v>
      </c>
      <c r="J769" t="s">
        <v>278</v>
      </c>
      <c r="L769" t="s">
        <v>92</v>
      </c>
      <c r="N769" s="14">
        <v>1</v>
      </c>
      <c r="P769" s="12" t="s">
        <v>268</v>
      </c>
      <c r="W769" s="9" t="str">
        <f t="shared" ca="1" si="56"/>
        <v>18.5%</v>
      </c>
      <c r="X769" t="s">
        <v>321</v>
      </c>
      <c r="Y769" s="9" t="str">
        <f t="shared" ca="1" si="57"/>
        <v>Sin costo</v>
      </c>
      <c r="Z769" t="s">
        <v>327</v>
      </c>
      <c r="AA769" t="s">
        <v>329</v>
      </c>
      <c r="AB769" t="s">
        <v>334</v>
      </c>
      <c r="AC769" s="12" t="s">
        <v>339</v>
      </c>
      <c r="AE769" t="s">
        <v>268</v>
      </c>
      <c r="AG769" s="12" t="s">
        <v>268</v>
      </c>
      <c r="AH769" t="s">
        <v>92</v>
      </c>
      <c r="AI769" s="12" t="s">
        <v>268</v>
      </c>
      <c r="AJ769" t="s">
        <v>92</v>
      </c>
      <c r="AK769" t="s">
        <v>92</v>
      </c>
      <c r="AL769" t="s">
        <v>92</v>
      </c>
      <c r="AM769" s="12" t="s">
        <v>268</v>
      </c>
      <c r="AN769" s="12" t="s">
        <v>268</v>
      </c>
      <c r="AO769" s="12" t="s">
        <v>268</v>
      </c>
      <c r="AP769" s="12" t="s">
        <v>268</v>
      </c>
      <c r="AQ769" s="12" t="s">
        <v>268</v>
      </c>
      <c r="AR769" s="28" t="str">
        <f t="shared" ca="1" si="58"/>
        <v/>
      </c>
      <c r="AS769" s="28" t="str">
        <f t="shared" ca="1" si="59"/>
        <v/>
      </c>
    </row>
    <row r="770" spans="2:45" ht="27.6" customHeight="1">
      <c r="B770">
        <f t="shared" ca="1" si="55"/>
        <v>0</v>
      </c>
      <c r="C770" t="s">
        <v>85</v>
      </c>
      <c r="D770" t="s">
        <v>92</v>
      </c>
      <c r="E770" t="s">
        <v>92</v>
      </c>
      <c r="F770" t="s">
        <v>92</v>
      </c>
      <c r="G770" t="s">
        <v>92</v>
      </c>
      <c r="H770" t="s">
        <v>92</v>
      </c>
      <c r="I770" s="12" t="s">
        <v>268</v>
      </c>
      <c r="J770" t="s">
        <v>278</v>
      </c>
      <c r="L770" t="s">
        <v>92</v>
      </c>
      <c r="N770" s="14">
        <v>1</v>
      </c>
      <c r="P770" s="12" t="s">
        <v>268</v>
      </c>
      <c r="W770" s="9" t="str">
        <f t="shared" ca="1" si="56"/>
        <v>18.5%</v>
      </c>
      <c r="X770" t="s">
        <v>321</v>
      </c>
      <c r="Y770" s="9" t="str">
        <f t="shared" ca="1" si="57"/>
        <v>Sin costo</v>
      </c>
      <c r="Z770" t="s">
        <v>327</v>
      </c>
      <c r="AA770" t="s">
        <v>329</v>
      </c>
      <c r="AB770" t="s">
        <v>334</v>
      </c>
      <c r="AC770" s="12" t="s">
        <v>339</v>
      </c>
      <c r="AE770" t="s">
        <v>268</v>
      </c>
      <c r="AG770" s="12" t="s">
        <v>268</v>
      </c>
      <c r="AH770" t="s">
        <v>92</v>
      </c>
      <c r="AI770" s="12" t="s">
        <v>268</v>
      </c>
      <c r="AJ770" t="s">
        <v>92</v>
      </c>
      <c r="AK770" t="s">
        <v>92</v>
      </c>
      <c r="AL770" t="s">
        <v>92</v>
      </c>
      <c r="AM770" s="12" t="s">
        <v>268</v>
      </c>
      <c r="AN770" s="12" t="s">
        <v>268</v>
      </c>
      <c r="AO770" s="12" t="s">
        <v>268</v>
      </c>
      <c r="AP770" s="12" t="s">
        <v>268</v>
      </c>
      <c r="AQ770" s="12" t="s">
        <v>268</v>
      </c>
      <c r="AR770" s="28" t="str">
        <f t="shared" ca="1" si="58"/>
        <v/>
      </c>
      <c r="AS770" s="28" t="str">
        <f t="shared" ca="1" si="59"/>
        <v/>
      </c>
    </row>
    <row r="771" spans="2:45" ht="27.6" customHeight="1">
      <c r="B771">
        <f t="shared" ca="1" si="55"/>
        <v>0</v>
      </c>
      <c r="C771" t="s">
        <v>85</v>
      </c>
      <c r="D771" t="s">
        <v>92</v>
      </c>
      <c r="E771" t="s">
        <v>92</v>
      </c>
      <c r="F771" t="s">
        <v>92</v>
      </c>
      <c r="G771" t="s">
        <v>92</v>
      </c>
      <c r="H771" t="s">
        <v>92</v>
      </c>
      <c r="I771" s="12" t="s">
        <v>268</v>
      </c>
      <c r="J771" t="s">
        <v>278</v>
      </c>
      <c r="L771" t="s">
        <v>92</v>
      </c>
      <c r="N771" s="14">
        <v>1</v>
      </c>
      <c r="P771" s="12" t="s">
        <v>268</v>
      </c>
      <c r="W771" s="9" t="str">
        <f t="shared" ca="1" si="56"/>
        <v>18.5%</v>
      </c>
      <c r="X771" t="s">
        <v>321</v>
      </c>
      <c r="Y771" s="9" t="str">
        <f t="shared" ca="1" si="57"/>
        <v>Sin costo</v>
      </c>
      <c r="Z771" t="s">
        <v>327</v>
      </c>
      <c r="AA771" t="s">
        <v>329</v>
      </c>
      <c r="AB771" t="s">
        <v>334</v>
      </c>
      <c r="AC771" s="12" t="s">
        <v>339</v>
      </c>
      <c r="AE771" t="s">
        <v>268</v>
      </c>
      <c r="AG771" s="12" t="s">
        <v>268</v>
      </c>
      <c r="AH771" t="s">
        <v>92</v>
      </c>
      <c r="AI771" s="12" t="s">
        <v>268</v>
      </c>
      <c r="AJ771" t="s">
        <v>92</v>
      </c>
      <c r="AK771" t="s">
        <v>92</v>
      </c>
      <c r="AL771" t="s">
        <v>92</v>
      </c>
      <c r="AM771" s="12" t="s">
        <v>268</v>
      </c>
      <c r="AN771" s="12" t="s">
        <v>268</v>
      </c>
      <c r="AO771" s="12" t="s">
        <v>268</v>
      </c>
      <c r="AP771" s="12" t="s">
        <v>268</v>
      </c>
      <c r="AQ771" s="12" t="s">
        <v>268</v>
      </c>
      <c r="AR771" s="28" t="str">
        <f t="shared" ca="1" si="58"/>
        <v/>
      </c>
      <c r="AS771" s="28" t="str">
        <f t="shared" ca="1" si="59"/>
        <v/>
      </c>
    </row>
    <row r="772" spans="2:45" ht="27.6" customHeight="1">
      <c r="B772">
        <f t="shared" ca="1" si="55"/>
        <v>0</v>
      </c>
      <c r="C772" t="s">
        <v>85</v>
      </c>
      <c r="D772" t="s">
        <v>92</v>
      </c>
      <c r="E772" t="s">
        <v>92</v>
      </c>
      <c r="F772" t="s">
        <v>92</v>
      </c>
      <c r="G772" t="s">
        <v>92</v>
      </c>
      <c r="H772" t="s">
        <v>92</v>
      </c>
      <c r="I772" s="12" t="s">
        <v>268</v>
      </c>
      <c r="J772" t="s">
        <v>278</v>
      </c>
      <c r="L772" t="s">
        <v>92</v>
      </c>
      <c r="N772" s="14">
        <v>1</v>
      </c>
      <c r="P772" s="12" t="s">
        <v>268</v>
      </c>
      <c r="W772" s="9" t="str">
        <f t="shared" ca="1" si="56"/>
        <v>18.5%</v>
      </c>
      <c r="X772" t="s">
        <v>321</v>
      </c>
      <c r="Y772" s="9" t="str">
        <f t="shared" ca="1" si="57"/>
        <v>Sin costo</v>
      </c>
      <c r="Z772" t="s">
        <v>327</v>
      </c>
      <c r="AA772" t="s">
        <v>329</v>
      </c>
      <c r="AB772" t="s">
        <v>334</v>
      </c>
      <c r="AC772" s="12" t="s">
        <v>339</v>
      </c>
      <c r="AE772" t="s">
        <v>268</v>
      </c>
      <c r="AG772" s="12" t="s">
        <v>268</v>
      </c>
      <c r="AH772" t="s">
        <v>92</v>
      </c>
      <c r="AI772" s="12" t="s">
        <v>268</v>
      </c>
      <c r="AJ772" t="s">
        <v>92</v>
      </c>
      <c r="AK772" t="s">
        <v>92</v>
      </c>
      <c r="AL772" t="s">
        <v>92</v>
      </c>
      <c r="AM772" s="12" t="s">
        <v>268</v>
      </c>
      <c r="AN772" s="12" t="s">
        <v>268</v>
      </c>
      <c r="AO772" s="12" t="s">
        <v>268</v>
      </c>
      <c r="AP772" s="12" t="s">
        <v>268</v>
      </c>
      <c r="AQ772" s="12" t="s">
        <v>268</v>
      </c>
      <c r="AR772" s="28" t="str">
        <f t="shared" ca="1" si="58"/>
        <v/>
      </c>
      <c r="AS772" s="28" t="str">
        <f t="shared" ca="1" si="59"/>
        <v/>
      </c>
    </row>
    <row r="773" spans="2:45" ht="27.6" customHeight="1">
      <c r="B773">
        <f t="shared" ca="1" si="55"/>
        <v>0</v>
      </c>
      <c r="C773" t="s">
        <v>85</v>
      </c>
      <c r="D773" t="s">
        <v>92</v>
      </c>
      <c r="E773" t="s">
        <v>92</v>
      </c>
      <c r="F773" t="s">
        <v>92</v>
      </c>
      <c r="G773" t="s">
        <v>92</v>
      </c>
      <c r="H773" t="s">
        <v>92</v>
      </c>
      <c r="I773" s="12" t="s">
        <v>268</v>
      </c>
      <c r="J773" t="s">
        <v>278</v>
      </c>
      <c r="L773" t="s">
        <v>92</v>
      </c>
      <c r="N773" s="14">
        <v>1</v>
      </c>
      <c r="P773" s="12" t="s">
        <v>268</v>
      </c>
      <c r="W773" s="9" t="str">
        <f t="shared" ca="1" si="56"/>
        <v>18.5%</v>
      </c>
      <c r="X773" t="s">
        <v>321</v>
      </c>
      <c r="Y773" s="9" t="str">
        <f t="shared" ca="1" si="57"/>
        <v>Sin costo</v>
      </c>
      <c r="Z773" t="s">
        <v>327</v>
      </c>
      <c r="AA773" t="s">
        <v>329</v>
      </c>
      <c r="AB773" t="s">
        <v>334</v>
      </c>
      <c r="AC773" s="12" t="s">
        <v>339</v>
      </c>
      <c r="AE773" t="s">
        <v>268</v>
      </c>
      <c r="AG773" s="12" t="s">
        <v>268</v>
      </c>
      <c r="AH773" t="s">
        <v>92</v>
      </c>
      <c r="AI773" s="12" t="s">
        <v>268</v>
      </c>
      <c r="AJ773" t="s">
        <v>92</v>
      </c>
      <c r="AK773" t="s">
        <v>92</v>
      </c>
      <c r="AL773" t="s">
        <v>92</v>
      </c>
      <c r="AM773" s="12" t="s">
        <v>268</v>
      </c>
      <c r="AN773" s="12" t="s">
        <v>268</v>
      </c>
      <c r="AO773" s="12" t="s">
        <v>268</v>
      </c>
      <c r="AP773" s="12" t="s">
        <v>268</v>
      </c>
      <c r="AQ773" s="12" t="s">
        <v>268</v>
      </c>
      <c r="AR773" s="28" t="str">
        <f t="shared" ca="1" si="58"/>
        <v/>
      </c>
      <c r="AS773" s="28" t="str">
        <f t="shared" ca="1" si="59"/>
        <v/>
      </c>
    </row>
    <row r="774" spans="2:45" ht="27.6" customHeight="1">
      <c r="B774">
        <f t="shared" ca="1" si="55"/>
        <v>0</v>
      </c>
      <c r="C774" t="s">
        <v>85</v>
      </c>
      <c r="D774" t="s">
        <v>92</v>
      </c>
      <c r="E774" t="s">
        <v>92</v>
      </c>
      <c r="F774" t="s">
        <v>92</v>
      </c>
      <c r="G774" t="s">
        <v>92</v>
      </c>
      <c r="H774" t="s">
        <v>92</v>
      </c>
      <c r="I774" s="12" t="s">
        <v>268</v>
      </c>
      <c r="J774" t="s">
        <v>278</v>
      </c>
      <c r="L774" t="s">
        <v>92</v>
      </c>
      <c r="N774" s="14">
        <v>1</v>
      </c>
      <c r="P774" s="12" t="s">
        <v>268</v>
      </c>
      <c r="W774" s="9" t="str">
        <f t="shared" ca="1" si="56"/>
        <v>18.5%</v>
      </c>
      <c r="X774" t="s">
        <v>321</v>
      </c>
      <c r="Y774" s="9" t="str">
        <f t="shared" ca="1" si="57"/>
        <v>Sin costo</v>
      </c>
      <c r="Z774" t="s">
        <v>327</v>
      </c>
      <c r="AA774" t="s">
        <v>329</v>
      </c>
      <c r="AB774" t="s">
        <v>334</v>
      </c>
      <c r="AC774" s="12" t="s">
        <v>339</v>
      </c>
      <c r="AE774" t="s">
        <v>268</v>
      </c>
      <c r="AG774" s="12" t="s">
        <v>268</v>
      </c>
      <c r="AH774" t="s">
        <v>92</v>
      </c>
      <c r="AI774" s="12" t="s">
        <v>268</v>
      </c>
      <c r="AJ774" t="s">
        <v>92</v>
      </c>
      <c r="AK774" t="s">
        <v>92</v>
      </c>
      <c r="AL774" t="s">
        <v>92</v>
      </c>
      <c r="AM774" s="12" t="s">
        <v>268</v>
      </c>
      <c r="AN774" s="12" t="s">
        <v>268</v>
      </c>
      <c r="AO774" s="12" t="s">
        <v>268</v>
      </c>
      <c r="AP774" s="12" t="s">
        <v>268</v>
      </c>
      <c r="AQ774" s="12" t="s">
        <v>268</v>
      </c>
      <c r="AR774" s="28" t="str">
        <f t="shared" ca="1" si="58"/>
        <v/>
      </c>
      <c r="AS774" s="28" t="str">
        <f t="shared" ca="1" si="59"/>
        <v/>
      </c>
    </row>
    <row r="775" spans="2:45" ht="27.6" customHeight="1">
      <c r="B775">
        <f t="shared" ref="B775:B838" ca="1" si="60">LEN(INDIRECT(ADDRESS(ROW() + (0),COLUMN() + (-1))))</f>
        <v>0</v>
      </c>
      <c r="C775" t="s">
        <v>85</v>
      </c>
      <c r="D775" t="s">
        <v>92</v>
      </c>
      <c r="E775" t="s">
        <v>92</v>
      </c>
      <c r="F775" t="s">
        <v>92</v>
      </c>
      <c r="G775" t="s">
        <v>92</v>
      </c>
      <c r="H775" t="s">
        <v>92</v>
      </c>
      <c r="I775" s="12" t="s">
        <v>268</v>
      </c>
      <c r="J775" t="s">
        <v>278</v>
      </c>
      <c r="L775" t="s">
        <v>92</v>
      </c>
      <c r="N775" s="14">
        <v>1</v>
      </c>
      <c r="P775" s="12" t="s">
        <v>268</v>
      </c>
      <c r="W775" s="9" t="str">
        <f t="shared" ref="W775:W838" ca="1" si="61">IF(INDIRECT(ADDRESS(ROW() + (0),COLUMN() + (1)))="Cuotas extra", IF(("21.5%")="", "-", "21.5%"), IF(INDIRECT(ADDRESS(ROW() + (0),COLUMN() + (1)))="Cuotas", IF(("18.5%")="", "-", "18.5%"), "-"))</f>
        <v>18.5%</v>
      </c>
      <c r="X775" t="s">
        <v>321</v>
      </c>
      <c r="Y775" s="9" t="str">
        <f t="shared" ref="Y775:Y838" ca="1" si="62">IF(INDIRECT(ADDRESS(ROW() + (0),COLUMN() + (-1)))="Cuotas extra", IF(("")="", "Sin costo", ""), IF(INDIRECT(ADDRESS(ROW() + (0),COLUMN() + (-1)))="Cuotas", IF(("")="", "Sin costo", ""), "-"))</f>
        <v>Sin costo</v>
      </c>
      <c r="Z775" t="s">
        <v>327</v>
      </c>
      <c r="AA775" t="s">
        <v>329</v>
      </c>
      <c r="AB775" t="s">
        <v>334</v>
      </c>
      <c r="AC775" s="12" t="s">
        <v>339</v>
      </c>
      <c r="AE775" t="s">
        <v>268</v>
      </c>
      <c r="AG775" s="12" t="s">
        <v>268</v>
      </c>
      <c r="AH775" t="s">
        <v>92</v>
      </c>
      <c r="AI775" s="12" t="s">
        <v>268</v>
      </c>
      <c r="AJ775" t="s">
        <v>92</v>
      </c>
      <c r="AK775" t="s">
        <v>92</v>
      </c>
      <c r="AL775" t="s">
        <v>92</v>
      </c>
      <c r="AM775" s="12" t="s">
        <v>268</v>
      </c>
      <c r="AN775" s="12" t="s">
        <v>268</v>
      </c>
      <c r="AO775" s="12" t="s">
        <v>268</v>
      </c>
      <c r="AP775" s="12" t="s">
        <v>268</v>
      </c>
      <c r="AQ775" s="12" t="s">
        <v>268</v>
      </c>
      <c r="AR775" s="28" t="str">
        <f t="shared" ref="AR775:AR838" ca="1" si="6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75" s="28" t="str">
        <f t="shared" ref="AS775:AS838" ca="1" si="64">IF(TRIM(INDIRECT("A"&amp;ROW())) &lt;&gt; "",FALSE,"")</f>
        <v/>
      </c>
    </row>
    <row r="776" spans="2:45" ht="27.6" customHeight="1">
      <c r="B776">
        <f t="shared" ca="1" si="60"/>
        <v>0</v>
      </c>
      <c r="C776" t="s">
        <v>85</v>
      </c>
      <c r="D776" t="s">
        <v>92</v>
      </c>
      <c r="E776" t="s">
        <v>92</v>
      </c>
      <c r="F776" t="s">
        <v>92</v>
      </c>
      <c r="G776" t="s">
        <v>92</v>
      </c>
      <c r="H776" t="s">
        <v>92</v>
      </c>
      <c r="I776" s="12" t="s">
        <v>268</v>
      </c>
      <c r="J776" t="s">
        <v>278</v>
      </c>
      <c r="L776" t="s">
        <v>92</v>
      </c>
      <c r="N776" s="14">
        <v>1</v>
      </c>
      <c r="P776" s="12" t="s">
        <v>268</v>
      </c>
      <c r="W776" s="9" t="str">
        <f t="shared" ca="1" si="61"/>
        <v>18.5%</v>
      </c>
      <c r="X776" t="s">
        <v>321</v>
      </c>
      <c r="Y776" s="9" t="str">
        <f t="shared" ca="1" si="62"/>
        <v>Sin costo</v>
      </c>
      <c r="Z776" t="s">
        <v>327</v>
      </c>
      <c r="AA776" t="s">
        <v>329</v>
      </c>
      <c r="AB776" t="s">
        <v>334</v>
      </c>
      <c r="AC776" s="12" t="s">
        <v>339</v>
      </c>
      <c r="AE776" t="s">
        <v>268</v>
      </c>
      <c r="AG776" s="12" t="s">
        <v>268</v>
      </c>
      <c r="AH776" t="s">
        <v>92</v>
      </c>
      <c r="AI776" s="12" t="s">
        <v>268</v>
      </c>
      <c r="AJ776" t="s">
        <v>92</v>
      </c>
      <c r="AK776" t="s">
        <v>92</v>
      </c>
      <c r="AL776" t="s">
        <v>92</v>
      </c>
      <c r="AM776" s="12" t="s">
        <v>268</v>
      </c>
      <c r="AN776" s="12" t="s">
        <v>268</v>
      </c>
      <c r="AO776" s="12" t="s">
        <v>268</v>
      </c>
      <c r="AP776" s="12" t="s">
        <v>268</v>
      </c>
      <c r="AQ776" s="12" t="s">
        <v>268</v>
      </c>
      <c r="AR776" s="28" t="str">
        <f t="shared" ca="1" si="63"/>
        <v/>
      </c>
      <c r="AS776" s="28" t="str">
        <f t="shared" ca="1" si="64"/>
        <v/>
      </c>
    </row>
    <row r="777" spans="2:45" ht="27.6" customHeight="1">
      <c r="B777">
        <f t="shared" ca="1" si="60"/>
        <v>0</v>
      </c>
      <c r="C777" t="s">
        <v>85</v>
      </c>
      <c r="D777" t="s">
        <v>92</v>
      </c>
      <c r="E777" t="s">
        <v>92</v>
      </c>
      <c r="F777" t="s">
        <v>92</v>
      </c>
      <c r="G777" t="s">
        <v>92</v>
      </c>
      <c r="H777" t="s">
        <v>92</v>
      </c>
      <c r="I777" s="12" t="s">
        <v>268</v>
      </c>
      <c r="J777" t="s">
        <v>278</v>
      </c>
      <c r="L777" t="s">
        <v>92</v>
      </c>
      <c r="N777" s="14">
        <v>1</v>
      </c>
      <c r="P777" s="12" t="s">
        <v>268</v>
      </c>
      <c r="W777" s="9" t="str">
        <f t="shared" ca="1" si="61"/>
        <v>18.5%</v>
      </c>
      <c r="X777" t="s">
        <v>321</v>
      </c>
      <c r="Y777" s="9" t="str">
        <f t="shared" ca="1" si="62"/>
        <v>Sin costo</v>
      </c>
      <c r="Z777" t="s">
        <v>327</v>
      </c>
      <c r="AA777" t="s">
        <v>329</v>
      </c>
      <c r="AB777" t="s">
        <v>334</v>
      </c>
      <c r="AC777" s="12" t="s">
        <v>339</v>
      </c>
      <c r="AE777" t="s">
        <v>268</v>
      </c>
      <c r="AG777" s="12" t="s">
        <v>268</v>
      </c>
      <c r="AH777" t="s">
        <v>92</v>
      </c>
      <c r="AI777" s="12" t="s">
        <v>268</v>
      </c>
      <c r="AJ777" t="s">
        <v>92</v>
      </c>
      <c r="AK777" t="s">
        <v>92</v>
      </c>
      <c r="AL777" t="s">
        <v>92</v>
      </c>
      <c r="AM777" s="12" t="s">
        <v>268</v>
      </c>
      <c r="AN777" s="12" t="s">
        <v>268</v>
      </c>
      <c r="AO777" s="12" t="s">
        <v>268</v>
      </c>
      <c r="AP777" s="12" t="s">
        <v>268</v>
      </c>
      <c r="AQ777" s="12" t="s">
        <v>268</v>
      </c>
      <c r="AR777" s="28" t="str">
        <f t="shared" ca="1" si="63"/>
        <v/>
      </c>
      <c r="AS777" s="28" t="str">
        <f t="shared" ca="1" si="64"/>
        <v/>
      </c>
    </row>
    <row r="778" spans="2:45" ht="27.6" customHeight="1">
      <c r="B778">
        <f t="shared" ca="1" si="60"/>
        <v>0</v>
      </c>
      <c r="C778" t="s">
        <v>85</v>
      </c>
      <c r="D778" t="s">
        <v>92</v>
      </c>
      <c r="E778" t="s">
        <v>92</v>
      </c>
      <c r="F778" t="s">
        <v>92</v>
      </c>
      <c r="G778" t="s">
        <v>92</v>
      </c>
      <c r="H778" t="s">
        <v>92</v>
      </c>
      <c r="I778" s="12" t="s">
        <v>268</v>
      </c>
      <c r="J778" t="s">
        <v>278</v>
      </c>
      <c r="L778" t="s">
        <v>92</v>
      </c>
      <c r="N778" s="14">
        <v>1</v>
      </c>
      <c r="P778" s="12" t="s">
        <v>268</v>
      </c>
      <c r="W778" s="9" t="str">
        <f t="shared" ca="1" si="61"/>
        <v>18.5%</v>
      </c>
      <c r="X778" t="s">
        <v>321</v>
      </c>
      <c r="Y778" s="9" t="str">
        <f t="shared" ca="1" si="62"/>
        <v>Sin costo</v>
      </c>
      <c r="Z778" t="s">
        <v>327</v>
      </c>
      <c r="AA778" t="s">
        <v>329</v>
      </c>
      <c r="AB778" t="s">
        <v>334</v>
      </c>
      <c r="AC778" s="12" t="s">
        <v>339</v>
      </c>
      <c r="AE778" t="s">
        <v>268</v>
      </c>
      <c r="AG778" s="12" t="s">
        <v>268</v>
      </c>
      <c r="AH778" t="s">
        <v>92</v>
      </c>
      <c r="AI778" s="12" t="s">
        <v>268</v>
      </c>
      <c r="AJ778" t="s">
        <v>92</v>
      </c>
      <c r="AK778" t="s">
        <v>92</v>
      </c>
      <c r="AL778" t="s">
        <v>92</v>
      </c>
      <c r="AM778" s="12" t="s">
        <v>268</v>
      </c>
      <c r="AN778" s="12" t="s">
        <v>268</v>
      </c>
      <c r="AO778" s="12" t="s">
        <v>268</v>
      </c>
      <c r="AP778" s="12" t="s">
        <v>268</v>
      </c>
      <c r="AQ778" s="12" t="s">
        <v>268</v>
      </c>
      <c r="AR778" s="28" t="str">
        <f t="shared" ca="1" si="63"/>
        <v/>
      </c>
      <c r="AS778" s="28" t="str">
        <f t="shared" ca="1" si="64"/>
        <v/>
      </c>
    </row>
    <row r="779" spans="2:45" ht="27.6" customHeight="1">
      <c r="B779">
        <f t="shared" ca="1" si="60"/>
        <v>0</v>
      </c>
      <c r="C779" t="s">
        <v>85</v>
      </c>
      <c r="D779" t="s">
        <v>92</v>
      </c>
      <c r="E779" t="s">
        <v>92</v>
      </c>
      <c r="F779" t="s">
        <v>92</v>
      </c>
      <c r="G779" t="s">
        <v>92</v>
      </c>
      <c r="H779" t="s">
        <v>92</v>
      </c>
      <c r="I779" s="12" t="s">
        <v>268</v>
      </c>
      <c r="J779" t="s">
        <v>278</v>
      </c>
      <c r="L779" t="s">
        <v>92</v>
      </c>
      <c r="N779" s="14">
        <v>1</v>
      </c>
      <c r="P779" s="12" t="s">
        <v>268</v>
      </c>
      <c r="W779" s="9" t="str">
        <f t="shared" ca="1" si="61"/>
        <v>18.5%</v>
      </c>
      <c r="X779" t="s">
        <v>321</v>
      </c>
      <c r="Y779" s="9" t="str">
        <f t="shared" ca="1" si="62"/>
        <v>Sin costo</v>
      </c>
      <c r="Z779" t="s">
        <v>327</v>
      </c>
      <c r="AA779" t="s">
        <v>329</v>
      </c>
      <c r="AB779" t="s">
        <v>334</v>
      </c>
      <c r="AC779" s="12" t="s">
        <v>339</v>
      </c>
      <c r="AE779" t="s">
        <v>268</v>
      </c>
      <c r="AG779" s="12" t="s">
        <v>268</v>
      </c>
      <c r="AH779" t="s">
        <v>92</v>
      </c>
      <c r="AI779" s="12" t="s">
        <v>268</v>
      </c>
      <c r="AJ779" t="s">
        <v>92</v>
      </c>
      <c r="AK779" t="s">
        <v>92</v>
      </c>
      <c r="AL779" t="s">
        <v>92</v>
      </c>
      <c r="AM779" s="12" t="s">
        <v>268</v>
      </c>
      <c r="AN779" s="12" t="s">
        <v>268</v>
      </c>
      <c r="AO779" s="12" t="s">
        <v>268</v>
      </c>
      <c r="AP779" s="12" t="s">
        <v>268</v>
      </c>
      <c r="AQ779" s="12" t="s">
        <v>268</v>
      </c>
      <c r="AR779" s="28" t="str">
        <f t="shared" ca="1" si="63"/>
        <v/>
      </c>
      <c r="AS779" s="28" t="str">
        <f t="shared" ca="1" si="64"/>
        <v/>
      </c>
    </row>
    <row r="780" spans="2:45" ht="27.6" customHeight="1">
      <c r="B780">
        <f t="shared" ca="1" si="60"/>
        <v>0</v>
      </c>
      <c r="C780" t="s">
        <v>85</v>
      </c>
      <c r="D780" t="s">
        <v>92</v>
      </c>
      <c r="E780" t="s">
        <v>92</v>
      </c>
      <c r="F780" t="s">
        <v>92</v>
      </c>
      <c r="G780" t="s">
        <v>92</v>
      </c>
      <c r="H780" t="s">
        <v>92</v>
      </c>
      <c r="I780" s="12" t="s">
        <v>268</v>
      </c>
      <c r="J780" t="s">
        <v>278</v>
      </c>
      <c r="L780" t="s">
        <v>92</v>
      </c>
      <c r="N780" s="14">
        <v>1</v>
      </c>
      <c r="P780" s="12" t="s">
        <v>268</v>
      </c>
      <c r="W780" s="9" t="str">
        <f t="shared" ca="1" si="61"/>
        <v>18.5%</v>
      </c>
      <c r="X780" t="s">
        <v>321</v>
      </c>
      <c r="Y780" s="9" t="str">
        <f t="shared" ca="1" si="62"/>
        <v>Sin costo</v>
      </c>
      <c r="Z780" t="s">
        <v>327</v>
      </c>
      <c r="AA780" t="s">
        <v>329</v>
      </c>
      <c r="AB780" t="s">
        <v>334</v>
      </c>
      <c r="AC780" s="12" t="s">
        <v>339</v>
      </c>
      <c r="AE780" t="s">
        <v>268</v>
      </c>
      <c r="AG780" s="12" t="s">
        <v>268</v>
      </c>
      <c r="AH780" t="s">
        <v>92</v>
      </c>
      <c r="AI780" s="12" t="s">
        <v>268</v>
      </c>
      <c r="AJ780" t="s">
        <v>92</v>
      </c>
      <c r="AK780" t="s">
        <v>92</v>
      </c>
      <c r="AL780" t="s">
        <v>92</v>
      </c>
      <c r="AM780" s="12" t="s">
        <v>268</v>
      </c>
      <c r="AN780" s="12" t="s">
        <v>268</v>
      </c>
      <c r="AO780" s="12" t="s">
        <v>268</v>
      </c>
      <c r="AP780" s="12" t="s">
        <v>268</v>
      </c>
      <c r="AQ780" s="12" t="s">
        <v>268</v>
      </c>
      <c r="AR780" s="28" t="str">
        <f t="shared" ca="1" si="63"/>
        <v/>
      </c>
      <c r="AS780" s="28" t="str">
        <f t="shared" ca="1" si="64"/>
        <v/>
      </c>
    </row>
    <row r="781" spans="2:45" ht="27.6" customHeight="1">
      <c r="B781">
        <f t="shared" ca="1" si="60"/>
        <v>0</v>
      </c>
      <c r="C781" t="s">
        <v>85</v>
      </c>
      <c r="D781" t="s">
        <v>92</v>
      </c>
      <c r="E781" t="s">
        <v>92</v>
      </c>
      <c r="F781" t="s">
        <v>92</v>
      </c>
      <c r="G781" t="s">
        <v>92</v>
      </c>
      <c r="H781" t="s">
        <v>92</v>
      </c>
      <c r="I781" s="12" t="s">
        <v>268</v>
      </c>
      <c r="J781" t="s">
        <v>278</v>
      </c>
      <c r="L781" t="s">
        <v>92</v>
      </c>
      <c r="N781" s="14">
        <v>1</v>
      </c>
      <c r="P781" s="12" t="s">
        <v>268</v>
      </c>
      <c r="W781" s="9" t="str">
        <f t="shared" ca="1" si="61"/>
        <v>18.5%</v>
      </c>
      <c r="X781" t="s">
        <v>321</v>
      </c>
      <c r="Y781" s="9" t="str">
        <f t="shared" ca="1" si="62"/>
        <v>Sin costo</v>
      </c>
      <c r="Z781" t="s">
        <v>327</v>
      </c>
      <c r="AA781" t="s">
        <v>329</v>
      </c>
      <c r="AB781" t="s">
        <v>334</v>
      </c>
      <c r="AC781" s="12" t="s">
        <v>339</v>
      </c>
      <c r="AE781" t="s">
        <v>268</v>
      </c>
      <c r="AG781" s="12" t="s">
        <v>268</v>
      </c>
      <c r="AH781" t="s">
        <v>92</v>
      </c>
      <c r="AI781" s="12" t="s">
        <v>268</v>
      </c>
      <c r="AJ781" t="s">
        <v>92</v>
      </c>
      <c r="AK781" t="s">
        <v>92</v>
      </c>
      <c r="AL781" t="s">
        <v>92</v>
      </c>
      <c r="AM781" s="12" t="s">
        <v>268</v>
      </c>
      <c r="AN781" s="12" t="s">
        <v>268</v>
      </c>
      <c r="AO781" s="12" t="s">
        <v>268</v>
      </c>
      <c r="AP781" s="12" t="s">
        <v>268</v>
      </c>
      <c r="AQ781" s="12" t="s">
        <v>268</v>
      </c>
      <c r="AR781" s="28" t="str">
        <f t="shared" ca="1" si="63"/>
        <v/>
      </c>
      <c r="AS781" s="28" t="str">
        <f t="shared" ca="1" si="64"/>
        <v/>
      </c>
    </row>
    <row r="782" spans="2:45" ht="27.6" customHeight="1">
      <c r="B782">
        <f t="shared" ca="1" si="60"/>
        <v>0</v>
      </c>
      <c r="C782" t="s">
        <v>85</v>
      </c>
      <c r="D782" t="s">
        <v>92</v>
      </c>
      <c r="E782" t="s">
        <v>92</v>
      </c>
      <c r="F782" t="s">
        <v>92</v>
      </c>
      <c r="G782" t="s">
        <v>92</v>
      </c>
      <c r="H782" t="s">
        <v>92</v>
      </c>
      <c r="I782" s="12" t="s">
        <v>268</v>
      </c>
      <c r="J782" t="s">
        <v>278</v>
      </c>
      <c r="L782" t="s">
        <v>92</v>
      </c>
      <c r="N782" s="14">
        <v>1</v>
      </c>
      <c r="P782" s="12" t="s">
        <v>268</v>
      </c>
      <c r="W782" s="9" t="str">
        <f t="shared" ca="1" si="61"/>
        <v>18.5%</v>
      </c>
      <c r="X782" t="s">
        <v>321</v>
      </c>
      <c r="Y782" s="9" t="str">
        <f t="shared" ca="1" si="62"/>
        <v>Sin costo</v>
      </c>
      <c r="Z782" t="s">
        <v>327</v>
      </c>
      <c r="AA782" t="s">
        <v>329</v>
      </c>
      <c r="AB782" t="s">
        <v>334</v>
      </c>
      <c r="AC782" s="12" t="s">
        <v>339</v>
      </c>
      <c r="AE782" t="s">
        <v>268</v>
      </c>
      <c r="AG782" s="12" t="s">
        <v>268</v>
      </c>
      <c r="AH782" t="s">
        <v>92</v>
      </c>
      <c r="AI782" s="12" t="s">
        <v>268</v>
      </c>
      <c r="AJ782" t="s">
        <v>92</v>
      </c>
      <c r="AK782" t="s">
        <v>92</v>
      </c>
      <c r="AL782" t="s">
        <v>92</v>
      </c>
      <c r="AM782" s="12" t="s">
        <v>268</v>
      </c>
      <c r="AN782" s="12" t="s">
        <v>268</v>
      </c>
      <c r="AO782" s="12" t="s">
        <v>268</v>
      </c>
      <c r="AP782" s="12" t="s">
        <v>268</v>
      </c>
      <c r="AQ782" s="12" t="s">
        <v>268</v>
      </c>
      <c r="AR782" s="28" t="str">
        <f t="shared" ca="1" si="63"/>
        <v/>
      </c>
      <c r="AS782" s="28" t="str">
        <f t="shared" ca="1" si="64"/>
        <v/>
      </c>
    </row>
    <row r="783" spans="2:45" ht="27.6" customHeight="1">
      <c r="B783">
        <f t="shared" ca="1" si="60"/>
        <v>0</v>
      </c>
      <c r="C783" t="s">
        <v>85</v>
      </c>
      <c r="D783" t="s">
        <v>92</v>
      </c>
      <c r="E783" t="s">
        <v>92</v>
      </c>
      <c r="F783" t="s">
        <v>92</v>
      </c>
      <c r="G783" t="s">
        <v>92</v>
      </c>
      <c r="H783" t="s">
        <v>92</v>
      </c>
      <c r="I783" s="12" t="s">
        <v>268</v>
      </c>
      <c r="J783" t="s">
        <v>278</v>
      </c>
      <c r="L783" t="s">
        <v>92</v>
      </c>
      <c r="N783" s="14">
        <v>1</v>
      </c>
      <c r="P783" s="12" t="s">
        <v>268</v>
      </c>
      <c r="W783" s="9" t="str">
        <f t="shared" ca="1" si="61"/>
        <v>18.5%</v>
      </c>
      <c r="X783" t="s">
        <v>321</v>
      </c>
      <c r="Y783" s="9" t="str">
        <f t="shared" ca="1" si="62"/>
        <v>Sin costo</v>
      </c>
      <c r="Z783" t="s">
        <v>327</v>
      </c>
      <c r="AA783" t="s">
        <v>329</v>
      </c>
      <c r="AB783" t="s">
        <v>334</v>
      </c>
      <c r="AC783" s="12" t="s">
        <v>339</v>
      </c>
      <c r="AE783" t="s">
        <v>268</v>
      </c>
      <c r="AG783" s="12" t="s">
        <v>268</v>
      </c>
      <c r="AH783" t="s">
        <v>92</v>
      </c>
      <c r="AI783" s="12" t="s">
        <v>268</v>
      </c>
      <c r="AJ783" t="s">
        <v>92</v>
      </c>
      <c r="AK783" t="s">
        <v>92</v>
      </c>
      <c r="AL783" t="s">
        <v>92</v>
      </c>
      <c r="AM783" s="12" t="s">
        <v>268</v>
      </c>
      <c r="AN783" s="12" t="s">
        <v>268</v>
      </c>
      <c r="AO783" s="12" t="s">
        <v>268</v>
      </c>
      <c r="AP783" s="12" t="s">
        <v>268</v>
      </c>
      <c r="AQ783" s="12" t="s">
        <v>268</v>
      </c>
      <c r="AR783" s="28" t="str">
        <f t="shared" ca="1" si="63"/>
        <v/>
      </c>
      <c r="AS783" s="28" t="str">
        <f t="shared" ca="1" si="64"/>
        <v/>
      </c>
    </row>
    <row r="784" spans="2:45" ht="27.6" customHeight="1">
      <c r="B784">
        <f t="shared" ca="1" si="60"/>
        <v>0</v>
      </c>
      <c r="C784" t="s">
        <v>85</v>
      </c>
      <c r="D784" t="s">
        <v>92</v>
      </c>
      <c r="E784" t="s">
        <v>92</v>
      </c>
      <c r="F784" t="s">
        <v>92</v>
      </c>
      <c r="G784" t="s">
        <v>92</v>
      </c>
      <c r="H784" t="s">
        <v>92</v>
      </c>
      <c r="I784" s="12" t="s">
        <v>268</v>
      </c>
      <c r="J784" t="s">
        <v>278</v>
      </c>
      <c r="L784" t="s">
        <v>92</v>
      </c>
      <c r="N784" s="14">
        <v>1</v>
      </c>
      <c r="P784" s="12" t="s">
        <v>268</v>
      </c>
      <c r="W784" s="9" t="str">
        <f t="shared" ca="1" si="61"/>
        <v>18.5%</v>
      </c>
      <c r="X784" t="s">
        <v>321</v>
      </c>
      <c r="Y784" s="9" t="str">
        <f t="shared" ca="1" si="62"/>
        <v>Sin costo</v>
      </c>
      <c r="Z784" t="s">
        <v>327</v>
      </c>
      <c r="AA784" t="s">
        <v>329</v>
      </c>
      <c r="AB784" t="s">
        <v>334</v>
      </c>
      <c r="AC784" s="12" t="s">
        <v>339</v>
      </c>
      <c r="AE784" t="s">
        <v>268</v>
      </c>
      <c r="AG784" s="12" t="s">
        <v>268</v>
      </c>
      <c r="AH784" t="s">
        <v>92</v>
      </c>
      <c r="AI784" s="12" t="s">
        <v>268</v>
      </c>
      <c r="AJ784" t="s">
        <v>92</v>
      </c>
      <c r="AK784" t="s">
        <v>92</v>
      </c>
      <c r="AL784" t="s">
        <v>92</v>
      </c>
      <c r="AM784" s="12" t="s">
        <v>268</v>
      </c>
      <c r="AN784" s="12" t="s">
        <v>268</v>
      </c>
      <c r="AO784" s="12" t="s">
        <v>268</v>
      </c>
      <c r="AP784" s="12" t="s">
        <v>268</v>
      </c>
      <c r="AQ784" s="12" t="s">
        <v>268</v>
      </c>
      <c r="AR784" s="28" t="str">
        <f t="shared" ca="1" si="63"/>
        <v/>
      </c>
      <c r="AS784" s="28" t="str">
        <f t="shared" ca="1" si="64"/>
        <v/>
      </c>
    </row>
    <row r="785" spans="2:45" ht="27.6" customHeight="1">
      <c r="B785">
        <f t="shared" ca="1" si="60"/>
        <v>0</v>
      </c>
      <c r="C785" t="s">
        <v>85</v>
      </c>
      <c r="D785" t="s">
        <v>92</v>
      </c>
      <c r="E785" t="s">
        <v>92</v>
      </c>
      <c r="F785" t="s">
        <v>92</v>
      </c>
      <c r="G785" t="s">
        <v>92</v>
      </c>
      <c r="H785" t="s">
        <v>92</v>
      </c>
      <c r="I785" s="12" t="s">
        <v>268</v>
      </c>
      <c r="J785" t="s">
        <v>278</v>
      </c>
      <c r="L785" t="s">
        <v>92</v>
      </c>
      <c r="N785" s="14">
        <v>1</v>
      </c>
      <c r="P785" s="12" t="s">
        <v>268</v>
      </c>
      <c r="W785" s="9" t="str">
        <f t="shared" ca="1" si="61"/>
        <v>18.5%</v>
      </c>
      <c r="X785" t="s">
        <v>321</v>
      </c>
      <c r="Y785" s="9" t="str">
        <f t="shared" ca="1" si="62"/>
        <v>Sin costo</v>
      </c>
      <c r="Z785" t="s">
        <v>327</v>
      </c>
      <c r="AA785" t="s">
        <v>329</v>
      </c>
      <c r="AB785" t="s">
        <v>334</v>
      </c>
      <c r="AC785" s="12" t="s">
        <v>339</v>
      </c>
      <c r="AE785" t="s">
        <v>268</v>
      </c>
      <c r="AG785" s="12" t="s">
        <v>268</v>
      </c>
      <c r="AH785" t="s">
        <v>92</v>
      </c>
      <c r="AI785" s="12" t="s">
        <v>268</v>
      </c>
      <c r="AJ785" t="s">
        <v>92</v>
      </c>
      <c r="AK785" t="s">
        <v>92</v>
      </c>
      <c r="AL785" t="s">
        <v>92</v>
      </c>
      <c r="AM785" s="12" t="s">
        <v>268</v>
      </c>
      <c r="AN785" s="12" t="s">
        <v>268</v>
      </c>
      <c r="AO785" s="12" t="s">
        <v>268</v>
      </c>
      <c r="AP785" s="12" t="s">
        <v>268</v>
      </c>
      <c r="AQ785" s="12" t="s">
        <v>268</v>
      </c>
      <c r="AR785" s="28" t="str">
        <f t="shared" ca="1" si="63"/>
        <v/>
      </c>
      <c r="AS785" s="28" t="str">
        <f t="shared" ca="1" si="64"/>
        <v/>
      </c>
    </row>
    <row r="786" spans="2:45" ht="27.6" customHeight="1">
      <c r="B786">
        <f t="shared" ca="1" si="60"/>
        <v>0</v>
      </c>
      <c r="C786" t="s">
        <v>85</v>
      </c>
      <c r="D786" t="s">
        <v>92</v>
      </c>
      <c r="E786" t="s">
        <v>92</v>
      </c>
      <c r="F786" t="s">
        <v>92</v>
      </c>
      <c r="G786" t="s">
        <v>92</v>
      </c>
      <c r="H786" t="s">
        <v>92</v>
      </c>
      <c r="I786" s="12" t="s">
        <v>268</v>
      </c>
      <c r="J786" t="s">
        <v>278</v>
      </c>
      <c r="L786" t="s">
        <v>92</v>
      </c>
      <c r="N786" s="14">
        <v>1</v>
      </c>
      <c r="P786" s="12" t="s">
        <v>268</v>
      </c>
      <c r="W786" s="9" t="str">
        <f t="shared" ca="1" si="61"/>
        <v>18.5%</v>
      </c>
      <c r="X786" t="s">
        <v>321</v>
      </c>
      <c r="Y786" s="9" t="str">
        <f t="shared" ca="1" si="62"/>
        <v>Sin costo</v>
      </c>
      <c r="Z786" t="s">
        <v>327</v>
      </c>
      <c r="AA786" t="s">
        <v>329</v>
      </c>
      <c r="AB786" t="s">
        <v>334</v>
      </c>
      <c r="AC786" s="12" t="s">
        <v>339</v>
      </c>
      <c r="AE786" t="s">
        <v>268</v>
      </c>
      <c r="AG786" s="12" t="s">
        <v>268</v>
      </c>
      <c r="AH786" t="s">
        <v>92</v>
      </c>
      <c r="AI786" s="12" t="s">
        <v>268</v>
      </c>
      <c r="AJ786" t="s">
        <v>92</v>
      </c>
      <c r="AK786" t="s">
        <v>92</v>
      </c>
      <c r="AL786" t="s">
        <v>92</v>
      </c>
      <c r="AM786" s="12" t="s">
        <v>268</v>
      </c>
      <c r="AN786" s="12" t="s">
        <v>268</v>
      </c>
      <c r="AO786" s="12" t="s">
        <v>268</v>
      </c>
      <c r="AP786" s="12" t="s">
        <v>268</v>
      </c>
      <c r="AQ786" s="12" t="s">
        <v>268</v>
      </c>
      <c r="AR786" s="28" t="str">
        <f t="shared" ca="1" si="63"/>
        <v/>
      </c>
      <c r="AS786" s="28" t="str">
        <f t="shared" ca="1" si="64"/>
        <v/>
      </c>
    </row>
    <row r="787" spans="2:45" ht="27.6" customHeight="1">
      <c r="B787">
        <f t="shared" ca="1" si="60"/>
        <v>0</v>
      </c>
      <c r="C787" t="s">
        <v>85</v>
      </c>
      <c r="D787" t="s">
        <v>92</v>
      </c>
      <c r="E787" t="s">
        <v>92</v>
      </c>
      <c r="F787" t="s">
        <v>92</v>
      </c>
      <c r="G787" t="s">
        <v>92</v>
      </c>
      <c r="H787" t="s">
        <v>92</v>
      </c>
      <c r="I787" s="12" t="s">
        <v>268</v>
      </c>
      <c r="J787" t="s">
        <v>278</v>
      </c>
      <c r="L787" t="s">
        <v>92</v>
      </c>
      <c r="N787" s="14">
        <v>1</v>
      </c>
      <c r="P787" s="12" t="s">
        <v>268</v>
      </c>
      <c r="W787" s="9" t="str">
        <f t="shared" ca="1" si="61"/>
        <v>18.5%</v>
      </c>
      <c r="X787" t="s">
        <v>321</v>
      </c>
      <c r="Y787" s="9" t="str">
        <f t="shared" ca="1" si="62"/>
        <v>Sin costo</v>
      </c>
      <c r="Z787" t="s">
        <v>327</v>
      </c>
      <c r="AA787" t="s">
        <v>329</v>
      </c>
      <c r="AB787" t="s">
        <v>334</v>
      </c>
      <c r="AC787" s="12" t="s">
        <v>339</v>
      </c>
      <c r="AE787" t="s">
        <v>268</v>
      </c>
      <c r="AG787" s="12" t="s">
        <v>268</v>
      </c>
      <c r="AH787" t="s">
        <v>92</v>
      </c>
      <c r="AI787" s="12" t="s">
        <v>268</v>
      </c>
      <c r="AJ787" t="s">
        <v>92</v>
      </c>
      <c r="AK787" t="s">
        <v>92</v>
      </c>
      <c r="AL787" t="s">
        <v>92</v>
      </c>
      <c r="AM787" s="12" t="s">
        <v>268</v>
      </c>
      <c r="AN787" s="12" t="s">
        <v>268</v>
      </c>
      <c r="AO787" s="12" t="s">
        <v>268</v>
      </c>
      <c r="AP787" s="12" t="s">
        <v>268</v>
      </c>
      <c r="AQ787" s="12" t="s">
        <v>268</v>
      </c>
      <c r="AR787" s="28" t="str">
        <f t="shared" ca="1" si="63"/>
        <v/>
      </c>
      <c r="AS787" s="28" t="str">
        <f t="shared" ca="1" si="64"/>
        <v/>
      </c>
    </row>
    <row r="788" spans="2:45" ht="27.6" customHeight="1">
      <c r="B788">
        <f t="shared" ca="1" si="60"/>
        <v>0</v>
      </c>
      <c r="C788" t="s">
        <v>85</v>
      </c>
      <c r="D788" t="s">
        <v>92</v>
      </c>
      <c r="E788" t="s">
        <v>92</v>
      </c>
      <c r="F788" t="s">
        <v>92</v>
      </c>
      <c r="G788" t="s">
        <v>92</v>
      </c>
      <c r="H788" t="s">
        <v>92</v>
      </c>
      <c r="I788" s="12" t="s">
        <v>268</v>
      </c>
      <c r="J788" t="s">
        <v>278</v>
      </c>
      <c r="L788" t="s">
        <v>92</v>
      </c>
      <c r="N788" s="14">
        <v>1</v>
      </c>
      <c r="P788" s="12" t="s">
        <v>268</v>
      </c>
      <c r="W788" s="9" t="str">
        <f t="shared" ca="1" si="61"/>
        <v>18.5%</v>
      </c>
      <c r="X788" t="s">
        <v>321</v>
      </c>
      <c r="Y788" s="9" t="str">
        <f t="shared" ca="1" si="62"/>
        <v>Sin costo</v>
      </c>
      <c r="Z788" t="s">
        <v>327</v>
      </c>
      <c r="AA788" t="s">
        <v>329</v>
      </c>
      <c r="AB788" t="s">
        <v>334</v>
      </c>
      <c r="AC788" s="12" t="s">
        <v>339</v>
      </c>
      <c r="AE788" t="s">
        <v>268</v>
      </c>
      <c r="AG788" s="12" t="s">
        <v>268</v>
      </c>
      <c r="AH788" t="s">
        <v>92</v>
      </c>
      <c r="AI788" s="12" t="s">
        <v>268</v>
      </c>
      <c r="AJ788" t="s">
        <v>92</v>
      </c>
      <c r="AK788" t="s">
        <v>92</v>
      </c>
      <c r="AL788" t="s">
        <v>92</v>
      </c>
      <c r="AM788" s="12" t="s">
        <v>268</v>
      </c>
      <c r="AN788" s="12" t="s">
        <v>268</v>
      </c>
      <c r="AO788" s="12" t="s">
        <v>268</v>
      </c>
      <c r="AP788" s="12" t="s">
        <v>268</v>
      </c>
      <c r="AQ788" s="12" t="s">
        <v>268</v>
      </c>
      <c r="AR788" s="28" t="str">
        <f t="shared" ca="1" si="63"/>
        <v/>
      </c>
      <c r="AS788" s="28" t="str">
        <f t="shared" ca="1" si="64"/>
        <v/>
      </c>
    </row>
    <row r="789" spans="2:45" ht="27.6" customHeight="1">
      <c r="B789">
        <f t="shared" ca="1" si="60"/>
        <v>0</v>
      </c>
      <c r="C789" t="s">
        <v>85</v>
      </c>
      <c r="D789" t="s">
        <v>92</v>
      </c>
      <c r="E789" t="s">
        <v>92</v>
      </c>
      <c r="F789" t="s">
        <v>92</v>
      </c>
      <c r="G789" t="s">
        <v>92</v>
      </c>
      <c r="H789" t="s">
        <v>92</v>
      </c>
      <c r="I789" s="12" t="s">
        <v>268</v>
      </c>
      <c r="J789" t="s">
        <v>278</v>
      </c>
      <c r="L789" t="s">
        <v>92</v>
      </c>
      <c r="N789" s="14">
        <v>1</v>
      </c>
      <c r="P789" s="12" t="s">
        <v>268</v>
      </c>
      <c r="W789" s="9" t="str">
        <f t="shared" ca="1" si="61"/>
        <v>18.5%</v>
      </c>
      <c r="X789" t="s">
        <v>321</v>
      </c>
      <c r="Y789" s="9" t="str">
        <f t="shared" ca="1" si="62"/>
        <v>Sin costo</v>
      </c>
      <c r="Z789" t="s">
        <v>327</v>
      </c>
      <c r="AA789" t="s">
        <v>329</v>
      </c>
      <c r="AB789" t="s">
        <v>334</v>
      </c>
      <c r="AC789" s="12" t="s">
        <v>339</v>
      </c>
      <c r="AE789" t="s">
        <v>268</v>
      </c>
      <c r="AG789" s="12" t="s">
        <v>268</v>
      </c>
      <c r="AH789" t="s">
        <v>92</v>
      </c>
      <c r="AI789" s="12" t="s">
        <v>268</v>
      </c>
      <c r="AJ789" t="s">
        <v>92</v>
      </c>
      <c r="AK789" t="s">
        <v>92</v>
      </c>
      <c r="AL789" t="s">
        <v>92</v>
      </c>
      <c r="AM789" s="12" t="s">
        <v>268</v>
      </c>
      <c r="AN789" s="12" t="s">
        <v>268</v>
      </c>
      <c r="AO789" s="12" t="s">
        <v>268</v>
      </c>
      <c r="AP789" s="12" t="s">
        <v>268</v>
      </c>
      <c r="AQ789" s="12" t="s">
        <v>268</v>
      </c>
      <c r="AR789" s="28" t="str">
        <f t="shared" ca="1" si="63"/>
        <v/>
      </c>
      <c r="AS789" s="28" t="str">
        <f t="shared" ca="1" si="64"/>
        <v/>
      </c>
    </row>
    <row r="790" spans="2:45" ht="27.6" customHeight="1">
      <c r="B790">
        <f t="shared" ca="1" si="60"/>
        <v>0</v>
      </c>
      <c r="C790" t="s">
        <v>85</v>
      </c>
      <c r="D790" t="s">
        <v>92</v>
      </c>
      <c r="E790" t="s">
        <v>92</v>
      </c>
      <c r="F790" t="s">
        <v>92</v>
      </c>
      <c r="G790" t="s">
        <v>92</v>
      </c>
      <c r="H790" t="s">
        <v>92</v>
      </c>
      <c r="I790" s="12" t="s">
        <v>268</v>
      </c>
      <c r="J790" t="s">
        <v>278</v>
      </c>
      <c r="L790" t="s">
        <v>92</v>
      </c>
      <c r="N790" s="14">
        <v>1</v>
      </c>
      <c r="P790" s="12" t="s">
        <v>268</v>
      </c>
      <c r="W790" s="9" t="str">
        <f t="shared" ca="1" si="61"/>
        <v>18.5%</v>
      </c>
      <c r="X790" t="s">
        <v>321</v>
      </c>
      <c r="Y790" s="9" t="str">
        <f t="shared" ca="1" si="62"/>
        <v>Sin costo</v>
      </c>
      <c r="Z790" t="s">
        <v>327</v>
      </c>
      <c r="AA790" t="s">
        <v>329</v>
      </c>
      <c r="AB790" t="s">
        <v>334</v>
      </c>
      <c r="AC790" s="12" t="s">
        <v>339</v>
      </c>
      <c r="AE790" t="s">
        <v>268</v>
      </c>
      <c r="AG790" s="12" t="s">
        <v>268</v>
      </c>
      <c r="AH790" t="s">
        <v>92</v>
      </c>
      <c r="AI790" s="12" t="s">
        <v>268</v>
      </c>
      <c r="AJ790" t="s">
        <v>92</v>
      </c>
      <c r="AK790" t="s">
        <v>92</v>
      </c>
      <c r="AL790" t="s">
        <v>92</v>
      </c>
      <c r="AM790" s="12" t="s">
        <v>268</v>
      </c>
      <c r="AN790" s="12" t="s">
        <v>268</v>
      </c>
      <c r="AO790" s="12" t="s">
        <v>268</v>
      </c>
      <c r="AP790" s="12" t="s">
        <v>268</v>
      </c>
      <c r="AQ790" s="12" t="s">
        <v>268</v>
      </c>
      <c r="AR790" s="28" t="str">
        <f t="shared" ca="1" si="63"/>
        <v/>
      </c>
      <c r="AS790" s="28" t="str">
        <f t="shared" ca="1" si="64"/>
        <v/>
      </c>
    </row>
    <row r="791" spans="2:45" ht="27.6" customHeight="1">
      <c r="B791">
        <f t="shared" ca="1" si="60"/>
        <v>0</v>
      </c>
      <c r="C791" t="s">
        <v>85</v>
      </c>
      <c r="D791" t="s">
        <v>92</v>
      </c>
      <c r="E791" t="s">
        <v>92</v>
      </c>
      <c r="F791" t="s">
        <v>92</v>
      </c>
      <c r="G791" t="s">
        <v>92</v>
      </c>
      <c r="H791" t="s">
        <v>92</v>
      </c>
      <c r="I791" s="12" t="s">
        <v>268</v>
      </c>
      <c r="J791" t="s">
        <v>278</v>
      </c>
      <c r="L791" t="s">
        <v>92</v>
      </c>
      <c r="N791" s="14">
        <v>1</v>
      </c>
      <c r="P791" s="12" t="s">
        <v>268</v>
      </c>
      <c r="W791" s="9" t="str">
        <f t="shared" ca="1" si="61"/>
        <v>18.5%</v>
      </c>
      <c r="X791" t="s">
        <v>321</v>
      </c>
      <c r="Y791" s="9" t="str">
        <f t="shared" ca="1" si="62"/>
        <v>Sin costo</v>
      </c>
      <c r="Z791" t="s">
        <v>327</v>
      </c>
      <c r="AA791" t="s">
        <v>329</v>
      </c>
      <c r="AB791" t="s">
        <v>334</v>
      </c>
      <c r="AC791" s="12" t="s">
        <v>339</v>
      </c>
      <c r="AE791" t="s">
        <v>268</v>
      </c>
      <c r="AG791" s="12" t="s">
        <v>268</v>
      </c>
      <c r="AH791" t="s">
        <v>92</v>
      </c>
      <c r="AI791" s="12" t="s">
        <v>268</v>
      </c>
      <c r="AJ791" t="s">
        <v>92</v>
      </c>
      <c r="AK791" t="s">
        <v>92</v>
      </c>
      <c r="AL791" t="s">
        <v>92</v>
      </c>
      <c r="AM791" s="12" t="s">
        <v>268</v>
      </c>
      <c r="AN791" s="12" t="s">
        <v>268</v>
      </c>
      <c r="AO791" s="12" t="s">
        <v>268</v>
      </c>
      <c r="AP791" s="12" t="s">
        <v>268</v>
      </c>
      <c r="AQ791" s="12" t="s">
        <v>268</v>
      </c>
      <c r="AR791" s="28" t="str">
        <f t="shared" ca="1" si="63"/>
        <v/>
      </c>
      <c r="AS791" s="28" t="str">
        <f t="shared" ca="1" si="64"/>
        <v/>
      </c>
    </row>
    <row r="792" spans="2:45" ht="27.6" customHeight="1">
      <c r="B792">
        <f t="shared" ca="1" si="60"/>
        <v>0</v>
      </c>
      <c r="C792" t="s">
        <v>85</v>
      </c>
      <c r="D792" t="s">
        <v>92</v>
      </c>
      <c r="E792" t="s">
        <v>92</v>
      </c>
      <c r="F792" t="s">
        <v>92</v>
      </c>
      <c r="G792" t="s">
        <v>92</v>
      </c>
      <c r="H792" t="s">
        <v>92</v>
      </c>
      <c r="I792" s="12" t="s">
        <v>268</v>
      </c>
      <c r="J792" t="s">
        <v>278</v>
      </c>
      <c r="L792" t="s">
        <v>92</v>
      </c>
      <c r="N792" s="14">
        <v>1</v>
      </c>
      <c r="P792" s="12" t="s">
        <v>268</v>
      </c>
      <c r="W792" s="9" t="str">
        <f t="shared" ca="1" si="61"/>
        <v>18.5%</v>
      </c>
      <c r="X792" t="s">
        <v>321</v>
      </c>
      <c r="Y792" s="9" t="str">
        <f t="shared" ca="1" si="62"/>
        <v>Sin costo</v>
      </c>
      <c r="Z792" t="s">
        <v>327</v>
      </c>
      <c r="AA792" t="s">
        <v>329</v>
      </c>
      <c r="AB792" t="s">
        <v>334</v>
      </c>
      <c r="AC792" s="12" t="s">
        <v>339</v>
      </c>
      <c r="AE792" t="s">
        <v>268</v>
      </c>
      <c r="AG792" s="12" t="s">
        <v>268</v>
      </c>
      <c r="AH792" t="s">
        <v>92</v>
      </c>
      <c r="AI792" s="12" t="s">
        <v>268</v>
      </c>
      <c r="AJ792" t="s">
        <v>92</v>
      </c>
      <c r="AK792" t="s">
        <v>92</v>
      </c>
      <c r="AL792" t="s">
        <v>92</v>
      </c>
      <c r="AM792" s="12" t="s">
        <v>268</v>
      </c>
      <c r="AN792" s="12" t="s">
        <v>268</v>
      </c>
      <c r="AO792" s="12" t="s">
        <v>268</v>
      </c>
      <c r="AP792" s="12" t="s">
        <v>268</v>
      </c>
      <c r="AQ792" s="12" t="s">
        <v>268</v>
      </c>
      <c r="AR792" s="28" t="str">
        <f t="shared" ca="1" si="63"/>
        <v/>
      </c>
      <c r="AS792" s="28" t="str">
        <f t="shared" ca="1" si="64"/>
        <v/>
      </c>
    </row>
    <row r="793" spans="2:45" ht="27.6" customHeight="1">
      <c r="B793">
        <f t="shared" ca="1" si="60"/>
        <v>0</v>
      </c>
      <c r="C793" t="s">
        <v>85</v>
      </c>
      <c r="D793" t="s">
        <v>92</v>
      </c>
      <c r="E793" t="s">
        <v>92</v>
      </c>
      <c r="F793" t="s">
        <v>92</v>
      </c>
      <c r="G793" t="s">
        <v>92</v>
      </c>
      <c r="H793" t="s">
        <v>92</v>
      </c>
      <c r="I793" s="12" t="s">
        <v>268</v>
      </c>
      <c r="J793" t="s">
        <v>278</v>
      </c>
      <c r="L793" t="s">
        <v>92</v>
      </c>
      <c r="N793" s="14">
        <v>1</v>
      </c>
      <c r="P793" s="12" t="s">
        <v>268</v>
      </c>
      <c r="W793" s="9" t="str">
        <f t="shared" ca="1" si="61"/>
        <v>18.5%</v>
      </c>
      <c r="X793" t="s">
        <v>321</v>
      </c>
      <c r="Y793" s="9" t="str">
        <f t="shared" ca="1" si="62"/>
        <v>Sin costo</v>
      </c>
      <c r="Z793" t="s">
        <v>327</v>
      </c>
      <c r="AA793" t="s">
        <v>329</v>
      </c>
      <c r="AB793" t="s">
        <v>334</v>
      </c>
      <c r="AC793" s="12" t="s">
        <v>339</v>
      </c>
      <c r="AE793" t="s">
        <v>268</v>
      </c>
      <c r="AG793" s="12" t="s">
        <v>268</v>
      </c>
      <c r="AH793" t="s">
        <v>92</v>
      </c>
      <c r="AI793" s="12" t="s">
        <v>268</v>
      </c>
      <c r="AJ793" t="s">
        <v>92</v>
      </c>
      <c r="AK793" t="s">
        <v>92</v>
      </c>
      <c r="AL793" t="s">
        <v>92</v>
      </c>
      <c r="AM793" s="12" t="s">
        <v>268</v>
      </c>
      <c r="AN793" s="12" t="s">
        <v>268</v>
      </c>
      <c r="AO793" s="12" t="s">
        <v>268</v>
      </c>
      <c r="AP793" s="12" t="s">
        <v>268</v>
      </c>
      <c r="AQ793" s="12" t="s">
        <v>268</v>
      </c>
      <c r="AR793" s="28" t="str">
        <f t="shared" ca="1" si="63"/>
        <v/>
      </c>
      <c r="AS793" s="28" t="str">
        <f t="shared" ca="1" si="64"/>
        <v/>
      </c>
    </row>
    <row r="794" spans="2:45" ht="27.6" customHeight="1">
      <c r="B794">
        <f t="shared" ca="1" si="60"/>
        <v>0</v>
      </c>
      <c r="C794" t="s">
        <v>85</v>
      </c>
      <c r="D794" t="s">
        <v>92</v>
      </c>
      <c r="E794" t="s">
        <v>92</v>
      </c>
      <c r="F794" t="s">
        <v>92</v>
      </c>
      <c r="G794" t="s">
        <v>92</v>
      </c>
      <c r="H794" t="s">
        <v>92</v>
      </c>
      <c r="I794" s="12" t="s">
        <v>268</v>
      </c>
      <c r="J794" t="s">
        <v>278</v>
      </c>
      <c r="L794" t="s">
        <v>92</v>
      </c>
      <c r="N794" s="14">
        <v>1</v>
      </c>
      <c r="P794" s="12" t="s">
        <v>268</v>
      </c>
      <c r="W794" s="9" t="str">
        <f t="shared" ca="1" si="61"/>
        <v>18.5%</v>
      </c>
      <c r="X794" t="s">
        <v>321</v>
      </c>
      <c r="Y794" s="9" t="str">
        <f t="shared" ca="1" si="62"/>
        <v>Sin costo</v>
      </c>
      <c r="Z794" t="s">
        <v>327</v>
      </c>
      <c r="AA794" t="s">
        <v>329</v>
      </c>
      <c r="AB794" t="s">
        <v>334</v>
      </c>
      <c r="AC794" s="12" t="s">
        <v>339</v>
      </c>
      <c r="AE794" t="s">
        <v>268</v>
      </c>
      <c r="AG794" s="12" t="s">
        <v>268</v>
      </c>
      <c r="AH794" t="s">
        <v>92</v>
      </c>
      <c r="AI794" s="12" t="s">
        <v>268</v>
      </c>
      <c r="AJ794" t="s">
        <v>92</v>
      </c>
      <c r="AK794" t="s">
        <v>92</v>
      </c>
      <c r="AL794" t="s">
        <v>92</v>
      </c>
      <c r="AM794" s="12" t="s">
        <v>268</v>
      </c>
      <c r="AN794" s="12" t="s">
        <v>268</v>
      </c>
      <c r="AO794" s="12" t="s">
        <v>268</v>
      </c>
      <c r="AP794" s="12" t="s">
        <v>268</v>
      </c>
      <c r="AQ794" s="12" t="s">
        <v>268</v>
      </c>
      <c r="AR794" s="28" t="str">
        <f t="shared" ca="1" si="63"/>
        <v/>
      </c>
      <c r="AS794" s="28" t="str">
        <f t="shared" ca="1" si="64"/>
        <v/>
      </c>
    </row>
    <row r="795" spans="2:45" ht="27.6" customHeight="1">
      <c r="B795">
        <f t="shared" ca="1" si="60"/>
        <v>0</v>
      </c>
      <c r="C795" t="s">
        <v>85</v>
      </c>
      <c r="D795" t="s">
        <v>92</v>
      </c>
      <c r="E795" t="s">
        <v>92</v>
      </c>
      <c r="F795" t="s">
        <v>92</v>
      </c>
      <c r="G795" t="s">
        <v>92</v>
      </c>
      <c r="H795" t="s">
        <v>92</v>
      </c>
      <c r="I795" s="12" t="s">
        <v>268</v>
      </c>
      <c r="J795" t="s">
        <v>278</v>
      </c>
      <c r="L795" t="s">
        <v>92</v>
      </c>
      <c r="N795" s="14">
        <v>1</v>
      </c>
      <c r="P795" s="12" t="s">
        <v>268</v>
      </c>
      <c r="W795" s="9" t="str">
        <f t="shared" ca="1" si="61"/>
        <v>18.5%</v>
      </c>
      <c r="X795" t="s">
        <v>321</v>
      </c>
      <c r="Y795" s="9" t="str">
        <f t="shared" ca="1" si="62"/>
        <v>Sin costo</v>
      </c>
      <c r="Z795" t="s">
        <v>327</v>
      </c>
      <c r="AA795" t="s">
        <v>329</v>
      </c>
      <c r="AB795" t="s">
        <v>334</v>
      </c>
      <c r="AC795" s="12" t="s">
        <v>339</v>
      </c>
      <c r="AE795" t="s">
        <v>268</v>
      </c>
      <c r="AG795" s="12" t="s">
        <v>268</v>
      </c>
      <c r="AH795" t="s">
        <v>92</v>
      </c>
      <c r="AI795" s="12" t="s">
        <v>268</v>
      </c>
      <c r="AJ795" t="s">
        <v>92</v>
      </c>
      <c r="AK795" t="s">
        <v>92</v>
      </c>
      <c r="AL795" t="s">
        <v>92</v>
      </c>
      <c r="AM795" s="12" t="s">
        <v>268</v>
      </c>
      <c r="AN795" s="12" t="s">
        <v>268</v>
      </c>
      <c r="AO795" s="12" t="s">
        <v>268</v>
      </c>
      <c r="AP795" s="12" t="s">
        <v>268</v>
      </c>
      <c r="AQ795" s="12" t="s">
        <v>268</v>
      </c>
      <c r="AR795" s="28" t="str">
        <f t="shared" ca="1" si="63"/>
        <v/>
      </c>
      <c r="AS795" s="28" t="str">
        <f t="shared" ca="1" si="64"/>
        <v/>
      </c>
    </row>
    <row r="796" spans="2:45" ht="27.6" customHeight="1">
      <c r="B796">
        <f t="shared" ca="1" si="60"/>
        <v>0</v>
      </c>
      <c r="C796" t="s">
        <v>85</v>
      </c>
      <c r="D796" t="s">
        <v>92</v>
      </c>
      <c r="E796" t="s">
        <v>92</v>
      </c>
      <c r="F796" t="s">
        <v>92</v>
      </c>
      <c r="G796" t="s">
        <v>92</v>
      </c>
      <c r="H796" t="s">
        <v>92</v>
      </c>
      <c r="I796" s="12" t="s">
        <v>268</v>
      </c>
      <c r="J796" t="s">
        <v>278</v>
      </c>
      <c r="L796" t="s">
        <v>92</v>
      </c>
      <c r="N796" s="14">
        <v>1</v>
      </c>
      <c r="P796" s="12" t="s">
        <v>268</v>
      </c>
      <c r="W796" s="9" t="str">
        <f t="shared" ca="1" si="61"/>
        <v>18.5%</v>
      </c>
      <c r="X796" t="s">
        <v>321</v>
      </c>
      <c r="Y796" s="9" t="str">
        <f t="shared" ca="1" si="62"/>
        <v>Sin costo</v>
      </c>
      <c r="Z796" t="s">
        <v>327</v>
      </c>
      <c r="AA796" t="s">
        <v>329</v>
      </c>
      <c r="AB796" t="s">
        <v>334</v>
      </c>
      <c r="AC796" s="12" t="s">
        <v>339</v>
      </c>
      <c r="AE796" t="s">
        <v>268</v>
      </c>
      <c r="AG796" s="12" t="s">
        <v>268</v>
      </c>
      <c r="AH796" t="s">
        <v>92</v>
      </c>
      <c r="AI796" s="12" t="s">
        <v>268</v>
      </c>
      <c r="AJ796" t="s">
        <v>92</v>
      </c>
      <c r="AK796" t="s">
        <v>92</v>
      </c>
      <c r="AL796" t="s">
        <v>92</v>
      </c>
      <c r="AM796" s="12" t="s">
        <v>268</v>
      </c>
      <c r="AN796" s="12" t="s">
        <v>268</v>
      </c>
      <c r="AO796" s="12" t="s">
        <v>268</v>
      </c>
      <c r="AP796" s="12" t="s">
        <v>268</v>
      </c>
      <c r="AQ796" s="12" t="s">
        <v>268</v>
      </c>
      <c r="AR796" s="28" t="str">
        <f t="shared" ca="1" si="63"/>
        <v/>
      </c>
      <c r="AS796" s="28" t="str">
        <f t="shared" ca="1" si="64"/>
        <v/>
      </c>
    </row>
    <row r="797" spans="2:45" ht="27.6" customHeight="1">
      <c r="B797">
        <f t="shared" ca="1" si="60"/>
        <v>0</v>
      </c>
      <c r="C797" t="s">
        <v>85</v>
      </c>
      <c r="D797" t="s">
        <v>92</v>
      </c>
      <c r="E797" t="s">
        <v>92</v>
      </c>
      <c r="F797" t="s">
        <v>92</v>
      </c>
      <c r="G797" t="s">
        <v>92</v>
      </c>
      <c r="H797" t="s">
        <v>92</v>
      </c>
      <c r="I797" s="12" t="s">
        <v>268</v>
      </c>
      <c r="J797" t="s">
        <v>278</v>
      </c>
      <c r="L797" t="s">
        <v>92</v>
      </c>
      <c r="N797" s="14">
        <v>1</v>
      </c>
      <c r="P797" s="12" t="s">
        <v>268</v>
      </c>
      <c r="W797" s="9" t="str">
        <f t="shared" ca="1" si="61"/>
        <v>18.5%</v>
      </c>
      <c r="X797" t="s">
        <v>321</v>
      </c>
      <c r="Y797" s="9" t="str">
        <f t="shared" ca="1" si="62"/>
        <v>Sin costo</v>
      </c>
      <c r="Z797" t="s">
        <v>327</v>
      </c>
      <c r="AA797" t="s">
        <v>329</v>
      </c>
      <c r="AB797" t="s">
        <v>334</v>
      </c>
      <c r="AC797" s="12" t="s">
        <v>339</v>
      </c>
      <c r="AE797" t="s">
        <v>268</v>
      </c>
      <c r="AG797" s="12" t="s">
        <v>268</v>
      </c>
      <c r="AH797" t="s">
        <v>92</v>
      </c>
      <c r="AI797" s="12" t="s">
        <v>268</v>
      </c>
      <c r="AJ797" t="s">
        <v>92</v>
      </c>
      <c r="AK797" t="s">
        <v>92</v>
      </c>
      <c r="AL797" t="s">
        <v>92</v>
      </c>
      <c r="AM797" s="12" t="s">
        <v>268</v>
      </c>
      <c r="AN797" s="12" t="s">
        <v>268</v>
      </c>
      <c r="AO797" s="12" t="s">
        <v>268</v>
      </c>
      <c r="AP797" s="12" t="s">
        <v>268</v>
      </c>
      <c r="AQ797" s="12" t="s">
        <v>268</v>
      </c>
      <c r="AR797" s="28" t="str">
        <f t="shared" ca="1" si="63"/>
        <v/>
      </c>
      <c r="AS797" s="28" t="str">
        <f t="shared" ca="1" si="64"/>
        <v/>
      </c>
    </row>
    <row r="798" spans="2:45" ht="27.6" customHeight="1">
      <c r="B798">
        <f t="shared" ca="1" si="60"/>
        <v>0</v>
      </c>
      <c r="C798" t="s">
        <v>85</v>
      </c>
      <c r="D798" t="s">
        <v>92</v>
      </c>
      <c r="E798" t="s">
        <v>92</v>
      </c>
      <c r="F798" t="s">
        <v>92</v>
      </c>
      <c r="G798" t="s">
        <v>92</v>
      </c>
      <c r="H798" t="s">
        <v>92</v>
      </c>
      <c r="I798" s="12" t="s">
        <v>268</v>
      </c>
      <c r="J798" t="s">
        <v>278</v>
      </c>
      <c r="L798" t="s">
        <v>92</v>
      </c>
      <c r="N798" s="14">
        <v>1</v>
      </c>
      <c r="P798" s="12" t="s">
        <v>268</v>
      </c>
      <c r="W798" s="9" t="str">
        <f t="shared" ca="1" si="61"/>
        <v>18.5%</v>
      </c>
      <c r="X798" t="s">
        <v>321</v>
      </c>
      <c r="Y798" s="9" t="str">
        <f t="shared" ca="1" si="62"/>
        <v>Sin costo</v>
      </c>
      <c r="Z798" t="s">
        <v>327</v>
      </c>
      <c r="AA798" t="s">
        <v>329</v>
      </c>
      <c r="AB798" t="s">
        <v>334</v>
      </c>
      <c r="AC798" s="12" t="s">
        <v>339</v>
      </c>
      <c r="AE798" t="s">
        <v>268</v>
      </c>
      <c r="AG798" s="12" t="s">
        <v>268</v>
      </c>
      <c r="AH798" t="s">
        <v>92</v>
      </c>
      <c r="AI798" s="12" t="s">
        <v>268</v>
      </c>
      <c r="AJ798" t="s">
        <v>92</v>
      </c>
      <c r="AK798" t="s">
        <v>92</v>
      </c>
      <c r="AL798" t="s">
        <v>92</v>
      </c>
      <c r="AM798" s="12" t="s">
        <v>268</v>
      </c>
      <c r="AN798" s="12" t="s">
        <v>268</v>
      </c>
      <c r="AO798" s="12" t="s">
        <v>268</v>
      </c>
      <c r="AP798" s="12" t="s">
        <v>268</v>
      </c>
      <c r="AQ798" s="12" t="s">
        <v>268</v>
      </c>
      <c r="AR798" s="28" t="str">
        <f t="shared" ca="1" si="63"/>
        <v/>
      </c>
      <c r="AS798" s="28" t="str">
        <f t="shared" ca="1" si="64"/>
        <v/>
      </c>
    </row>
    <row r="799" spans="2:45" ht="27.6" customHeight="1">
      <c r="B799">
        <f t="shared" ca="1" si="60"/>
        <v>0</v>
      </c>
      <c r="C799" t="s">
        <v>85</v>
      </c>
      <c r="D799" t="s">
        <v>92</v>
      </c>
      <c r="E799" t="s">
        <v>92</v>
      </c>
      <c r="F799" t="s">
        <v>92</v>
      </c>
      <c r="G799" t="s">
        <v>92</v>
      </c>
      <c r="H799" t="s">
        <v>92</v>
      </c>
      <c r="I799" s="12" t="s">
        <v>268</v>
      </c>
      <c r="J799" t="s">
        <v>278</v>
      </c>
      <c r="L799" t="s">
        <v>92</v>
      </c>
      <c r="N799" s="14">
        <v>1</v>
      </c>
      <c r="P799" s="12" t="s">
        <v>268</v>
      </c>
      <c r="W799" s="9" t="str">
        <f t="shared" ca="1" si="61"/>
        <v>18.5%</v>
      </c>
      <c r="X799" t="s">
        <v>321</v>
      </c>
      <c r="Y799" s="9" t="str">
        <f t="shared" ca="1" si="62"/>
        <v>Sin costo</v>
      </c>
      <c r="Z799" t="s">
        <v>327</v>
      </c>
      <c r="AA799" t="s">
        <v>329</v>
      </c>
      <c r="AB799" t="s">
        <v>334</v>
      </c>
      <c r="AC799" s="12" t="s">
        <v>339</v>
      </c>
      <c r="AE799" t="s">
        <v>268</v>
      </c>
      <c r="AG799" s="12" t="s">
        <v>268</v>
      </c>
      <c r="AH799" t="s">
        <v>92</v>
      </c>
      <c r="AI799" s="12" t="s">
        <v>268</v>
      </c>
      <c r="AJ799" t="s">
        <v>92</v>
      </c>
      <c r="AK799" t="s">
        <v>92</v>
      </c>
      <c r="AL799" t="s">
        <v>92</v>
      </c>
      <c r="AM799" s="12" t="s">
        <v>268</v>
      </c>
      <c r="AN799" s="12" t="s">
        <v>268</v>
      </c>
      <c r="AO799" s="12" t="s">
        <v>268</v>
      </c>
      <c r="AP799" s="12" t="s">
        <v>268</v>
      </c>
      <c r="AQ799" s="12" t="s">
        <v>268</v>
      </c>
      <c r="AR799" s="28" t="str">
        <f t="shared" ca="1" si="63"/>
        <v/>
      </c>
      <c r="AS799" s="28" t="str">
        <f t="shared" ca="1" si="64"/>
        <v/>
      </c>
    </row>
    <row r="800" spans="2:45" ht="27.6" customHeight="1">
      <c r="B800">
        <f t="shared" ca="1" si="60"/>
        <v>0</v>
      </c>
      <c r="C800" t="s">
        <v>85</v>
      </c>
      <c r="D800" t="s">
        <v>92</v>
      </c>
      <c r="E800" t="s">
        <v>92</v>
      </c>
      <c r="F800" t="s">
        <v>92</v>
      </c>
      <c r="G800" t="s">
        <v>92</v>
      </c>
      <c r="H800" t="s">
        <v>92</v>
      </c>
      <c r="I800" s="12" t="s">
        <v>268</v>
      </c>
      <c r="J800" t="s">
        <v>278</v>
      </c>
      <c r="L800" t="s">
        <v>92</v>
      </c>
      <c r="N800" s="14">
        <v>1</v>
      </c>
      <c r="P800" s="12" t="s">
        <v>268</v>
      </c>
      <c r="W800" s="9" t="str">
        <f t="shared" ca="1" si="61"/>
        <v>18.5%</v>
      </c>
      <c r="X800" t="s">
        <v>321</v>
      </c>
      <c r="Y800" s="9" t="str">
        <f t="shared" ca="1" si="62"/>
        <v>Sin costo</v>
      </c>
      <c r="Z800" t="s">
        <v>327</v>
      </c>
      <c r="AA800" t="s">
        <v>329</v>
      </c>
      <c r="AB800" t="s">
        <v>334</v>
      </c>
      <c r="AC800" s="12" t="s">
        <v>339</v>
      </c>
      <c r="AE800" t="s">
        <v>268</v>
      </c>
      <c r="AG800" s="12" t="s">
        <v>268</v>
      </c>
      <c r="AH800" t="s">
        <v>92</v>
      </c>
      <c r="AI800" s="12" t="s">
        <v>268</v>
      </c>
      <c r="AJ800" t="s">
        <v>92</v>
      </c>
      <c r="AK800" t="s">
        <v>92</v>
      </c>
      <c r="AL800" t="s">
        <v>92</v>
      </c>
      <c r="AM800" s="12" t="s">
        <v>268</v>
      </c>
      <c r="AN800" s="12" t="s">
        <v>268</v>
      </c>
      <c r="AO800" s="12" t="s">
        <v>268</v>
      </c>
      <c r="AP800" s="12" t="s">
        <v>268</v>
      </c>
      <c r="AQ800" s="12" t="s">
        <v>268</v>
      </c>
      <c r="AR800" s="28" t="str">
        <f t="shared" ca="1" si="63"/>
        <v/>
      </c>
      <c r="AS800" s="28" t="str">
        <f t="shared" ca="1" si="64"/>
        <v/>
      </c>
    </row>
    <row r="801" spans="2:45" ht="27.6" customHeight="1">
      <c r="B801">
        <f t="shared" ca="1" si="60"/>
        <v>0</v>
      </c>
      <c r="C801" t="s">
        <v>85</v>
      </c>
      <c r="D801" t="s">
        <v>92</v>
      </c>
      <c r="E801" t="s">
        <v>92</v>
      </c>
      <c r="F801" t="s">
        <v>92</v>
      </c>
      <c r="G801" t="s">
        <v>92</v>
      </c>
      <c r="H801" t="s">
        <v>92</v>
      </c>
      <c r="I801" s="12" t="s">
        <v>268</v>
      </c>
      <c r="J801" t="s">
        <v>278</v>
      </c>
      <c r="L801" t="s">
        <v>92</v>
      </c>
      <c r="N801" s="14">
        <v>1</v>
      </c>
      <c r="P801" s="12" t="s">
        <v>268</v>
      </c>
      <c r="W801" s="9" t="str">
        <f t="shared" ca="1" si="61"/>
        <v>18.5%</v>
      </c>
      <c r="X801" t="s">
        <v>321</v>
      </c>
      <c r="Y801" s="9" t="str">
        <f t="shared" ca="1" si="62"/>
        <v>Sin costo</v>
      </c>
      <c r="Z801" t="s">
        <v>327</v>
      </c>
      <c r="AA801" t="s">
        <v>329</v>
      </c>
      <c r="AB801" t="s">
        <v>334</v>
      </c>
      <c r="AC801" s="12" t="s">
        <v>339</v>
      </c>
      <c r="AE801" t="s">
        <v>268</v>
      </c>
      <c r="AG801" s="12" t="s">
        <v>268</v>
      </c>
      <c r="AH801" t="s">
        <v>92</v>
      </c>
      <c r="AI801" s="12" t="s">
        <v>268</v>
      </c>
      <c r="AJ801" t="s">
        <v>92</v>
      </c>
      <c r="AK801" t="s">
        <v>92</v>
      </c>
      <c r="AL801" t="s">
        <v>92</v>
      </c>
      <c r="AM801" s="12" t="s">
        <v>268</v>
      </c>
      <c r="AN801" s="12" t="s">
        <v>268</v>
      </c>
      <c r="AO801" s="12" t="s">
        <v>268</v>
      </c>
      <c r="AP801" s="12" t="s">
        <v>268</v>
      </c>
      <c r="AQ801" s="12" t="s">
        <v>268</v>
      </c>
      <c r="AR801" s="28" t="str">
        <f t="shared" ca="1" si="63"/>
        <v/>
      </c>
      <c r="AS801" s="28" t="str">
        <f t="shared" ca="1" si="64"/>
        <v/>
      </c>
    </row>
    <row r="802" spans="2:45" ht="27.6" customHeight="1">
      <c r="B802">
        <f t="shared" ca="1" si="60"/>
        <v>0</v>
      </c>
      <c r="C802" t="s">
        <v>85</v>
      </c>
      <c r="D802" t="s">
        <v>92</v>
      </c>
      <c r="E802" t="s">
        <v>92</v>
      </c>
      <c r="F802" t="s">
        <v>92</v>
      </c>
      <c r="G802" t="s">
        <v>92</v>
      </c>
      <c r="H802" t="s">
        <v>92</v>
      </c>
      <c r="I802" s="12" t="s">
        <v>268</v>
      </c>
      <c r="J802" t="s">
        <v>278</v>
      </c>
      <c r="L802" t="s">
        <v>92</v>
      </c>
      <c r="N802" s="14">
        <v>1</v>
      </c>
      <c r="P802" s="12" t="s">
        <v>268</v>
      </c>
      <c r="W802" s="9" t="str">
        <f t="shared" ca="1" si="61"/>
        <v>18.5%</v>
      </c>
      <c r="X802" t="s">
        <v>321</v>
      </c>
      <c r="Y802" s="9" t="str">
        <f t="shared" ca="1" si="62"/>
        <v>Sin costo</v>
      </c>
      <c r="Z802" t="s">
        <v>327</v>
      </c>
      <c r="AA802" t="s">
        <v>329</v>
      </c>
      <c r="AB802" t="s">
        <v>334</v>
      </c>
      <c r="AC802" s="12" t="s">
        <v>339</v>
      </c>
      <c r="AE802" t="s">
        <v>268</v>
      </c>
      <c r="AG802" s="12" t="s">
        <v>268</v>
      </c>
      <c r="AH802" t="s">
        <v>92</v>
      </c>
      <c r="AI802" s="12" t="s">
        <v>268</v>
      </c>
      <c r="AJ802" t="s">
        <v>92</v>
      </c>
      <c r="AK802" t="s">
        <v>92</v>
      </c>
      <c r="AL802" t="s">
        <v>92</v>
      </c>
      <c r="AM802" s="12" t="s">
        <v>268</v>
      </c>
      <c r="AN802" s="12" t="s">
        <v>268</v>
      </c>
      <c r="AO802" s="12" t="s">
        <v>268</v>
      </c>
      <c r="AP802" s="12" t="s">
        <v>268</v>
      </c>
      <c r="AQ802" s="12" t="s">
        <v>268</v>
      </c>
      <c r="AR802" s="28" t="str">
        <f t="shared" ca="1" si="63"/>
        <v/>
      </c>
      <c r="AS802" s="28" t="str">
        <f t="shared" ca="1" si="64"/>
        <v/>
      </c>
    </row>
    <row r="803" spans="2:45" ht="27.6" customHeight="1">
      <c r="B803">
        <f t="shared" ca="1" si="60"/>
        <v>0</v>
      </c>
      <c r="C803" t="s">
        <v>85</v>
      </c>
      <c r="D803" t="s">
        <v>92</v>
      </c>
      <c r="E803" t="s">
        <v>92</v>
      </c>
      <c r="F803" t="s">
        <v>92</v>
      </c>
      <c r="G803" t="s">
        <v>92</v>
      </c>
      <c r="H803" t="s">
        <v>92</v>
      </c>
      <c r="I803" s="12" t="s">
        <v>268</v>
      </c>
      <c r="J803" t="s">
        <v>278</v>
      </c>
      <c r="L803" t="s">
        <v>92</v>
      </c>
      <c r="N803" s="14">
        <v>1</v>
      </c>
      <c r="P803" s="12" t="s">
        <v>268</v>
      </c>
      <c r="W803" s="9" t="str">
        <f t="shared" ca="1" si="61"/>
        <v>18.5%</v>
      </c>
      <c r="X803" t="s">
        <v>321</v>
      </c>
      <c r="Y803" s="9" t="str">
        <f t="shared" ca="1" si="62"/>
        <v>Sin costo</v>
      </c>
      <c r="Z803" t="s">
        <v>327</v>
      </c>
      <c r="AA803" t="s">
        <v>329</v>
      </c>
      <c r="AB803" t="s">
        <v>334</v>
      </c>
      <c r="AC803" s="12" t="s">
        <v>339</v>
      </c>
      <c r="AE803" t="s">
        <v>268</v>
      </c>
      <c r="AG803" s="12" t="s">
        <v>268</v>
      </c>
      <c r="AH803" t="s">
        <v>92</v>
      </c>
      <c r="AI803" s="12" t="s">
        <v>268</v>
      </c>
      <c r="AJ803" t="s">
        <v>92</v>
      </c>
      <c r="AK803" t="s">
        <v>92</v>
      </c>
      <c r="AL803" t="s">
        <v>92</v>
      </c>
      <c r="AM803" s="12" t="s">
        <v>268</v>
      </c>
      <c r="AN803" s="12" t="s">
        <v>268</v>
      </c>
      <c r="AO803" s="12" t="s">
        <v>268</v>
      </c>
      <c r="AP803" s="12" t="s">
        <v>268</v>
      </c>
      <c r="AQ803" s="12" t="s">
        <v>268</v>
      </c>
      <c r="AR803" s="28" t="str">
        <f t="shared" ca="1" si="63"/>
        <v/>
      </c>
      <c r="AS803" s="28" t="str">
        <f t="shared" ca="1" si="64"/>
        <v/>
      </c>
    </row>
    <row r="804" spans="2:45" ht="27.6" customHeight="1">
      <c r="B804">
        <f t="shared" ca="1" si="60"/>
        <v>0</v>
      </c>
      <c r="C804" t="s">
        <v>85</v>
      </c>
      <c r="D804" t="s">
        <v>92</v>
      </c>
      <c r="E804" t="s">
        <v>92</v>
      </c>
      <c r="F804" t="s">
        <v>92</v>
      </c>
      <c r="G804" t="s">
        <v>92</v>
      </c>
      <c r="H804" t="s">
        <v>92</v>
      </c>
      <c r="I804" s="12" t="s">
        <v>268</v>
      </c>
      <c r="J804" t="s">
        <v>278</v>
      </c>
      <c r="L804" t="s">
        <v>92</v>
      </c>
      <c r="N804" s="14">
        <v>1</v>
      </c>
      <c r="P804" s="12" t="s">
        <v>268</v>
      </c>
      <c r="W804" s="9" t="str">
        <f t="shared" ca="1" si="61"/>
        <v>18.5%</v>
      </c>
      <c r="X804" t="s">
        <v>321</v>
      </c>
      <c r="Y804" s="9" t="str">
        <f t="shared" ca="1" si="62"/>
        <v>Sin costo</v>
      </c>
      <c r="Z804" t="s">
        <v>327</v>
      </c>
      <c r="AA804" t="s">
        <v>329</v>
      </c>
      <c r="AB804" t="s">
        <v>334</v>
      </c>
      <c r="AC804" s="12" t="s">
        <v>339</v>
      </c>
      <c r="AE804" t="s">
        <v>268</v>
      </c>
      <c r="AG804" s="12" t="s">
        <v>268</v>
      </c>
      <c r="AH804" t="s">
        <v>92</v>
      </c>
      <c r="AI804" s="12" t="s">
        <v>268</v>
      </c>
      <c r="AJ804" t="s">
        <v>92</v>
      </c>
      <c r="AK804" t="s">
        <v>92</v>
      </c>
      <c r="AL804" t="s">
        <v>92</v>
      </c>
      <c r="AM804" s="12" t="s">
        <v>268</v>
      </c>
      <c r="AN804" s="12" t="s">
        <v>268</v>
      </c>
      <c r="AO804" s="12" t="s">
        <v>268</v>
      </c>
      <c r="AP804" s="12" t="s">
        <v>268</v>
      </c>
      <c r="AQ804" s="12" t="s">
        <v>268</v>
      </c>
      <c r="AR804" s="28" t="str">
        <f t="shared" ca="1" si="63"/>
        <v/>
      </c>
      <c r="AS804" s="28" t="str">
        <f t="shared" ca="1" si="64"/>
        <v/>
      </c>
    </row>
    <row r="805" spans="2:45" ht="27.6" customHeight="1">
      <c r="B805">
        <f t="shared" ca="1" si="60"/>
        <v>0</v>
      </c>
      <c r="C805" t="s">
        <v>85</v>
      </c>
      <c r="D805" t="s">
        <v>92</v>
      </c>
      <c r="E805" t="s">
        <v>92</v>
      </c>
      <c r="F805" t="s">
        <v>92</v>
      </c>
      <c r="G805" t="s">
        <v>92</v>
      </c>
      <c r="H805" t="s">
        <v>92</v>
      </c>
      <c r="I805" s="12" t="s">
        <v>268</v>
      </c>
      <c r="J805" t="s">
        <v>278</v>
      </c>
      <c r="L805" t="s">
        <v>92</v>
      </c>
      <c r="N805" s="14">
        <v>1</v>
      </c>
      <c r="P805" s="12" t="s">
        <v>268</v>
      </c>
      <c r="W805" s="9" t="str">
        <f t="shared" ca="1" si="61"/>
        <v>18.5%</v>
      </c>
      <c r="X805" t="s">
        <v>321</v>
      </c>
      <c r="Y805" s="9" t="str">
        <f t="shared" ca="1" si="62"/>
        <v>Sin costo</v>
      </c>
      <c r="Z805" t="s">
        <v>327</v>
      </c>
      <c r="AA805" t="s">
        <v>329</v>
      </c>
      <c r="AB805" t="s">
        <v>334</v>
      </c>
      <c r="AC805" s="12" t="s">
        <v>339</v>
      </c>
      <c r="AE805" t="s">
        <v>268</v>
      </c>
      <c r="AG805" s="12" t="s">
        <v>268</v>
      </c>
      <c r="AH805" t="s">
        <v>92</v>
      </c>
      <c r="AI805" s="12" t="s">
        <v>268</v>
      </c>
      <c r="AJ805" t="s">
        <v>92</v>
      </c>
      <c r="AK805" t="s">
        <v>92</v>
      </c>
      <c r="AL805" t="s">
        <v>92</v>
      </c>
      <c r="AM805" s="12" t="s">
        <v>268</v>
      </c>
      <c r="AN805" s="12" t="s">
        <v>268</v>
      </c>
      <c r="AO805" s="12" t="s">
        <v>268</v>
      </c>
      <c r="AP805" s="12" t="s">
        <v>268</v>
      </c>
      <c r="AQ805" s="12" t="s">
        <v>268</v>
      </c>
      <c r="AR805" s="28" t="str">
        <f t="shared" ca="1" si="63"/>
        <v/>
      </c>
      <c r="AS805" s="28" t="str">
        <f t="shared" ca="1" si="64"/>
        <v/>
      </c>
    </row>
    <row r="806" spans="2:45" ht="27.6" customHeight="1">
      <c r="B806">
        <f t="shared" ca="1" si="60"/>
        <v>0</v>
      </c>
      <c r="C806" t="s">
        <v>85</v>
      </c>
      <c r="D806" t="s">
        <v>92</v>
      </c>
      <c r="E806" t="s">
        <v>92</v>
      </c>
      <c r="F806" t="s">
        <v>92</v>
      </c>
      <c r="G806" t="s">
        <v>92</v>
      </c>
      <c r="H806" t="s">
        <v>92</v>
      </c>
      <c r="I806" s="12" t="s">
        <v>268</v>
      </c>
      <c r="J806" t="s">
        <v>278</v>
      </c>
      <c r="L806" t="s">
        <v>92</v>
      </c>
      <c r="N806" s="14">
        <v>1</v>
      </c>
      <c r="P806" s="12" t="s">
        <v>268</v>
      </c>
      <c r="W806" s="9" t="str">
        <f t="shared" ca="1" si="61"/>
        <v>18.5%</v>
      </c>
      <c r="X806" t="s">
        <v>321</v>
      </c>
      <c r="Y806" s="9" t="str">
        <f t="shared" ca="1" si="62"/>
        <v>Sin costo</v>
      </c>
      <c r="Z806" t="s">
        <v>327</v>
      </c>
      <c r="AA806" t="s">
        <v>329</v>
      </c>
      <c r="AB806" t="s">
        <v>334</v>
      </c>
      <c r="AC806" s="12" t="s">
        <v>339</v>
      </c>
      <c r="AE806" t="s">
        <v>268</v>
      </c>
      <c r="AG806" s="12" t="s">
        <v>268</v>
      </c>
      <c r="AH806" t="s">
        <v>92</v>
      </c>
      <c r="AI806" s="12" t="s">
        <v>268</v>
      </c>
      <c r="AJ806" t="s">
        <v>92</v>
      </c>
      <c r="AK806" t="s">
        <v>92</v>
      </c>
      <c r="AL806" t="s">
        <v>92</v>
      </c>
      <c r="AM806" s="12" t="s">
        <v>268</v>
      </c>
      <c r="AN806" s="12" t="s">
        <v>268</v>
      </c>
      <c r="AO806" s="12" t="s">
        <v>268</v>
      </c>
      <c r="AP806" s="12" t="s">
        <v>268</v>
      </c>
      <c r="AQ806" s="12" t="s">
        <v>268</v>
      </c>
      <c r="AR806" s="28" t="str">
        <f t="shared" ca="1" si="63"/>
        <v/>
      </c>
      <c r="AS806" s="28" t="str">
        <f t="shared" ca="1" si="64"/>
        <v/>
      </c>
    </row>
    <row r="807" spans="2:45" ht="27.6" customHeight="1">
      <c r="B807">
        <f t="shared" ca="1" si="60"/>
        <v>0</v>
      </c>
      <c r="C807" t="s">
        <v>85</v>
      </c>
      <c r="D807" t="s">
        <v>92</v>
      </c>
      <c r="E807" t="s">
        <v>92</v>
      </c>
      <c r="F807" t="s">
        <v>92</v>
      </c>
      <c r="G807" t="s">
        <v>92</v>
      </c>
      <c r="H807" t="s">
        <v>92</v>
      </c>
      <c r="I807" s="12" t="s">
        <v>268</v>
      </c>
      <c r="J807" t="s">
        <v>278</v>
      </c>
      <c r="L807" t="s">
        <v>92</v>
      </c>
      <c r="N807" s="14">
        <v>1</v>
      </c>
      <c r="P807" s="12" t="s">
        <v>268</v>
      </c>
      <c r="W807" s="9" t="str">
        <f t="shared" ca="1" si="61"/>
        <v>18.5%</v>
      </c>
      <c r="X807" t="s">
        <v>321</v>
      </c>
      <c r="Y807" s="9" t="str">
        <f t="shared" ca="1" si="62"/>
        <v>Sin costo</v>
      </c>
      <c r="Z807" t="s">
        <v>327</v>
      </c>
      <c r="AA807" t="s">
        <v>329</v>
      </c>
      <c r="AB807" t="s">
        <v>334</v>
      </c>
      <c r="AC807" s="12" t="s">
        <v>339</v>
      </c>
      <c r="AE807" t="s">
        <v>268</v>
      </c>
      <c r="AG807" s="12" t="s">
        <v>268</v>
      </c>
      <c r="AH807" t="s">
        <v>92</v>
      </c>
      <c r="AI807" s="12" t="s">
        <v>268</v>
      </c>
      <c r="AJ807" t="s">
        <v>92</v>
      </c>
      <c r="AK807" t="s">
        <v>92</v>
      </c>
      <c r="AL807" t="s">
        <v>92</v>
      </c>
      <c r="AM807" s="12" t="s">
        <v>268</v>
      </c>
      <c r="AN807" s="12" t="s">
        <v>268</v>
      </c>
      <c r="AO807" s="12" t="s">
        <v>268</v>
      </c>
      <c r="AP807" s="12" t="s">
        <v>268</v>
      </c>
      <c r="AQ807" s="12" t="s">
        <v>268</v>
      </c>
      <c r="AR807" s="28" t="str">
        <f t="shared" ca="1" si="63"/>
        <v/>
      </c>
      <c r="AS807" s="28" t="str">
        <f t="shared" ca="1" si="64"/>
        <v/>
      </c>
    </row>
    <row r="808" spans="2:45" ht="27.6" customHeight="1">
      <c r="B808">
        <f t="shared" ca="1" si="60"/>
        <v>0</v>
      </c>
      <c r="C808" t="s">
        <v>85</v>
      </c>
      <c r="D808" t="s">
        <v>92</v>
      </c>
      <c r="E808" t="s">
        <v>92</v>
      </c>
      <c r="F808" t="s">
        <v>92</v>
      </c>
      <c r="G808" t="s">
        <v>92</v>
      </c>
      <c r="H808" t="s">
        <v>92</v>
      </c>
      <c r="I808" s="12" t="s">
        <v>268</v>
      </c>
      <c r="J808" t="s">
        <v>278</v>
      </c>
      <c r="L808" t="s">
        <v>92</v>
      </c>
      <c r="N808" s="14">
        <v>1</v>
      </c>
      <c r="P808" s="12" t="s">
        <v>268</v>
      </c>
      <c r="W808" s="9" t="str">
        <f t="shared" ca="1" si="61"/>
        <v>18.5%</v>
      </c>
      <c r="X808" t="s">
        <v>321</v>
      </c>
      <c r="Y808" s="9" t="str">
        <f t="shared" ca="1" si="62"/>
        <v>Sin costo</v>
      </c>
      <c r="Z808" t="s">
        <v>327</v>
      </c>
      <c r="AA808" t="s">
        <v>329</v>
      </c>
      <c r="AB808" t="s">
        <v>334</v>
      </c>
      <c r="AC808" s="12" t="s">
        <v>339</v>
      </c>
      <c r="AE808" t="s">
        <v>268</v>
      </c>
      <c r="AG808" s="12" t="s">
        <v>268</v>
      </c>
      <c r="AH808" t="s">
        <v>92</v>
      </c>
      <c r="AI808" s="12" t="s">
        <v>268</v>
      </c>
      <c r="AJ808" t="s">
        <v>92</v>
      </c>
      <c r="AK808" t="s">
        <v>92</v>
      </c>
      <c r="AL808" t="s">
        <v>92</v>
      </c>
      <c r="AM808" s="12" t="s">
        <v>268</v>
      </c>
      <c r="AN808" s="12" t="s">
        <v>268</v>
      </c>
      <c r="AO808" s="12" t="s">
        <v>268</v>
      </c>
      <c r="AP808" s="12" t="s">
        <v>268</v>
      </c>
      <c r="AQ808" s="12" t="s">
        <v>268</v>
      </c>
      <c r="AR808" s="28" t="str">
        <f t="shared" ca="1" si="63"/>
        <v/>
      </c>
      <c r="AS808" s="28" t="str">
        <f t="shared" ca="1" si="64"/>
        <v/>
      </c>
    </row>
    <row r="809" spans="2:45" ht="27.6" customHeight="1">
      <c r="B809">
        <f t="shared" ca="1" si="60"/>
        <v>0</v>
      </c>
      <c r="C809" t="s">
        <v>85</v>
      </c>
      <c r="D809" t="s">
        <v>92</v>
      </c>
      <c r="E809" t="s">
        <v>92</v>
      </c>
      <c r="F809" t="s">
        <v>92</v>
      </c>
      <c r="G809" t="s">
        <v>92</v>
      </c>
      <c r="H809" t="s">
        <v>92</v>
      </c>
      <c r="I809" s="12" t="s">
        <v>268</v>
      </c>
      <c r="J809" t="s">
        <v>278</v>
      </c>
      <c r="L809" t="s">
        <v>92</v>
      </c>
      <c r="N809" s="14">
        <v>1</v>
      </c>
      <c r="P809" s="12" t="s">
        <v>268</v>
      </c>
      <c r="W809" s="9" t="str">
        <f t="shared" ca="1" si="61"/>
        <v>18.5%</v>
      </c>
      <c r="X809" t="s">
        <v>321</v>
      </c>
      <c r="Y809" s="9" t="str">
        <f t="shared" ca="1" si="62"/>
        <v>Sin costo</v>
      </c>
      <c r="Z809" t="s">
        <v>327</v>
      </c>
      <c r="AA809" t="s">
        <v>329</v>
      </c>
      <c r="AB809" t="s">
        <v>334</v>
      </c>
      <c r="AC809" s="12" t="s">
        <v>339</v>
      </c>
      <c r="AE809" t="s">
        <v>268</v>
      </c>
      <c r="AG809" s="12" t="s">
        <v>268</v>
      </c>
      <c r="AH809" t="s">
        <v>92</v>
      </c>
      <c r="AI809" s="12" t="s">
        <v>268</v>
      </c>
      <c r="AJ809" t="s">
        <v>92</v>
      </c>
      <c r="AK809" t="s">
        <v>92</v>
      </c>
      <c r="AL809" t="s">
        <v>92</v>
      </c>
      <c r="AM809" s="12" t="s">
        <v>268</v>
      </c>
      <c r="AN809" s="12" t="s">
        <v>268</v>
      </c>
      <c r="AO809" s="12" t="s">
        <v>268</v>
      </c>
      <c r="AP809" s="12" t="s">
        <v>268</v>
      </c>
      <c r="AQ809" s="12" t="s">
        <v>268</v>
      </c>
      <c r="AR809" s="28" t="str">
        <f t="shared" ca="1" si="63"/>
        <v/>
      </c>
      <c r="AS809" s="28" t="str">
        <f t="shared" ca="1" si="64"/>
        <v/>
      </c>
    </row>
    <row r="810" spans="2:45" ht="27.6" customHeight="1">
      <c r="B810">
        <f t="shared" ca="1" si="60"/>
        <v>0</v>
      </c>
      <c r="C810" t="s">
        <v>85</v>
      </c>
      <c r="D810" t="s">
        <v>92</v>
      </c>
      <c r="E810" t="s">
        <v>92</v>
      </c>
      <c r="F810" t="s">
        <v>92</v>
      </c>
      <c r="G810" t="s">
        <v>92</v>
      </c>
      <c r="H810" t="s">
        <v>92</v>
      </c>
      <c r="I810" s="12" t="s">
        <v>268</v>
      </c>
      <c r="J810" t="s">
        <v>278</v>
      </c>
      <c r="L810" t="s">
        <v>92</v>
      </c>
      <c r="N810" s="14">
        <v>1</v>
      </c>
      <c r="P810" s="12" t="s">
        <v>268</v>
      </c>
      <c r="W810" s="9" t="str">
        <f t="shared" ca="1" si="61"/>
        <v>18.5%</v>
      </c>
      <c r="X810" t="s">
        <v>321</v>
      </c>
      <c r="Y810" s="9" t="str">
        <f t="shared" ca="1" si="62"/>
        <v>Sin costo</v>
      </c>
      <c r="Z810" t="s">
        <v>327</v>
      </c>
      <c r="AA810" t="s">
        <v>329</v>
      </c>
      <c r="AB810" t="s">
        <v>334</v>
      </c>
      <c r="AC810" s="12" t="s">
        <v>339</v>
      </c>
      <c r="AE810" t="s">
        <v>268</v>
      </c>
      <c r="AG810" s="12" t="s">
        <v>268</v>
      </c>
      <c r="AH810" t="s">
        <v>92</v>
      </c>
      <c r="AI810" s="12" t="s">
        <v>268</v>
      </c>
      <c r="AJ810" t="s">
        <v>92</v>
      </c>
      <c r="AK810" t="s">
        <v>92</v>
      </c>
      <c r="AL810" t="s">
        <v>92</v>
      </c>
      <c r="AM810" s="12" t="s">
        <v>268</v>
      </c>
      <c r="AN810" s="12" t="s">
        <v>268</v>
      </c>
      <c r="AO810" s="12" t="s">
        <v>268</v>
      </c>
      <c r="AP810" s="12" t="s">
        <v>268</v>
      </c>
      <c r="AQ810" s="12" t="s">
        <v>268</v>
      </c>
      <c r="AR810" s="28" t="str">
        <f t="shared" ca="1" si="63"/>
        <v/>
      </c>
      <c r="AS810" s="28" t="str">
        <f t="shared" ca="1" si="64"/>
        <v/>
      </c>
    </row>
    <row r="811" spans="2:45" ht="27.6" customHeight="1">
      <c r="B811">
        <f t="shared" ca="1" si="60"/>
        <v>0</v>
      </c>
      <c r="C811" t="s">
        <v>85</v>
      </c>
      <c r="D811" t="s">
        <v>92</v>
      </c>
      <c r="E811" t="s">
        <v>92</v>
      </c>
      <c r="F811" t="s">
        <v>92</v>
      </c>
      <c r="G811" t="s">
        <v>92</v>
      </c>
      <c r="H811" t="s">
        <v>92</v>
      </c>
      <c r="I811" s="12" t="s">
        <v>268</v>
      </c>
      <c r="J811" t="s">
        <v>278</v>
      </c>
      <c r="L811" t="s">
        <v>92</v>
      </c>
      <c r="N811" s="14">
        <v>1</v>
      </c>
      <c r="P811" s="12" t="s">
        <v>268</v>
      </c>
      <c r="W811" s="9" t="str">
        <f t="shared" ca="1" si="61"/>
        <v>18.5%</v>
      </c>
      <c r="X811" t="s">
        <v>321</v>
      </c>
      <c r="Y811" s="9" t="str">
        <f t="shared" ca="1" si="62"/>
        <v>Sin costo</v>
      </c>
      <c r="Z811" t="s">
        <v>327</v>
      </c>
      <c r="AA811" t="s">
        <v>329</v>
      </c>
      <c r="AB811" t="s">
        <v>334</v>
      </c>
      <c r="AC811" s="12" t="s">
        <v>339</v>
      </c>
      <c r="AE811" t="s">
        <v>268</v>
      </c>
      <c r="AG811" s="12" t="s">
        <v>268</v>
      </c>
      <c r="AH811" t="s">
        <v>92</v>
      </c>
      <c r="AI811" s="12" t="s">
        <v>268</v>
      </c>
      <c r="AJ811" t="s">
        <v>92</v>
      </c>
      <c r="AK811" t="s">
        <v>92</v>
      </c>
      <c r="AL811" t="s">
        <v>92</v>
      </c>
      <c r="AM811" s="12" t="s">
        <v>268</v>
      </c>
      <c r="AN811" s="12" t="s">
        <v>268</v>
      </c>
      <c r="AO811" s="12" t="s">
        <v>268</v>
      </c>
      <c r="AP811" s="12" t="s">
        <v>268</v>
      </c>
      <c r="AQ811" s="12" t="s">
        <v>268</v>
      </c>
      <c r="AR811" s="28" t="str">
        <f t="shared" ca="1" si="63"/>
        <v/>
      </c>
      <c r="AS811" s="28" t="str">
        <f t="shared" ca="1" si="64"/>
        <v/>
      </c>
    </row>
    <row r="812" spans="2:45" ht="27.6" customHeight="1">
      <c r="B812">
        <f t="shared" ca="1" si="60"/>
        <v>0</v>
      </c>
      <c r="C812" t="s">
        <v>85</v>
      </c>
      <c r="D812" t="s">
        <v>92</v>
      </c>
      <c r="E812" t="s">
        <v>92</v>
      </c>
      <c r="F812" t="s">
        <v>92</v>
      </c>
      <c r="G812" t="s">
        <v>92</v>
      </c>
      <c r="H812" t="s">
        <v>92</v>
      </c>
      <c r="I812" s="12" t="s">
        <v>268</v>
      </c>
      <c r="J812" t="s">
        <v>278</v>
      </c>
      <c r="L812" t="s">
        <v>92</v>
      </c>
      <c r="N812" s="14">
        <v>1</v>
      </c>
      <c r="P812" s="12" t="s">
        <v>268</v>
      </c>
      <c r="W812" s="9" t="str">
        <f t="shared" ca="1" si="61"/>
        <v>18.5%</v>
      </c>
      <c r="X812" t="s">
        <v>321</v>
      </c>
      <c r="Y812" s="9" t="str">
        <f t="shared" ca="1" si="62"/>
        <v>Sin costo</v>
      </c>
      <c r="Z812" t="s">
        <v>327</v>
      </c>
      <c r="AA812" t="s">
        <v>329</v>
      </c>
      <c r="AB812" t="s">
        <v>334</v>
      </c>
      <c r="AC812" s="12" t="s">
        <v>339</v>
      </c>
      <c r="AE812" t="s">
        <v>268</v>
      </c>
      <c r="AG812" s="12" t="s">
        <v>268</v>
      </c>
      <c r="AH812" t="s">
        <v>92</v>
      </c>
      <c r="AI812" s="12" t="s">
        <v>268</v>
      </c>
      <c r="AJ812" t="s">
        <v>92</v>
      </c>
      <c r="AK812" t="s">
        <v>92</v>
      </c>
      <c r="AL812" t="s">
        <v>92</v>
      </c>
      <c r="AM812" s="12" t="s">
        <v>268</v>
      </c>
      <c r="AN812" s="12" t="s">
        <v>268</v>
      </c>
      <c r="AO812" s="12" t="s">
        <v>268</v>
      </c>
      <c r="AP812" s="12" t="s">
        <v>268</v>
      </c>
      <c r="AQ812" s="12" t="s">
        <v>268</v>
      </c>
      <c r="AR812" s="28" t="str">
        <f t="shared" ca="1" si="63"/>
        <v/>
      </c>
      <c r="AS812" s="28" t="str">
        <f t="shared" ca="1" si="64"/>
        <v/>
      </c>
    </row>
    <row r="813" spans="2:45" ht="27.6" customHeight="1">
      <c r="B813">
        <f t="shared" ca="1" si="60"/>
        <v>0</v>
      </c>
      <c r="C813" t="s">
        <v>85</v>
      </c>
      <c r="D813" t="s">
        <v>92</v>
      </c>
      <c r="E813" t="s">
        <v>92</v>
      </c>
      <c r="F813" t="s">
        <v>92</v>
      </c>
      <c r="G813" t="s">
        <v>92</v>
      </c>
      <c r="H813" t="s">
        <v>92</v>
      </c>
      <c r="I813" s="12" t="s">
        <v>268</v>
      </c>
      <c r="J813" t="s">
        <v>278</v>
      </c>
      <c r="L813" t="s">
        <v>92</v>
      </c>
      <c r="N813" s="14">
        <v>1</v>
      </c>
      <c r="P813" s="12" t="s">
        <v>268</v>
      </c>
      <c r="W813" s="9" t="str">
        <f t="shared" ca="1" si="61"/>
        <v>18.5%</v>
      </c>
      <c r="X813" t="s">
        <v>321</v>
      </c>
      <c r="Y813" s="9" t="str">
        <f t="shared" ca="1" si="62"/>
        <v>Sin costo</v>
      </c>
      <c r="Z813" t="s">
        <v>327</v>
      </c>
      <c r="AA813" t="s">
        <v>329</v>
      </c>
      <c r="AB813" t="s">
        <v>334</v>
      </c>
      <c r="AC813" s="12" t="s">
        <v>339</v>
      </c>
      <c r="AE813" t="s">
        <v>268</v>
      </c>
      <c r="AG813" s="12" t="s">
        <v>268</v>
      </c>
      <c r="AH813" t="s">
        <v>92</v>
      </c>
      <c r="AI813" s="12" t="s">
        <v>268</v>
      </c>
      <c r="AJ813" t="s">
        <v>92</v>
      </c>
      <c r="AK813" t="s">
        <v>92</v>
      </c>
      <c r="AL813" t="s">
        <v>92</v>
      </c>
      <c r="AM813" s="12" t="s">
        <v>268</v>
      </c>
      <c r="AN813" s="12" t="s">
        <v>268</v>
      </c>
      <c r="AO813" s="12" t="s">
        <v>268</v>
      </c>
      <c r="AP813" s="12" t="s">
        <v>268</v>
      </c>
      <c r="AQ813" s="12" t="s">
        <v>268</v>
      </c>
      <c r="AR813" s="28" t="str">
        <f t="shared" ca="1" si="63"/>
        <v/>
      </c>
      <c r="AS813" s="28" t="str">
        <f t="shared" ca="1" si="64"/>
        <v/>
      </c>
    </row>
    <row r="814" spans="2:45" ht="27.6" customHeight="1">
      <c r="B814">
        <f t="shared" ca="1" si="60"/>
        <v>0</v>
      </c>
      <c r="C814" t="s">
        <v>85</v>
      </c>
      <c r="D814" t="s">
        <v>92</v>
      </c>
      <c r="E814" t="s">
        <v>92</v>
      </c>
      <c r="F814" t="s">
        <v>92</v>
      </c>
      <c r="G814" t="s">
        <v>92</v>
      </c>
      <c r="H814" t="s">
        <v>92</v>
      </c>
      <c r="I814" s="12" t="s">
        <v>268</v>
      </c>
      <c r="J814" t="s">
        <v>278</v>
      </c>
      <c r="L814" t="s">
        <v>92</v>
      </c>
      <c r="N814" s="14">
        <v>1</v>
      </c>
      <c r="P814" s="12" t="s">
        <v>268</v>
      </c>
      <c r="W814" s="9" t="str">
        <f t="shared" ca="1" si="61"/>
        <v>18.5%</v>
      </c>
      <c r="X814" t="s">
        <v>321</v>
      </c>
      <c r="Y814" s="9" t="str">
        <f t="shared" ca="1" si="62"/>
        <v>Sin costo</v>
      </c>
      <c r="Z814" t="s">
        <v>327</v>
      </c>
      <c r="AA814" t="s">
        <v>329</v>
      </c>
      <c r="AB814" t="s">
        <v>334</v>
      </c>
      <c r="AC814" s="12" t="s">
        <v>339</v>
      </c>
      <c r="AE814" t="s">
        <v>268</v>
      </c>
      <c r="AG814" s="12" t="s">
        <v>268</v>
      </c>
      <c r="AH814" t="s">
        <v>92</v>
      </c>
      <c r="AI814" s="12" t="s">
        <v>268</v>
      </c>
      <c r="AJ814" t="s">
        <v>92</v>
      </c>
      <c r="AK814" t="s">
        <v>92</v>
      </c>
      <c r="AL814" t="s">
        <v>92</v>
      </c>
      <c r="AM814" s="12" t="s">
        <v>268</v>
      </c>
      <c r="AN814" s="12" t="s">
        <v>268</v>
      </c>
      <c r="AO814" s="12" t="s">
        <v>268</v>
      </c>
      <c r="AP814" s="12" t="s">
        <v>268</v>
      </c>
      <c r="AQ814" s="12" t="s">
        <v>268</v>
      </c>
      <c r="AR814" s="28" t="str">
        <f t="shared" ca="1" si="63"/>
        <v/>
      </c>
      <c r="AS814" s="28" t="str">
        <f t="shared" ca="1" si="64"/>
        <v/>
      </c>
    </row>
    <row r="815" spans="2:45" ht="27.6" customHeight="1">
      <c r="B815">
        <f t="shared" ca="1" si="60"/>
        <v>0</v>
      </c>
      <c r="C815" t="s">
        <v>85</v>
      </c>
      <c r="D815" t="s">
        <v>92</v>
      </c>
      <c r="E815" t="s">
        <v>92</v>
      </c>
      <c r="F815" t="s">
        <v>92</v>
      </c>
      <c r="G815" t="s">
        <v>92</v>
      </c>
      <c r="H815" t="s">
        <v>92</v>
      </c>
      <c r="I815" s="12" t="s">
        <v>268</v>
      </c>
      <c r="J815" t="s">
        <v>278</v>
      </c>
      <c r="L815" t="s">
        <v>92</v>
      </c>
      <c r="N815" s="14">
        <v>1</v>
      </c>
      <c r="P815" s="12" t="s">
        <v>268</v>
      </c>
      <c r="W815" s="9" t="str">
        <f t="shared" ca="1" si="61"/>
        <v>18.5%</v>
      </c>
      <c r="X815" t="s">
        <v>321</v>
      </c>
      <c r="Y815" s="9" t="str">
        <f t="shared" ca="1" si="62"/>
        <v>Sin costo</v>
      </c>
      <c r="Z815" t="s">
        <v>327</v>
      </c>
      <c r="AA815" t="s">
        <v>329</v>
      </c>
      <c r="AB815" t="s">
        <v>334</v>
      </c>
      <c r="AC815" s="12" t="s">
        <v>339</v>
      </c>
      <c r="AE815" t="s">
        <v>268</v>
      </c>
      <c r="AG815" s="12" t="s">
        <v>268</v>
      </c>
      <c r="AH815" t="s">
        <v>92</v>
      </c>
      <c r="AI815" s="12" t="s">
        <v>268</v>
      </c>
      <c r="AJ815" t="s">
        <v>92</v>
      </c>
      <c r="AK815" t="s">
        <v>92</v>
      </c>
      <c r="AL815" t="s">
        <v>92</v>
      </c>
      <c r="AM815" s="12" t="s">
        <v>268</v>
      </c>
      <c r="AN815" s="12" t="s">
        <v>268</v>
      </c>
      <c r="AO815" s="12" t="s">
        <v>268</v>
      </c>
      <c r="AP815" s="12" t="s">
        <v>268</v>
      </c>
      <c r="AQ815" s="12" t="s">
        <v>268</v>
      </c>
      <c r="AR815" s="28" t="str">
        <f t="shared" ca="1" si="63"/>
        <v/>
      </c>
      <c r="AS815" s="28" t="str">
        <f t="shared" ca="1" si="64"/>
        <v/>
      </c>
    </row>
    <row r="816" spans="2:45" ht="27.6" customHeight="1">
      <c r="B816">
        <f t="shared" ca="1" si="60"/>
        <v>0</v>
      </c>
      <c r="C816" t="s">
        <v>85</v>
      </c>
      <c r="D816" t="s">
        <v>92</v>
      </c>
      <c r="E816" t="s">
        <v>92</v>
      </c>
      <c r="F816" t="s">
        <v>92</v>
      </c>
      <c r="G816" t="s">
        <v>92</v>
      </c>
      <c r="H816" t="s">
        <v>92</v>
      </c>
      <c r="I816" s="12" t="s">
        <v>268</v>
      </c>
      <c r="J816" t="s">
        <v>278</v>
      </c>
      <c r="L816" t="s">
        <v>92</v>
      </c>
      <c r="N816" s="14">
        <v>1</v>
      </c>
      <c r="P816" s="12" t="s">
        <v>268</v>
      </c>
      <c r="W816" s="9" t="str">
        <f t="shared" ca="1" si="61"/>
        <v>18.5%</v>
      </c>
      <c r="X816" t="s">
        <v>321</v>
      </c>
      <c r="Y816" s="9" t="str">
        <f t="shared" ca="1" si="62"/>
        <v>Sin costo</v>
      </c>
      <c r="Z816" t="s">
        <v>327</v>
      </c>
      <c r="AA816" t="s">
        <v>329</v>
      </c>
      <c r="AB816" t="s">
        <v>334</v>
      </c>
      <c r="AC816" s="12" t="s">
        <v>339</v>
      </c>
      <c r="AE816" t="s">
        <v>268</v>
      </c>
      <c r="AG816" s="12" t="s">
        <v>268</v>
      </c>
      <c r="AH816" t="s">
        <v>92</v>
      </c>
      <c r="AI816" s="12" t="s">
        <v>268</v>
      </c>
      <c r="AJ816" t="s">
        <v>92</v>
      </c>
      <c r="AK816" t="s">
        <v>92</v>
      </c>
      <c r="AL816" t="s">
        <v>92</v>
      </c>
      <c r="AM816" s="12" t="s">
        <v>268</v>
      </c>
      <c r="AN816" s="12" t="s">
        <v>268</v>
      </c>
      <c r="AO816" s="12" t="s">
        <v>268</v>
      </c>
      <c r="AP816" s="12" t="s">
        <v>268</v>
      </c>
      <c r="AQ816" s="12" t="s">
        <v>268</v>
      </c>
      <c r="AR816" s="28" t="str">
        <f t="shared" ca="1" si="63"/>
        <v/>
      </c>
      <c r="AS816" s="28" t="str">
        <f t="shared" ca="1" si="64"/>
        <v/>
      </c>
    </row>
    <row r="817" spans="2:45" ht="27.6" customHeight="1">
      <c r="B817">
        <f t="shared" ca="1" si="60"/>
        <v>0</v>
      </c>
      <c r="C817" t="s">
        <v>85</v>
      </c>
      <c r="D817" t="s">
        <v>92</v>
      </c>
      <c r="E817" t="s">
        <v>92</v>
      </c>
      <c r="F817" t="s">
        <v>92</v>
      </c>
      <c r="G817" t="s">
        <v>92</v>
      </c>
      <c r="H817" t="s">
        <v>92</v>
      </c>
      <c r="I817" s="12" t="s">
        <v>268</v>
      </c>
      <c r="J817" t="s">
        <v>278</v>
      </c>
      <c r="L817" t="s">
        <v>92</v>
      </c>
      <c r="N817" s="14">
        <v>1</v>
      </c>
      <c r="P817" s="12" t="s">
        <v>268</v>
      </c>
      <c r="W817" s="9" t="str">
        <f t="shared" ca="1" si="61"/>
        <v>18.5%</v>
      </c>
      <c r="X817" t="s">
        <v>321</v>
      </c>
      <c r="Y817" s="9" t="str">
        <f t="shared" ca="1" si="62"/>
        <v>Sin costo</v>
      </c>
      <c r="Z817" t="s">
        <v>327</v>
      </c>
      <c r="AA817" t="s">
        <v>329</v>
      </c>
      <c r="AB817" t="s">
        <v>334</v>
      </c>
      <c r="AC817" s="12" t="s">
        <v>339</v>
      </c>
      <c r="AE817" t="s">
        <v>268</v>
      </c>
      <c r="AG817" s="12" t="s">
        <v>268</v>
      </c>
      <c r="AH817" t="s">
        <v>92</v>
      </c>
      <c r="AI817" s="12" t="s">
        <v>268</v>
      </c>
      <c r="AJ817" t="s">
        <v>92</v>
      </c>
      <c r="AK817" t="s">
        <v>92</v>
      </c>
      <c r="AL817" t="s">
        <v>92</v>
      </c>
      <c r="AM817" s="12" t="s">
        <v>268</v>
      </c>
      <c r="AN817" s="12" t="s">
        <v>268</v>
      </c>
      <c r="AO817" s="12" t="s">
        <v>268</v>
      </c>
      <c r="AP817" s="12" t="s">
        <v>268</v>
      </c>
      <c r="AQ817" s="12" t="s">
        <v>268</v>
      </c>
      <c r="AR817" s="28" t="str">
        <f t="shared" ca="1" si="63"/>
        <v/>
      </c>
      <c r="AS817" s="28" t="str">
        <f t="shared" ca="1" si="64"/>
        <v/>
      </c>
    </row>
    <row r="818" spans="2:45" ht="27.6" customHeight="1">
      <c r="B818">
        <f t="shared" ca="1" si="60"/>
        <v>0</v>
      </c>
      <c r="C818" t="s">
        <v>85</v>
      </c>
      <c r="D818" t="s">
        <v>92</v>
      </c>
      <c r="E818" t="s">
        <v>92</v>
      </c>
      <c r="F818" t="s">
        <v>92</v>
      </c>
      <c r="G818" t="s">
        <v>92</v>
      </c>
      <c r="H818" t="s">
        <v>92</v>
      </c>
      <c r="I818" s="12" t="s">
        <v>268</v>
      </c>
      <c r="J818" t="s">
        <v>278</v>
      </c>
      <c r="L818" t="s">
        <v>92</v>
      </c>
      <c r="N818" s="14">
        <v>1</v>
      </c>
      <c r="P818" s="12" t="s">
        <v>268</v>
      </c>
      <c r="W818" s="9" t="str">
        <f t="shared" ca="1" si="61"/>
        <v>18.5%</v>
      </c>
      <c r="X818" t="s">
        <v>321</v>
      </c>
      <c r="Y818" s="9" t="str">
        <f t="shared" ca="1" si="62"/>
        <v>Sin costo</v>
      </c>
      <c r="Z818" t="s">
        <v>327</v>
      </c>
      <c r="AA818" t="s">
        <v>329</v>
      </c>
      <c r="AB818" t="s">
        <v>334</v>
      </c>
      <c r="AC818" s="12" t="s">
        <v>339</v>
      </c>
      <c r="AE818" t="s">
        <v>268</v>
      </c>
      <c r="AG818" s="12" t="s">
        <v>268</v>
      </c>
      <c r="AH818" t="s">
        <v>92</v>
      </c>
      <c r="AI818" s="12" t="s">
        <v>268</v>
      </c>
      <c r="AJ818" t="s">
        <v>92</v>
      </c>
      <c r="AK818" t="s">
        <v>92</v>
      </c>
      <c r="AL818" t="s">
        <v>92</v>
      </c>
      <c r="AM818" s="12" t="s">
        <v>268</v>
      </c>
      <c r="AN818" s="12" t="s">
        <v>268</v>
      </c>
      <c r="AO818" s="12" t="s">
        <v>268</v>
      </c>
      <c r="AP818" s="12" t="s">
        <v>268</v>
      </c>
      <c r="AQ818" s="12" t="s">
        <v>268</v>
      </c>
      <c r="AR818" s="28" t="str">
        <f t="shared" ca="1" si="63"/>
        <v/>
      </c>
      <c r="AS818" s="28" t="str">
        <f t="shared" ca="1" si="64"/>
        <v/>
      </c>
    </row>
    <row r="819" spans="2:45" ht="27.6" customHeight="1">
      <c r="B819">
        <f t="shared" ca="1" si="60"/>
        <v>0</v>
      </c>
      <c r="C819" t="s">
        <v>85</v>
      </c>
      <c r="D819" t="s">
        <v>92</v>
      </c>
      <c r="E819" t="s">
        <v>92</v>
      </c>
      <c r="F819" t="s">
        <v>92</v>
      </c>
      <c r="G819" t="s">
        <v>92</v>
      </c>
      <c r="H819" t="s">
        <v>92</v>
      </c>
      <c r="I819" s="12" t="s">
        <v>268</v>
      </c>
      <c r="J819" t="s">
        <v>278</v>
      </c>
      <c r="L819" t="s">
        <v>92</v>
      </c>
      <c r="N819" s="14">
        <v>1</v>
      </c>
      <c r="P819" s="12" t="s">
        <v>268</v>
      </c>
      <c r="W819" s="9" t="str">
        <f t="shared" ca="1" si="61"/>
        <v>18.5%</v>
      </c>
      <c r="X819" t="s">
        <v>321</v>
      </c>
      <c r="Y819" s="9" t="str">
        <f t="shared" ca="1" si="62"/>
        <v>Sin costo</v>
      </c>
      <c r="Z819" t="s">
        <v>327</v>
      </c>
      <c r="AA819" t="s">
        <v>329</v>
      </c>
      <c r="AB819" t="s">
        <v>334</v>
      </c>
      <c r="AC819" s="12" t="s">
        <v>339</v>
      </c>
      <c r="AE819" t="s">
        <v>268</v>
      </c>
      <c r="AG819" s="12" t="s">
        <v>268</v>
      </c>
      <c r="AH819" t="s">
        <v>92</v>
      </c>
      <c r="AI819" s="12" t="s">
        <v>268</v>
      </c>
      <c r="AJ819" t="s">
        <v>92</v>
      </c>
      <c r="AK819" t="s">
        <v>92</v>
      </c>
      <c r="AL819" t="s">
        <v>92</v>
      </c>
      <c r="AM819" s="12" t="s">
        <v>268</v>
      </c>
      <c r="AN819" s="12" t="s">
        <v>268</v>
      </c>
      <c r="AO819" s="12" t="s">
        <v>268</v>
      </c>
      <c r="AP819" s="12" t="s">
        <v>268</v>
      </c>
      <c r="AQ819" s="12" t="s">
        <v>268</v>
      </c>
      <c r="AR819" s="28" t="str">
        <f t="shared" ca="1" si="63"/>
        <v/>
      </c>
      <c r="AS819" s="28" t="str">
        <f t="shared" ca="1" si="64"/>
        <v/>
      </c>
    </row>
    <row r="820" spans="2:45" ht="27.6" customHeight="1">
      <c r="B820">
        <f t="shared" ca="1" si="60"/>
        <v>0</v>
      </c>
      <c r="C820" t="s">
        <v>85</v>
      </c>
      <c r="D820" t="s">
        <v>92</v>
      </c>
      <c r="E820" t="s">
        <v>92</v>
      </c>
      <c r="F820" t="s">
        <v>92</v>
      </c>
      <c r="G820" t="s">
        <v>92</v>
      </c>
      <c r="H820" t="s">
        <v>92</v>
      </c>
      <c r="I820" s="12" t="s">
        <v>268</v>
      </c>
      <c r="J820" t="s">
        <v>278</v>
      </c>
      <c r="L820" t="s">
        <v>92</v>
      </c>
      <c r="N820" s="14">
        <v>1</v>
      </c>
      <c r="P820" s="12" t="s">
        <v>268</v>
      </c>
      <c r="W820" s="9" t="str">
        <f t="shared" ca="1" si="61"/>
        <v>18.5%</v>
      </c>
      <c r="X820" t="s">
        <v>321</v>
      </c>
      <c r="Y820" s="9" t="str">
        <f t="shared" ca="1" si="62"/>
        <v>Sin costo</v>
      </c>
      <c r="Z820" t="s">
        <v>327</v>
      </c>
      <c r="AA820" t="s">
        <v>329</v>
      </c>
      <c r="AB820" t="s">
        <v>334</v>
      </c>
      <c r="AC820" s="12" t="s">
        <v>339</v>
      </c>
      <c r="AE820" t="s">
        <v>268</v>
      </c>
      <c r="AG820" s="12" t="s">
        <v>268</v>
      </c>
      <c r="AH820" t="s">
        <v>92</v>
      </c>
      <c r="AI820" s="12" t="s">
        <v>268</v>
      </c>
      <c r="AJ820" t="s">
        <v>92</v>
      </c>
      <c r="AK820" t="s">
        <v>92</v>
      </c>
      <c r="AL820" t="s">
        <v>92</v>
      </c>
      <c r="AM820" s="12" t="s">
        <v>268</v>
      </c>
      <c r="AN820" s="12" t="s">
        <v>268</v>
      </c>
      <c r="AO820" s="12" t="s">
        <v>268</v>
      </c>
      <c r="AP820" s="12" t="s">
        <v>268</v>
      </c>
      <c r="AQ820" s="12" t="s">
        <v>268</v>
      </c>
      <c r="AR820" s="28" t="str">
        <f t="shared" ca="1" si="63"/>
        <v/>
      </c>
      <c r="AS820" s="28" t="str">
        <f t="shared" ca="1" si="64"/>
        <v/>
      </c>
    </row>
    <row r="821" spans="2:45" ht="27.6" customHeight="1">
      <c r="B821">
        <f t="shared" ca="1" si="60"/>
        <v>0</v>
      </c>
      <c r="C821" t="s">
        <v>85</v>
      </c>
      <c r="D821" t="s">
        <v>92</v>
      </c>
      <c r="E821" t="s">
        <v>92</v>
      </c>
      <c r="F821" t="s">
        <v>92</v>
      </c>
      <c r="G821" t="s">
        <v>92</v>
      </c>
      <c r="H821" t="s">
        <v>92</v>
      </c>
      <c r="I821" s="12" t="s">
        <v>268</v>
      </c>
      <c r="J821" t="s">
        <v>278</v>
      </c>
      <c r="L821" t="s">
        <v>92</v>
      </c>
      <c r="N821" s="14">
        <v>1</v>
      </c>
      <c r="P821" s="12" t="s">
        <v>268</v>
      </c>
      <c r="W821" s="9" t="str">
        <f t="shared" ca="1" si="61"/>
        <v>18.5%</v>
      </c>
      <c r="X821" t="s">
        <v>321</v>
      </c>
      <c r="Y821" s="9" t="str">
        <f t="shared" ca="1" si="62"/>
        <v>Sin costo</v>
      </c>
      <c r="Z821" t="s">
        <v>327</v>
      </c>
      <c r="AA821" t="s">
        <v>329</v>
      </c>
      <c r="AB821" t="s">
        <v>334</v>
      </c>
      <c r="AC821" s="12" t="s">
        <v>339</v>
      </c>
      <c r="AE821" t="s">
        <v>268</v>
      </c>
      <c r="AG821" s="12" t="s">
        <v>268</v>
      </c>
      <c r="AH821" t="s">
        <v>92</v>
      </c>
      <c r="AI821" s="12" t="s">
        <v>268</v>
      </c>
      <c r="AJ821" t="s">
        <v>92</v>
      </c>
      <c r="AK821" t="s">
        <v>92</v>
      </c>
      <c r="AL821" t="s">
        <v>92</v>
      </c>
      <c r="AM821" s="12" t="s">
        <v>268</v>
      </c>
      <c r="AN821" s="12" t="s">
        <v>268</v>
      </c>
      <c r="AO821" s="12" t="s">
        <v>268</v>
      </c>
      <c r="AP821" s="12" t="s">
        <v>268</v>
      </c>
      <c r="AQ821" s="12" t="s">
        <v>268</v>
      </c>
      <c r="AR821" s="28" t="str">
        <f t="shared" ca="1" si="63"/>
        <v/>
      </c>
      <c r="AS821" s="28" t="str">
        <f t="shared" ca="1" si="64"/>
        <v/>
      </c>
    </row>
    <row r="822" spans="2:45" ht="27.6" customHeight="1">
      <c r="B822">
        <f t="shared" ca="1" si="60"/>
        <v>0</v>
      </c>
      <c r="C822" t="s">
        <v>85</v>
      </c>
      <c r="D822" t="s">
        <v>92</v>
      </c>
      <c r="E822" t="s">
        <v>92</v>
      </c>
      <c r="F822" t="s">
        <v>92</v>
      </c>
      <c r="G822" t="s">
        <v>92</v>
      </c>
      <c r="H822" t="s">
        <v>92</v>
      </c>
      <c r="I822" s="12" t="s">
        <v>268</v>
      </c>
      <c r="J822" t="s">
        <v>278</v>
      </c>
      <c r="L822" t="s">
        <v>92</v>
      </c>
      <c r="N822" s="14">
        <v>1</v>
      </c>
      <c r="P822" s="12" t="s">
        <v>268</v>
      </c>
      <c r="W822" s="9" t="str">
        <f t="shared" ca="1" si="61"/>
        <v>18.5%</v>
      </c>
      <c r="X822" t="s">
        <v>321</v>
      </c>
      <c r="Y822" s="9" t="str">
        <f t="shared" ca="1" si="62"/>
        <v>Sin costo</v>
      </c>
      <c r="Z822" t="s">
        <v>327</v>
      </c>
      <c r="AA822" t="s">
        <v>329</v>
      </c>
      <c r="AB822" t="s">
        <v>334</v>
      </c>
      <c r="AC822" s="12" t="s">
        <v>339</v>
      </c>
      <c r="AE822" t="s">
        <v>268</v>
      </c>
      <c r="AG822" s="12" t="s">
        <v>268</v>
      </c>
      <c r="AH822" t="s">
        <v>92</v>
      </c>
      <c r="AI822" s="12" t="s">
        <v>268</v>
      </c>
      <c r="AJ822" t="s">
        <v>92</v>
      </c>
      <c r="AK822" t="s">
        <v>92</v>
      </c>
      <c r="AL822" t="s">
        <v>92</v>
      </c>
      <c r="AM822" s="12" t="s">
        <v>268</v>
      </c>
      <c r="AN822" s="12" t="s">
        <v>268</v>
      </c>
      <c r="AO822" s="12" t="s">
        <v>268</v>
      </c>
      <c r="AP822" s="12" t="s">
        <v>268</v>
      </c>
      <c r="AQ822" s="12" t="s">
        <v>268</v>
      </c>
      <c r="AR822" s="28" t="str">
        <f t="shared" ca="1" si="63"/>
        <v/>
      </c>
      <c r="AS822" s="28" t="str">
        <f t="shared" ca="1" si="64"/>
        <v/>
      </c>
    </row>
    <row r="823" spans="2:45" ht="27.6" customHeight="1">
      <c r="B823">
        <f t="shared" ca="1" si="60"/>
        <v>0</v>
      </c>
      <c r="C823" t="s">
        <v>85</v>
      </c>
      <c r="D823" t="s">
        <v>92</v>
      </c>
      <c r="E823" t="s">
        <v>92</v>
      </c>
      <c r="F823" t="s">
        <v>92</v>
      </c>
      <c r="G823" t="s">
        <v>92</v>
      </c>
      <c r="H823" t="s">
        <v>92</v>
      </c>
      <c r="I823" s="12" t="s">
        <v>268</v>
      </c>
      <c r="J823" t="s">
        <v>278</v>
      </c>
      <c r="L823" t="s">
        <v>92</v>
      </c>
      <c r="N823" s="14">
        <v>1</v>
      </c>
      <c r="P823" s="12" t="s">
        <v>268</v>
      </c>
      <c r="W823" s="9" t="str">
        <f t="shared" ca="1" si="61"/>
        <v>18.5%</v>
      </c>
      <c r="X823" t="s">
        <v>321</v>
      </c>
      <c r="Y823" s="9" t="str">
        <f t="shared" ca="1" si="62"/>
        <v>Sin costo</v>
      </c>
      <c r="Z823" t="s">
        <v>327</v>
      </c>
      <c r="AA823" t="s">
        <v>329</v>
      </c>
      <c r="AB823" t="s">
        <v>334</v>
      </c>
      <c r="AC823" s="12" t="s">
        <v>339</v>
      </c>
      <c r="AE823" t="s">
        <v>268</v>
      </c>
      <c r="AG823" s="12" t="s">
        <v>268</v>
      </c>
      <c r="AH823" t="s">
        <v>92</v>
      </c>
      <c r="AI823" s="12" t="s">
        <v>268</v>
      </c>
      <c r="AJ823" t="s">
        <v>92</v>
      </c>
      <c r="AK823" t="s">
        <v>92</v>
      </c>
      <c r="AL823" t="s">
        <v>92</v>
      </c>
      <c r="AM823" s="12" t="s">
        <v>268</v>
      </c>
      <c r="AN823" s="12" t="s">
        <v>268</v>
      </c>
      <c r="AO823" s="12" t="s">
        <v>268</v>
      </c>
      <c r="AP823" s="12" t="s">
        <v>268</v>
      </c>
      <c r="AQ823" s="12" t="s">
        <v>268</v>
      </c>
      <c r="AR823" s="28" t="str">
        <f t="shared" ca="1" si="63"/>
        <v/>
      </c>
      <c r="AS823" s="28" t="str">
        <f t="shared" ca="1" si="64"/>
        <v/>
      </c>
    </row>
    <row r="824" spans="2:45" ht="27.6" customHeight="1">
      <c r="B824">
        <f t="shared" ca="1" si="60"/>
        <v>0</v>
      </c>
      <c r="C824" t="s">
        <v>85</v>
      </c>
      <c r="D824" t="s">
        <v>92</v>
      </c>
      <c r="E824" t="s">
        <v>92</v>
      </c>
      <c r="F824" t="s">
        <v>92</v>
      </c>
      <c r="G824" t="s">
        <v>92</v>
      </c>
      <c r="H824" t="s">
        <v>92</v>
      </c>
      <c r="I824" s="12" t="s">
        <v>268</v>
      </c>
      <c r="J824" t="s">
        <v>278</v>
      </c>
      <c r="L824" t="s">
        <v>92</v>
      </c>
      <c r="N824" s="14">
        <v>1</v>
      </c>
      <c r="P824" s="12" t="s">
        <v>268</v>
      </c>
      <c r="W824" s="9" t="str">
        <f t="shared" ca="1" si="61"/>
        <v>18.5%</v>
      </c>
      <c r="X824" t="s">
        <v>321</v>
      </c>
      <c r="Y824" s="9" t="str">
        <f t="shared" ca="1" si="62"/>
        <v>Sin costo</v>
      </c>
      <c r="Z824" t="s">
        <v>327</v>
      </c>
      <c r="AA824" t="s">
        <v>329</v>
      </c>
      <c r="AB824" t="s">
        <v>334</v>
      </c>
      <c r="AC824" s="12" t="s">
        <v>339</v>
      </c>
      <c r="AE824" t="s">
        <v>268</v>
      </c>
      <c r="AG824" s="12" t="s">
        <v>268</v>
      </c>
      <c r="AH824" t="s">
        <v>92</v>
      </c>
      <c r="AI824" s="12" t="s">
        <v>268</v>
      </c>
      <c r="AJ824" t="s">
        <v>92</v>
      </c>
      <c r="AK824" t="s">
        <v>92</v>
      </c>
      <c r="AL824" t="s">
        <v>92</v>
      </c>
      <c r="AM824" s="12" t="s">
        <v>268</v>
      </c>
      <c r="AN824" s="12" t="s">
        <v>268</v>
      </c>
      <c r="AO824" s="12" t="s">
        <v>268</v>
      </c>
      <c r="AP824" s="12" t="s">
        <v>268</v>
      </c>
      <c r="AQ824" s="12" t="s">
        <v>268</v>
      </c>
      <c r="AR824" s="28" t="str">
        <f t="shared" ca="1" si="63"/>
        <v/>
      </c>
      <c r="AS824" s="28" t="str">
        <f t="shared" ca="1" si="64"/>
        <v/>
      </c>
    </row>
    <row r="825" spans="2:45" ht="27.6" customHeight="1">
      <c r="B825">
        <f t="shared" ca="1" si="60"/>
        <v>0</v>
      </c>
      <c r="C825" t="s">
        <v>85</v>
      </c>
      <c r="D825" t="s">
        <v>92</v>
      </c>
      <c r="E825" t="s">
        <v>92</v>
      </c>
      <c r="F825" t="s">
        <v>92</v>
      </c>
      <c r="G825" t="s">
        <v>92</v>
      </c>
      <c r="H825" t="s">
        <v>92</v>
      </c>
      <c r="I825" s="12" t="s">
        <v>268</v>
      </c>
      <c r="J825" t="s">
        <v>278</v>
      </c>
      <c r="L825" t="s">
        <v>92</v>
      </c>
      <c r="N825" s="14">
        <v>1</v>
      </c>
      <c r="P825" s="12" t="s">
        <v>268</v>
      </c>
      <c r="W825" s="9" t="str">
        <f t="shared" ca="1" si="61"/>
        <v>18.5%</v>
      </c>
      <c r="X825" t="s">
        <v>321</v>
      </c>
      <c r="Y825" s="9" t="str">
        <f t="shared" ca="1" si="62"/>
        <v>Sin costo</v>
      </c>
      <c r="Z825" t="s">
        <v>327</v>
      </c>
      <c r="AA825" t="s">
        <v>329</v>
      </c>
      <c r="AB825" t="s">
        <v>334</v>
      </c>
      <c r="AC825" s="12" t="s">
        <v>339</v>
      </c>
      <c r="AE825" t="s">
        <v>268</v>
      </c>
      <c r="AG825" s="12" t="s">
        <v>268</v>
      </c>
      <c r="AH825" t="s">
        <v>92</v>
      </c>
      <c r="AI825" s="12" t="s">
        <v>268</v>
      </c>
      <c r="AJ825" t="s">
        <v>92</v>
      </c>
      <c r="AK825" t="s">
        <v>92</v>
      </c>
      <c r="AL825" t="s">
        <v>92</v>
      </c>
      <c r="AM825" s="12" t="s">
        <v>268</v>
      </c>
      <c r="AN825" s="12" t="s">
        <v>268</v>
      </c>
      <c r="AO825" s="12" t="s">
        <v>268</v>
      </c>
      <c r="AP825" s="12" t="s">
        <v>268</v>
      </c>
      <c r="AQ825" s="12" t="s">
        <v>268</v>
      </c>
      <c r="AR825" s="28" t="str">
        <f t="shared" ca="1" si="63"/>
        <v/>
      </c>
      <c r="AS825" s="28" t="str">
        <f t="shared" ca="1" si="64"/>
        <v/>
      </c>
    </row>
    <row r="826" spans="2:45" ht="27.6" customHeight="1">
      <c r="B826">
        <f t="shared" ca="1" si="60"/>
        <v>0</v>
      </c>
      <c r="C826" t="s">
        <v>85</v>
      </c>
      <c r="D826" t="s">
        <v>92</v>
      </c>
      <c r="E826" t="s">
        <v>92</v>
      </c>
      <c r="F826" t="s">
        <v>92</v>
      </c>
      <c r="G826" t="s">
        <v>92</v>
      </c>
      <c r="H826" t="s">
        <v>92</v>
      </c>
      <c r="I826" s="12" t="s">
        <v>268</v>
      </c>
      <c r="J826" t="s">
        <v>278</v>
      </c>
      <c r="L826" t="s">
        <v>92</v>
      </c>
      <c r="N826" s="14">
        <v>1</v>
      </c>
      <c r="P826" s="12" t="s">
        <v>268</v>
      </c>
      <c r="W826" s="9" t="str">
        <f t="shared" ca="1" si="61"/>
        <v>18.5%</v>
      </c>
      <c r="X826" t="s">
        <v>321</v>
      </c>
      <c r="Y826" s="9" t="str">
        <f t="shared" ca="1" si="62"/>
        <v>Sin costo</v>
      </c>
      <c r="Z826" t="s">
        <v>327</v>
      </c>
      <c r="AA826" t="s">
        <v>329</v>
      </c>
      <c r="AB826" t="s">
        <v>334</v>
      </c>
      <c r="AC826" s="12" t="s">
        <v>339</v>
      </c>
      <c r="AE826" t="s">
        <v>268</v>
      </c>
      <c r="AG826" s="12" t="s">
        <v>268</v>
      </c>
      <c r="AH826" t="s">
        <v>92</v>
      </c>
      <c r="AI826" s="12" t="s">
        <v>268</v>
      </c>
      <c r="AJ826" t="s">
        <v>92</v>
      </c>
      <c r="AK826" t="s">
        <v>92</v>
      </c>
      <c r="AL826" t="s">
        <v>92</v>
      </c>
      <c r="AM826" s="12" t="s">
        <v>268</v>
      </c>
      <c r="AN826" s="12" t="s">
        <v>268</v>
      </c>
      <c r="AO826" s="12" t="s">
        <v>268</v>
      </c>
      <c r="AP826" s="12" t="s">
        <v>268</v>
      </c>
      <c r="AQ826" s="12" t="s">
        <v>268</v>
      </c>
      <c r="AR826" s="28" t="str">
        <f t="shared" ca="1" si="63"/>
        <v/>
      </c>
      <c r="AS826" s="28" t="str">
        <f t="shared" ca="1" si="64"/>
        <v/>
      </c>
    </row>
    <row r="827" spans="2:45" ht="27.6" customHeight="1">
      <c r="B827">
        <f t="shared" ca="1" si="60"/>
        <v>0</v>
      </c>
      <c r="C827" t="s">
        <v>85</v>
      </c>
      <c r="D827" t="s">
        <v>92</v>
      </c>
      <c r="E827" t="s">
        <v>92</v>
      </c>
      <c r="F827" t="s">
        <v>92</v>
      </c>
      <c r="G827" t="s">
        <v>92</v>
      </c>
      <c r="H827" t="s">
        <v>92</v>
      </c>
      <c r="I827" s="12" t="s">
        <v>268</v>
      </c>
      <c r="J827" t="s">
        <v>278</v>
      </c>
      <c r="L827" t="s">
        <v>92</v>
      </c>
      <c r="N827" s="14">
        <v>1</v>
      </c>
      <c r="P827" s="12" t="s">
        <v>268</v>
      </c>
      <c r="W827" s="9" t="str">
        <f t="shared" ca="1" si="61"/>
        <v>18.5%</v>
      </c>
      <c r="X827" t="s">
        <v>321</v>
      </c>
      <c r="Y827" s="9" t="str">
        <f t="shared" ca="1" si="62"/>
        <v>Sin costo</v>
      </c>
      <c r="Z827" t="s">
        <v>327</v>
      </c>
      <c r="AA827" t="s">
        <v>329</v>
      </c>
      <c r="AB827" t="s">
        <v>334</v>
      </c>
      <c r="AC827" s="12" t="s">
        <v>339</v>
      </c>
      <c r="AE827" t="s">
        <v>268</v>
      </c>
      <c r="AG827" s="12" t="s">
        <v>268</v>
      </c>
      <c r="AH827" t="s">
        <v>92</v>
      </c>
      <c r="AI827" s="12" t="s">
        <v>268</v>
      </c>
      <c r="AJ827" t="s">
        <v>92</v>
      </c>
      <c r="AK827" t="s">
        <v>92</v>
      </c>
      <c r="AL827" t="s">
        <v>92</v>
      </c>
      <c r="AM827" s="12" t="s">
        <v>268</v>
      </c>
      <c r="AN827" s="12" t="s">
        <v>268</v>
      </c>
      <c r="AO827" s="12" t="s">
        <v>268</v>
      </c>
      <c r="AP827" s="12" t="s">
        <v>268</v>
      </c>
      <c r="AQ827" s="12" t="s">
        <v>268</v>
      </c>
      <c r="AR827" s="28" t="str">
        <f t="shared" ca="1" si="63"/>
        <v/>
      </c>
      <c r="AS827" s="28" t="str">
        <f t="shared" ca="1" si="64"/>
        <v/>
      </c>
    </row>
    <row r="828" spans="2:45" ht="27.6" customHeight="1">
      <c r="B828">
        <f t="shared" ca="1" si="60"/>
        <v>0</v>
      </c>
      <c r="C828" t="s">
        <v>85</v>
      </c>
      <c r="D828" t="s">
        <v>92</v>
      </c>
      <c r="E828" t="s">
        <v>92</v>
      </c>
      <c r="F828" t="s">
        <v>92</v>
      </c>
      <c r="G828" t="s">
        <v>92</v>
      </c>
      <c r="H828" t="s">
        <v>92</v>
      </c>
      <c r="I828" s="12" t="s">
        <v>268</v>
      </c>
      <c r="J828" t="s">
        <v>278</v>
      </c>
      <c r="L828" t="s">
        <v>92</v>
      </c>
      <c r="N828" s="14">
        <v>1</v>
      </c>
      <c r="P828" s="12" t="s">
        <v>268</v>
      </c>
      <c r="W828" s="9" t="str">
        <f t="shared" ca="1" si="61"/>
        <v>18.5%</v>
      </c>
      <c r="X828" t="s">
        <v>321</v>
      </c>
      <c r="Y828" s="9" t="str">
        <f t="shared" ca="1" si="62"/>
        <v>Sin costo</v>
      </c>
      <c r="Z828" t="s">
        <v>327</v>
      </c>
      <c r="AA828" t="s">
        <v>329</v>
      </c>
      <c r="AB828" t="s">
        <v>334</v>
      </c>
      <c r="AC828" s="12" t="s">
        <v>339</v>
      </c>
      <c r="AE828" t="s">
        <v>268</v>
      </c>
      <c r="AG828" s="12" t="s">
        <v>268</v>
      </c>
      <c r="AH828" t="s">
        <v>92</v>
      </c>
      <c r="AI828" s="12" t="s">
        <v>268</v>
      </c>
      <c r="AJ828" t="s">
        <v>92</v>
      </c>
      <c r="AK828" t="s">
        <v>92</v>
      </c>
      <c r="AL828" t="s">
        <v>92</v>
      </c>
      <c r="AM828" s="12" t="s">
        <v>268</v>
      </c>
      <c r="AN828" s="12" t="s">
        <v>268</v>
      </c>
      <c r="AO828" s="12" t="s">
        <v>268</v>
      </c>
      <c r="AP828" s="12" t="s">
        <v>268</v>
      </c>
      <c r="AQ828" s="12" t="s">
        <v>268</v>
      </c>
      <c r="AR828" s="28" t="str">
        <f t="shared" ca="1" si="63"/>
        <v/>
      </c>
      <c r="AS828" s="28" t="str">
        <f t="shared" ca="1" si="64"/>
        <v/>
      </c>
    </row>
    <row r="829" spans="2:45" ht="27.6" customHeight="1">
      <c r="B829">
        <f t="shared" ca="1" si="60"/>
        <v>0</v>
      </c>
      <c r="C829" t="s">
        <v>85</v>
      </c>
      <c r="D829" t="s">
        <v>92</v>
      </c>
      <c r="E829" t="s">
        <v>92</v>
      </c>
      <c r="F829" t="s">
        <v>92</v>
      </c>
      <c r="G829" t="s">
        <v>92</v>
      </c>
      <c r="H829" t="s">
        <v>92</v>
      </c>
      <c r="I829" s="12" t="s">
        <v>268</v>
      </c>
      <c r="J829" t="s">
        <v>278</v>
      </c>
      <c r="L829" t="s">
        <v>92</v>
      </c>
      <c r="N829" s="14">
        <v>1</v>
      </c>
      <c r="P829" s="12" t="s">
        <v>268</v>
      </c>
      <c r="W829" s="9" t="str">
        <f t="shared" ca="1" si="61"/>
        <v>18.5%</v>
      </c>
      <c r="X829" t="s">
        <v>321</v>
      </c>
      <c r="Y829" s="9" t="str">
        <f t="shared" ca="1" si="62"/>
        <v>Sin costo</v>
      </c>
      <c r="Z829" t="s">
        <v>327</v>
      </c>
      <c r="AA829" t="s">
        <v>329</v>
      </c>
      <c r="AB829" t="s">
        <v>334</v>
      </c>
      <c r="AC829" s="12" t="s">
        <v>339</v>
      </c>
      <c r="AE829" t="s">
        <v>268</v>
      </c>
      <c r="AG829" s="12" t="s">
        <v>268</v>
      </c>
      <c r="AH829" t="s">
        <v>92</v>
      </c>
      <c r="AI829" s="12" t="s">
        <v>268</v>
      </c>
      <c r="AJ829" t="s">
        <v>92</v>
      </c>
      <c r="AK829" t="s">
        <v>92</v>
      </c>
      <c r="AL829" t="s">
        <v>92</v>
      </c>
      <c r="AM829" s="12" t="s">
        <v>268</v>
      </c>
      <c r="AN829" s="12" t="s">
        <v>268</v>
      </c>
      <c r="AO829" s="12" t="s">
        <v>268</v>
      </c>
      <c r="AP829" s="12" t="s">
        <v>268</v>
      </c>
      <c r="AQ829" s="12" t="s">
        <v>268</v>
      </c>
      <c r="AR829" s="28" t="str">
        <f t="shared" ca="1" si="63"/>
        <v/>
      </c>
      <c r="AS829" s="28" t="str">
        <f t="shared" ca="1" si="64"/>
        <v/>
      </c>
    </row>
    <row r="830" spans="2:45" ht="27.6" customHeight="1">
      <c r="B830">
        <f t="shared" ca="1" si="60"/>
        <v>0</v>
      </c>
      <c r="C830" t="s">
        <v>85</v>
      </c>
      <c r="D830" t="s">
        <v>92</v>
      </c>
      <c r="E830" t="s">
        <v>92</v>
      </c>
      <c r="F830" t="s">
        <v>92</v>
      </c>
      <c r="G830" t="s">
        <v>92</v>
      </c>
      <c r="H830" t="s">
        <v>92</v>
      </c>
      <c r="I830" s="12" t="s">
        <v>268</v>
      </c>
      <c r="J830" t="s">
        <v>278</v>
      </c>
      <c r="L830" t="s">
        <v>92</v>
      </c>
      <c r="N830" s="14">
        <v>1</v>
      </c>
      <c r="P830" s="12" t="s">
        <v>268</v>
      </c>
      <c r="W830" s="9" t="str">
        <f t="shared" ca="1" si="61"/>
        <v>18.5%</v>
      </c>
      <c r="X830" t="s">
        <v>321</v>
      </c>
      <c r="Y830" s="9" t="str">
        <f t="shared" ca="1" si="62"/>
        <v>Sin costo</v>
      </c>
      <c r="Z830" t="s">
        <v>327</v>
      </c>
      <c r="AA830" t="s">
        <v>329</v>
      </c>
      <c r="AB830" t="s">
        <v>334</v>
      </c>
      <c r="AC830" s="12" t="s">
        <v>339</v>
      </c>
      <c r="AE830" t="s">
        <v>268</v>
      </c>
      <c r="AG830" s="12" t="s">
        <v>268</v>
      </c>
      <c r="AH830" t="s">
        <v>92</v>
      </c>
      <c r="AI830" s="12" t="s">
        <v>268</v>
      </c>
      <c r="AJ830" t="s">
        <v>92</v>
      </c>
      <c r="AK830" t="s">
        <v>92</v>
      </c>
      <c r="AL830" t="s">
        <v>92</v>
      </c>
      <c r="AM830" s="12" t="s">
        <v>268</v>
      </c>
      <c r="AN830" s="12" t="s">
        <v>268</v>
      </c>
      <c r="AO830" s="12" t="s">
        <v>268</v>
      </c>
      <c r="AP830" s="12" t="s">
        <v>268</v>
      </c>
      <c r="AQ830" s="12" t="s">
        <v>268</v>
      </c>
      <c r="AR830" s="28" t="str">
        <f t="shared" ca="1" si="63"/>
        <v/>
      </c>
      <c r="AS830" s="28" t="str">
        <f t="shared" ca="1" si="64"/>
        <v/>
      </c>
    </row>
    <row r="831" spans="2:45" ht="27.6" customHeight="1">
      <c r="B831">
        <f t="shared" ca="1" si="60"/>
        <v>0</v>
      </c>
      <c r="C831" t="s">
        <v>85</v>
      </c>
      <c r="D831" t="s">
        <v>92</v>
      </c>
      <c r="E831" t="s">
        <v>92</v>
      </c>
      <c r="F831" t="s">
        <v>92</v>
      </c>
      <c r="G831" t="s">
        <v>92</v>
      </c>
      <c r="H831" t="s">
        <v>92</v>
      </c>
      <c r="I831" s="12" t="s">
        <v>268</v>
      </c>
      <c r="J831" t="s">
        <v>278</v>
      </c>
      <c r="L831" t="s">
        <v>92</v>
      </c>
      <c r="N831" s="14">
        <v>1</v>
      </c>
      <c r="P831" s="12" t="s">
        <v>268</v>
      </c>
      <c r="W831" s="9" t="str">
        <f t="shared" ca="1" si="61"/>
        <v>18.5%</v>
      </c>
      <c r="X831" t="s">
        <v>321</v>
      </c>
      <c r="Y831" s="9" t="str">
        <f t="shared" ca="1" si="62"/>
        <v>Sin costo</v>
      </c>
      <c r="Z831" t="s">
        <v>327</v>
      </c>
      <c r="AA831" t="s">
        <v>329</v>
      </c>
      <c r="AB831" t="s">
        <v>334</v>
      </c>
      <c r="AC831" s="12" t="s">
        <v>339</v>
      </c>
      <c r="AE831" t="s">
        <v>268</v>
      </c>
      <c r="AG831" s="12" t="s">
        <v>268</v>
      </c>
      <c r="AH831" t="s">
        <v>92</v>
      </c>
      <c r="AI831" s="12" t="s">
        <v>268</v>
      </c>
      <c r="AJ831" t="s">
        <v>92</v>
      </c>
      <c r="AK831" t="s">
        <v>92</v>
      </c>
      <c r="AL831" t="s">
        <v>92</v>
      </c>
      <c r="AM831" s="12" t="s">
        <v>268</v>
      </c>
      <c r="AN831" s="12" t="s">
        <v>268</v>
      </c>
      <c r="AO831" s="12" t="s">
        <v>268</v>
      </c>
      <c r="AP831" s="12" t="s">
        <v>268</v>
      </c>
      <c r="AQ831" s="12" t="s">
        <v>268</v>
      </c>
      <c r="AR831" s="28" t="str">
        <f t="shared" ca="1" si="63"/>
        <v/>
      </c>
      <c r="AS831" s="28" t="str">
        <f t="shared" ca="1" si="64"/>
        <v/>
      </c>
    </row>
    <row r="832" spans="2:45" ht="27.6" customHeight="1">
      <c r="B832">
        <f t="shared" ca="1" si="60"/>
        <v>0</v>
      </c>
      <c r="C832" t="s">
        <v>85</v>
      </c>
      <c r="D832" t="s">
        <v>92</v>
      </c>
      <c r="E832" t="s">
        <v>92</v>
      </c>
      <c r="F832" t="s">
        <v>92</v>
      </c>
      <c r="G832" t="s">
        <v>92</v>
      </c>
      <c r="H832" t="s">
        <v>92</v>
      </c>
      <c r="I832" s="12" t="s">
        <v>268</v>
      </c>
      <c r="J832" t="s">
        <v>278</v>
      </c>
      <c r="L832" t="s">
        <v>92</v>
      </c>
      <c r="N832" s="14">
        <v>1</v>
      </c>
      <c r="P832" s="12" t="s">
        <v>268</v>
      </c>
      <c r="W832" s="9" t="str">
        <f t="shared" ca="1" si="61"/>
        <v>18.5%</v>
      </c>
      <c r="X832" t="s">
        <v>321</v>
      </c>
      <c r="Y832" s="9" t="str">
        <f t="shared" ca="1" si="62"/>
        <v>Sin costo</v>
      </c>
      <c r="Z832" t="s">
        <v>327</v>
      </c>
      <c r="AA832" t="s">
        <v>329</v>
      </c>
      <c r="AB832" t="s">
        <v>334</v>
      </c>
      <c r="AC832" s="12" t="s">
        <v>339</v>
      </c>
      <c r="AE832" t="s">
        <v>268</v>
      </c>
      <c r="AG832" s="12" t="s">
        <v>268</v>
      </c>
      <c r="AH832" t="s">
        <v>92</v>
      </c>
      <c r="AI832" s="12" t="s">
        <v>268</v>
      </c>
      <c r="AJ832" t="s">
        <v>92</v>
      </c>
      <c r="AK832" t="s">
        <v>92</v>
      </c>
      <c r="AL832" t="s">
        <v>92</v>
      </c>
      <c r="AM832" s="12" t="s">
        <v>268</v>
      </c>
      <c r="AN832" s="12" t="s">
        <v>268</v>
      </c>
      <c r="AO832" s="12" t="s">
        <v>268</v>
      </c>
      <c r="AP832" s="12" t="s">
        <v>268</v>
      </c>
      <c r="AQ832" s="12" t="s">
        <v>268</v>
      </c>
      <c r="AR832" s="28" t="str">
        <f t="shared" ca="1" si="63"/>
        <v/>
      </c>
      <c r="AS832" s="28" t="str">
        <f t="shared" ca="1" si="64"/>
        <v/>
      </c>
    </row>
    <row r="833" spans="2:45" ht="27.6" customHeight="1">
      <c r="B833">
        <f t="shared" ca="1" si="60"/>
        <v>0</v>
      </c>
      <c r="C833" t="s">
        <v>85</v>
      </c>
      <c r="D833" t="s">
        <v>92</v>
      </c>
      <c r="E833" t="s">
        <v>92</v>
      </c>
      <c r="F833" t="s">
        <v>92</v>
      </c>
      <c r="G833" t="s">
        <v>92</v>
      </c>
      <c r="H833" t="s">
        <v>92</v>
      </c>
      <c r="I833" s="12" t="s">
        <v>268</v>
      </c>
      <c r="J833" t="s">
        <v>278</v>
      </c>
      <c r="L833" t="s">
        <v>92</v>
      </c>
      <c r="N833" s="14">
        <v>1</v>
      </c>
      <c r="P833" s="12" t="s">
        <v>268</v>
      </c>
      <c r="W833" s="9" t="str">
        <f t="shared" ca="1" si="61"/>
        <v>18.5%</v>
      </c>
      <c r="X833" t="s">
        <v>321</v>
      </c>
      <c r="Y833" s="9" t="str">
        <f t="shared" ca="1" si="62"/>
        <v>Sin costo</v>
      </c>
      <c r="Z833" t="s">
        <v>327</v>
      </c>
      <c r="AA833" t="s">
        <v>329</v>
      </c>
      <c r="AB833" t="s">
        <v>334</v>
      </c>
      <c r="AC833" s="12" t="s">
        <v>339</v>
      </c>
      <c r="AE833" t="s">
        <v>268</v>
      </c>
      <c r="AG833" s="12" t="s">
        <v>268</v>
      </c>
      <c r="AH833" t="s">
        <v>92</v>
      </c>
      <c r="AI833" s="12" t="s">
        <v>268</v>
      </c>
      <c r="AJ833" t="s">
        <v>92</v>
      </c>
      <c r="AK833" t="s">
        <v>92</v>
      </c>
      <c r="AL833" t="s">
        <v>92</v>
      </c>
      <c r="AM833" s="12" t="s">
        <v>268</v>
      </c>
      <c r="AN833" s="12" t="s">
        <v>268</v>
      </c>
      <c r="AO833" s="12" t="s">
        <v>268</v>
      </c>
      <c r="AP833" s="12" t="s">
        <v>268</v>
      </c>
      <c r="AQ833" s="12" t="s">
        <v>268</v>
      </c>
      <c r="AR833" s="28" t="str">
        <f t="shared" ca="1" si="63"/>
        <v/>
      </c>
      <c r="AS833" s="28" t="str">
        <f t="shared" ca="1" si="64"/>
        <v/>
      </c>
    </row>
    <row r="834" spans="2:45" ht="27.6" customHeight="1">
      <c r="B834">
        <f t="shared" ca="1" si="60"/>
        <v>0</v>
      </c>
      <c r="C834" t="s">
        <v>85</v>
      </c>
      <c r="D834" t="s">
        <v>92</v>
      </c>
      <c r="E834" t="s">
        <v>92</v>
      </c>
      <c r="F834" t="s">
        <v>92</v>
      </c>
      <c r="G834" t="s">
        <v>92</v>
      </c>
      <c r="H834" t="s">
        <v>92</v>
      </c>
      <c r="I834" s="12" t="s">
        <v>268</v>
      </c>
      <c r="J834" t="s">
        <v>278</v>
      </c>
      <c r="L834" t="s">
        <v>92</v>
      </c>
      <c r="N834" s="14">
        <v>1</v>
      </c>
      <c r="P834" s="12" t="s">
        <v>268</v>
      </c>
      <c r="W834" s="9" t="str">
        <f t="shared" ca="1" si="61"/>
        <v>18.5%</v>
      </c>
      <c r="X834" t="s">
        <v>321</v>
      </c>
      <c r="Y834" s="9" t="str">
        <f t="shared" ca="1" si="62"/>
        <v>Sin costo</v>
      </c>
      <c r="Z834" t="s">
        <v>327</v>
      </c>
      <c r="AA834" t="s">
        <v>329</v>
      </c>
      <c r="AB834" t="s">
        <v>334</v>
      </c>
      <c r="AC834" s="12" t="s">
        <v>339</v>
      </c>
      <c r="AE834" t="s">
        <v>268</v>
      </c>
      <c r="AG834" s="12" t="s">
        <v>268</v>
      </c>
      <c r="AH834" t="s">
        <v>92</v>
      </c>
      <c r="AI834" s="12" t="s">
        <v>268</v>
      </c>
      <c r="AJ834" t="s">
        <v>92</v>
      </c>
      <c r="AK834" t="s">
        <v>92</v>
      </c>
      <c r="AL834" t="s">
        <v>92</v>
      </c>
      <c r="AM834" s="12" t="s">
        <v>268</v>
      </c>
      <c r="AN834" s="12" t="s">
        <v>268</v>
      </c>
      <c r="AO834" s="12" t="s">
        <v>268</v>
      </c>
      <c r="AP834" s="12" t="s">
        <v>268</v>
      </c>
      <c r="AQ834" s="12" t="s">
        <v>268</v>
      </c>
      <c r="AR834" s="28" t="str">
        <f t="shared" ca="1" si="63"/>
        <v/>
      </c>
      <c r="AS834" s="28" t="str">
        <f t="shared" ca="1" si="64"/>
        <v/>
      </c>
    </row>
    <row r="835" spans="2:45" ht="27.6" customHeight="1">
      <c r="B835">
        <f t="shared" ca="1" si="60"/>
        <v>0</v>
      </c>
      <c r="C835" t="s">
        <v>85</v>
      </c>
      <c r="D835" t="s">
        <v>92</v>
      </c>
      <c r="E835" t="s">
        <v>92</v>
      </c>
      <c r="F835" t="s">
        <v>92</v>
      </c>
      <c r="G835" t="s">
        <v>92</v>
      </c>
      <c r="H835" t="s">
        <v>92</v>
      </c>
      <c r="I835" s="12" t="s">
        <v>268</v>
      </c>
      <c r="J835" t="s">
        <v>278</v>
      </c>
      <c r="L835" t="s">
        <v>92</v>
      </c>
      <c r="N835" s="14">
        <v>1</v>
      </c>
      <c r="P835" s="12" t="s">
        <v>268</v>
      </c>
      <c r="W835" s="9" t="str">
        <f t="shared" ca="1" si="61"/>
        <v>18.5%</v>
      </c>
      <c r="X835" t="s">
        <v>321</v>
      </c>
      <c r="Y835" s="9" t="str">
        <f t="shared" ca="1" si="62"/>
        <v>Sin costo</v>
      </c>
      <c r="Z835" t="s">
        <v>327</v>
      </c>
      <c r="AA835" t="s">
        <v>329</v>
      </c>
      <c r="AB835" t="s">
        <v>334</v>
      </c>
      <c r="AC835" s="12" t="s">
        <v>339</v>
      </c>
      <c r="AE835" t="s">
        <v>268</v>
      </c>
      <c r="AG835" s="12" t="s">
        <v>268</v>
      </c>
      <c r="AH835" t="s">
        <v>92</v>
      </c>
      <c r="AI835" s="12" t="s">
        <v>268</v>
      </c>
      <c r="AJ835" t="s">
        <v>92</v>
      </c>
      <c r="AK835" t="s">
        <v>92</v>
      </c>
      <c r="AL835" t="s">
        <v>92</v>
      </c>
      <c r="AM835" s="12" t="s">
        <v>268</v>
      </c>
      <c r="AN835" s="12" t="s">
        <v>268</v>
      </c>
      <c r="AO835" s="12" t="s">
        <v>268</v>
      </c>
      <c r="AP835" s="12" t="s">
        <v>268</v>
      </c>
      <c r="AQ835" s="12" t="s">
        <v>268</v>
      </c>
      <c r="AR835" s="28" t="str">
        <f t="shared" ca="1" si="63"/>
        <v/>
      </c>
      <c r="AS835" s="28" t="str">
        <f t="shared" ca="1" si="64"/>
        <v/>
      </c>
    </row>
    <row r="836" spans="2:45" ht="27.6" customHeight="1">
      <c r="B836">
        <f t="shared" ca="1" si="60"/>
        <v>0</v>
      </c>
      <c r="C836" t="s">
        <v>85</v>
      </c>
      <c r="D836" t="s">
        <v>92</v>
      </c>
      <c r="E836" t="s">
        <v>92</v>
      </c>
      <c r="F836" t="s">
        <v>92</v>
      </c>
      <c r="G836" t="s">
        <v>92</v>
      </c>
      <c r="H836" t="s">
        <v>92</v>
      </c>
      <c r="I836" s="12" t="s">
        <v>268</v>
      </c>
      <c r="J836" t="s">
        <v>278</v>
      </c>
      <c r="L836" t="s">
        <v>92</v>
      </c>
      <c r="N836" s="14">
        <v>1</v>
      </c>
      <c r="P836" s="12" t="s">
        <v>268</v>
      </c>
      <c r="W836" s="9" t="str">
        <f t="shared" ca="1" si="61"/>
        <v>18.5%</v>
      </c>
      <c r="X836" t="s">
        <v>321</v>
      </c>
      <c r="Y836" s="9" t="str">
        <f t="shared" ca="1" si="62"/>
        <v>Sin costo</v>
      </c>
      <c r="Z836" t="s">
        <v>327</v>
      </c>
      <c r="AA836" t="s">
        <v>329</v>
      </c>
      <c r="AB836" t="s">
        <v>334</v>
      </c>
      <c r="AC836" s="12" t="s">
        <v>339</v>
      </c>
      <c r="AE836" t="s">
        <v>268</v>
      </c>
      <c r="AG836" s="12" t="s">
        <v>268</v>
      </c>
      <c r="AH836" t="s">
        <v>92</v>
      </c>
      <c r="AI836" s="12" t="s">
        <v>268</v>
      </c>
      <c r="AJ836" t="s">
        <v>92</v>
      </c>
      <c r="AK836" t="s">
        <v>92</v>
      </c>
      <c r="AL836" t="s">
        <v>92</v>
      </c>
      <c r="AM836" s="12" t="s">
        <v>268</v>
      </c>
      <c r="AN836" s="12" t="s">
        <v>268</v>
      </c>
      <c r="AO836" s="12" t="s">
        <v>268</v>
      </c>
      <c r="AP836" s="12" t="s">
        <v>268</v>
      </c>
      <c r="AQ836" s="12" t="s">
        <v>268</v>
      </c>
      <c r="AR836" s="28" t="str">
        <f t="shared" ca="1" si="63"/>
        <v/>
      </c>
      <c r="AS836" s="28" t="str">
        <f t="shared" ca="1" si="64"/>
        <v/>
      </c>
    </row>
    <row r="837" spans="2:45" ht="27.6" customHeight="1">
      <c r="B837">
        <f t="shared" ca="1" si="60"/>
        <v>0</v>
      </c>
      <c r="C837" t="s">
        <v>85</v>
      </c>
      <c r="D837" t="s">
        <v>92</v>
      </c>
      <c r="E837" t="s">
        <v>92</v>
      </c>
      <c r="F837" t="s">
        <v>92</v>
      </c>
      <c r="G837" t="s">
        <v>92</v>
      </c>
      <c r="H837" t="s">
        <v>92</v>
      </c>
      <c r="I837" s="12" t="s">
        <v>268</v>
      </c>
      <c r="J837" t="s">
        <v>278</v>
      </c>
      <c r="L837" t="s">
        <v>92</v>
      </c>
      <c r="N837" s="14">
        <v>1</v>
      </c>
      <c r="P837" s="12" t="s">
        <v>268</v>
      </c>
      <c r="W837" s="9" t="str">
        <f t="shared" ca="1" si="61"/>
        <v>18.5%</v>
      </c>
      <c r="X837" t="s">
        <v>321</v>
      </c>
      <c r="Y837" s="9" t="str">
        <f t="shared" ca="1" si="62"/>
        <v>Sin costo</v>
      </c>
      <c r="Z837" t="s">
        <v>327</v>
      </c>
      <c r="AA837" t="s">
        <v>329</v>
      </c>
      <c r="AB837" t="s">
        <v>334</v>
      </c>
      <c r="AC837" s="12" t="s">
        <v>339</v>
      </c>
      <c r="AE837" t="s">
        <v>268</v>
      </c>
      <c r="AG837" s="12" t="s">
        <v>268</v>
      </c>
      <c r="AH837" t="s">
        <v>92</v>
      </c>
      <c r="AI837" s="12" t="s">
        <v>268</v>
      </c>
      <c r="AJ837" t="s">
        <v>92</v>
      </c>
      <c r="AK837" t="s">
        <v>92</v>
      </c>
      <c r="AL837" t="s">
        <v>92</v>
      </c>
      <c r="AM837" s="12" t="s">
        <v>268</v>
      </c>
      <c r="AN837" s="12" t="s">
        <v>268</v>
      </c>
      <c r="AO837" s="12" t="s">
        <v>268</v>
      </c>
      <c r="AP837" s="12" t="s">
        <v>268</v>
      </c>
      <c r="AQ837" s="12" t="s">
        <v>268</v>
      </c>
      <c r="AR837" s="28" t="str">
        <f t="shared" ca="1" si="63"/>
        <v/>
      </c>
      <c r="AS837" s="28" t="str">
        <f t="shared" ca="1" si="64"/>
        <v/>
      </c>
    </row>
    <row r="838" spans="2:45" ht="27.6" customHeight="1">
      <c r="B838">
        <f t="shared" ca="1" si="60"/>
        <v>0</v>
      </c>
      <c r="C838" t="s">
        <v>85</v>
      </c>
      <c r="D838" t="s">
        <v>92</v>
      </c>
      <c r="E838" t="s">
        <v>92</v>
      </c>
      <c r="F838" t="s">
        <v>92</v>
      </c>
      <c r="G838" t="s">
        <v>92</v>
      </c>
      <c r="H838" t="s">
        <v>92</v>
      </c>
      <c r="I838" s="12" t="s">
        <v>268</v>
      </c>
      <c r="J838" t="s">
        <v>278</v>
      </c>
      <c r="L838" t="s">
        <v>92</v>
      </c>
      <c r="N838" s="14">
        <v>1</v>
      </c>
      <c r="P838" s="12" t="s">
        <v>268</v>
      </c>
      <c r="W838" s="9" t="str">
        <f t="shared" ca="1" si="61"/>
        <v>18.5%</v>
      </c>
      <c r="X838" t="s">
        <v>321</v>
      </c>
      <c r="Y838" s="9" t="str">
        <f t="shared" ca="1" si="62"/>
        <v>Sin costo</v>
      </c>
      <c r="Z838" t="s">
        <v>327</v>
      </c>
      <c r="AA838" t="s">
        <v>329</v>
      </c>
      <c r="AB838" t="s">
        <v>334</v>
      </c>
      <c r="AC838" s="12" t="s">
        <v>339</v>
      </c>
      <c r="AE838" t="s">
        <v>268</v>
      </c>
      <c r="AG838" s="12" t="s">
        <v>268</v>
      </c>
      <c r="AH838" t="s">
        <v>92</v>
      </c>
      <c r="AI838" s="12" t="s">
        <v>268</v>
      </c>
      <c r="AJ838" t="s">
        <v>92</v>
      </c>
      <c r="AK838" t="s">
        <v>92</v>
      </c>
      <c r="AL838" t="s">
        <v>92</v>
      </c>
      <c r="AM838" s="12" t="s">
        <v>268</v>
      </c>
      <c r="AN838" s="12" t="s">
        <v>268</v>
      </c>
      <c r="AO838" s="12" t="s">
        <v>268</v>
      </c>
      <c r="AP838" s="12" t="s">
        <v>268</v>
      </c>
      <c r="AQ838" s="12" t="s">
        <v>268</v>
      </c>
      <c r="AR838" s="28" t="str">
        <f t="shared" ca="1" si="63"/>
        <v/>
      </c>
      <c r="AS838" s="28" t="str">
        <f t="shared" ca="1" si="64"/>
        <v/>
      </c>
    </row>
    <row r="839" spans="2:45" ht="27.6" customHeight="1">
      <c r="B839">
        <f t="shared" ref="B839:B902" ca="1" si="65">LEN(INDIRECT(ADDRESS(ROW() + (0),COLUMN() + (-1))))</f>
        <v>0</v>
      </c>
      <c r="C839" t="s">
        <v>85</v>
      </c>
      <c r="D839" t="s">
        <v>92</v>
      </c>
      <c r="E839" t="s">
        <v>92</v>
      </c>
      <c r="F839" t="s">
        <v>92</v>
      </c>
      <c r="G839" t="s">
        <v>92</v>
      </c>
      <c r="H839" t="s">
        <v>92</v>
      </c>
      <c r="I839" s="12" t="s">
        <v>268</v>
      </c>
      <c r="J839" t="s">
        <v>278</v>
      </c>
      <c r="L839" t="s">
        <v>92</v>
      </c>
      <c r="N839" s="14">
        <v>1</v>
      </c>
      <c r="P839" s="12" t="s">
        <v>268</v>
      </c>
      <c r="W839" s="9" t="str">
        <f t="shared" ref="W839:W902" ca="1" si="66">IF(INDIRECT(ADDRESS(ROW() + (0),COLUMN() + (1)))="Cuotas extra", IF(("21.5%")="", "-", "21.5%"), IF(INDIRECT(ADDRESS(ROW() + (0),COLUMN() + (1)))="Cuotas", IF(("18.5%")="", "-", "18.5%"), "-"))</f>
        <v>18.5%</v>
      </c>
      <c r="X839" t="s">
        <v>321</v>
      </c>
      <c r="Y839" s="9" t="str">
        <f t="shared" ref="Y839:Y902" ca="1" si="67">IF(INDIRECT(ADDRESS(ROW() + (0),COLUMN() + (-1)))="Cuotas extra", IF(("")="", "Sin costo", ""), IF(INDIRECT(ADDRESS(ROW() + (0),COLUMN() + (-1)))="Cuotas", IF(("")="", "Sin costo", ""), "-"))</f>
        <v>Sin costo</v>
      </c>
      <c r="Z839" t="s">
        <v>327</v>
      </c>
      <c r="AA839" t="s">
        <v>329</v>
      </c>
      <c r="AB839" t="s">
        <v>334</v>
      </c>
      <c r="AC839" s="12" t="s">
        <v>339</v>
      </c>
      <c r="AE839" t="s">
        <v>268</v>
      </c>
      <c r="AG839" s="12" t="s">
        <v>268</v>
      </c>
      <c r="AH839" t="s">
        <v>92</v>
      </c>
      <c r="AI839" s="12" t="s">
        <v>268</v>
      </c>
      <c r="AJ839" t="s">
        <v>92</v>
      </c>
      <c r="AK839" t="s">
        <v>92</v>
      </c>
      <c r="AL839" t="s">
        <v>92</v>
      </c>
      <c r="AM839" s="12" t="s">
        <v>268</v>
      </c>
      <c r="AN839" s="12" t="s">
        <v>268</v>
      </c>
      <c r="AO839" s="12" t="s">
        <v>268</v>
      </c>
      <c r="AP839" s="12" t="s">
        <v>268</v>
      </c>
      <c r="AQ839" s="12" t="s">
        <v>268</v>
      </c>
      <c r="AR839" s="28" t="str">
        <f t="shared" ref="AR839:AR902" ca="1" si="6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839" s="28" t="str">
        <f t="shared" ref="AS839:AS902" ca="1" si="69">IF(TRIM(INDIRECT("A"&amp;ROW())) &lt;&gt; "",FALSE,"")</f>
        <v/>
      </c>
    </row>
    <row r="840" spans="2:45" ht="27.6" customHeight="1">
      <c r="B840">
        <f t="shared" ca="1" si="65"/>
        <v>0</v>
      </c>
      <c r="C840" t="s">
        <v>85</v>
      </c>
      <c r="D840" t="s">
        <v>92</v>
      </c>
      <c r="E840" t="s">
        <v>92</v>
      </c>
      <c r="F840" t="s">
        <v>92</v>
      </c>
      <c r="G840" t="s">
        <v>92</v>
      </c>
      <c r="H840" t="s">
        <v>92</v>
      </c>
      <c r="I840" s="12" t="s">
        <v>268</v>
      </c>
      <c r="J840" t="s">
        <v>278</v>
      </c>
      <c r="L840" t="s">
        <v>92</v>
      </c>
      <c r="N840" s="14">
        <v>1</v>
      </c>
      <c r="P840" s="12" t="s">
        <v>268</v>
      </c>
      <c r="W840" s="9" t="str">
        <f t="shared" ca="1" si="66"/>
        <v>18.5%</v>
      </c>
      <c r="X840" t="s">
        <v>321</v>
      </c>
      <c r="Y840" s="9" t="str">
        <f t="shared" ca="1" si="67"/>
        <v>Sin costo</v>
      </c>
      <c r="Z840" t="s">
        <v>327</v>
      </c>
      <c r="AA840" t="s">
        <v>329</v>
      </c>
      <c r="AB840" t="s">
        <v>334</v>
      </c>
      <c r="AC840" s="12" t="s">
        <v>339</v>
      </c>
      <c r="AE840" t="s">
        <v>268</v>
      </c>
      <c r="AG840" s="12" t="s">
        <v>268</v>
      </c>
      <c r="AH840" t="s">
        <v>92</v>
      </c>
      <c r="AI840" s="12" t="s">
        <v>268</v>
      </c>
      <c r="AJ840" t="s">
        <v>92</v>
      </c>
      <c r="AK840" t="s">
        <v>92</v>
      </c>
      <c r="AL840" t="s">
        <v>92</v>
      </c>
      <c r="AM840" s="12" t="s">
        <v>268</v>
      </c>
      <c r="AN840" s="12" t="s">
        <v>268</v>
      </c>
      <c r="AO840" s="12" t="s">
        <v>268</v>
      </c>
      <c r="AP840" s="12" t="s">
        <v>268</v>
      </c>
      <c r="AQ840" s="12" t="s">
        <v>268</v>
      </c>
      <c r="AR840" s="28" t="str">
        <f t="shared" ca="1" si="68"/>
        <v/>
      </c>
      <c r="AS840" s="28" t="str">
        <f t="shared" ca="1" si="69"/>
        <v/>
      </c>
    </row>
    <row r="841" spans="2:45" ht="27.6" customHeight="1">
      <c r="B841">
        <f t="shared" ca="1" si="65"/>
        <v>0</v>
      </c>
      <c r="C841" t="s">
        <v>85</v>
      </c>
      <c r="D841" t="s">
        <v>92</v>
      </c>
      <c r="E841" t="s">
        <v>92</v>
      </c>
      <c r="F841" t="s">
        <v>92</v>
      </c>
      <c r="G841" t="s">
        <v>92</v>
      </c>
      <c r="H841" t="s">
        <v>92</v>
      </c>
      <c r="I841" s="12" t="s">
        <v>268</v>
      </c>
      <c r="J841" t="s">
        <v>278</v>
      </c>
      <c r="L841" t="s">
        <v>92</v>
      </c>
      <c r="N841" s="14">
        <v>1</v>
      </c>
      <c r="P841" s="12" t="s">
        <v>268</v>
      </c>
      <c r="W841" s="9" t="str">
        <f t="shared" ca="1" si="66"/>
        <v>18.5%</v>
      </c>
      <c r="X841" t="s">
        <v>321</v>
      </c>
      <c r="Y841" s="9" t="str">
        <f t="shared" ca="1" si="67"/>
        <v>Sin costo</v>
      </c>
      <c r="Z841" t="s">
        <v>327</v>
      </c>
      <c r="AA841" t="s">
        <v>329</v>
      </c>
      <c r="AB841" t="s">
        <v>334</v>
      </c>
      <c r="AC841" s="12" t="s">
        <v>339</v>
      </c>
      <c r="AE841" t="s">
        <v>268</v>
      </c>
      <c r="AG841" s="12" t="s">
        <v>268</v>
      </c>
      <c r="AH841" t="s">
        <v>92</v>
      </c>
      <c r="AI841" s="12" t="s">
        <v>268</v>
      </c>
      <c r="AJ841" t="s">
        <v>92</v>
      </c>
      <c r="AK841" t="s">
        <v>92</v>
      </c>
      <c r="AL841" t="s">
        <v>92</v>
      </c>
      <c r="AM841" s="12" t="s">
        <v>268</v>
      </c>
      <c r="AN841" s="12" t="s">
        <v>268</v>
      </c>
      <c r="AO841" s="12" t="s">
        <v>268</v>
      </c>
      <c r="AP841" s="12" t="s">
        <v>268</v>
      </c>
      <c r="AQ841" s="12" t="s">
        <v>268</v>
      </c>
      <c r="AR841" s="28" t="str">
        <f t="shared" ca="1" si="68"/>
        <v/>
      </c>
      <c r="AS841" s="28" t="str">
        <f t="shared" ca="1" si="69"/>
        <v/>
      </c>
    </row>
    <row r="842" spans="2:45" ht="27.6" customHeight="1">
      <c r="B842">
        <f t="shared" ca="1" si="65"/>
        <v>0</v>
      </c>
      <c r="C842" t="s">
        <v>85</v>
      </c>
      <c r="D842" t="s">
        <v>92</v>
      </c>
      <c r="E842" t="s">
        <v>92</v>
      </c>
      <c r="F842" t="s">
        <v>92</v>
      </c>
      <c r="G842" t="s">
        <v>92</v>
      </c>
      <c r="H842" t="s">
        <v>92</v>
      </c>
      <c r="I842" s="12" t="s">
        <v>268</v>
      </c>
      <c r="J842" t="s">
        <v>278</v>
      </c>
      <c r="L842" t="s">
        <v>92</v>
      </c>
      <c r="N842" s="14">
        <v>1</v>
      </c>
      <c r="P842" s="12" t="s">
        <v>268</v>
      </c>
      <c r="W842" s="9" t="str">
        <f t="shared" ca="1" si="66"/>
        <v>18.5%</v>
      </c>
      <c r="X842" t="s">
        <v>321</v>
      </c>
      <c r="Y842" s="9" t="str">
        <f t="shared" ca="1" si="67"/>
        <v>Sin costo</v>
      </c>
      <c r="Z842" t="s">
        <v>327</v>
      </c>
      <c r="AA842" t="s">
        <v>329</v>
      </c>
      <c r="AB842" t="s">
        <v>334</v>
      </c>
      <c r="AC842" s="12" t="s">
        <v>339</v>
      </c>
      <c r="AE842" t="s">
        <v>268</v>
      </c>
      <c r="AG842" s="12" t="s">
        <v>268</v>
      </c>
      <c r="AH842" t="s">
        <v>92</v>
      </c>
      <c r="AI842" s="12" t="s">
        <v>268</v>
      </c>
      <c r="AJ842" t="s">
        <v>92</v>
      </c>
      <c r="AK842" t="s">
        <v>92</v>
      </c>
      <c r="AL842" t="s">
        <v>92</v>
      </c>
      <c r="AM842" s="12" t="s">
        <v>268</v>
      </c>
      <c r="AN842" s="12" t="s">
        <v>268</v>
      </c>
      <c r="AO842" s="12" t="s">
        <v>268</v>
      </c>
      <c r="AP842" s="12" t="s">
        <v>268</v>
      </c>
      <c r="AQ842" s="12" t="s">
        <v>268</v>
      </c>
      <c r="AR842" s="28" t="str">
        <f t="shared" ca="1" si="68"/>
        <v/>
      </c>
      <c r="AS842" s="28" t="str">
        <f t="shared" ca="1" si="69"/>
        <v/>
      </c>
    </row>
    <row r="843" spans="2:45" ht="27.6" customHeight="1">
      <c r="B843">
        <f t="shared" ca="1" si="65"/>
        <v>0</v>
      </c>
      <c r="C843" t="s">
        <v>85</v>
      </c>
      <c r="D843" t="s">
        <v>92</v>
      </c>
      <c r="E843" t="s">
        <v>92</v>
      </c>
      <c r="F843" t="s">
        <v>92</v>
      </c>
      <c r="G843" t="s">
        <v>92</v>
      </c>
      <c r="H843" t="s">
        <v>92</v>
      </c>
      <c r="I843" s="12" t="s">
        <v>268</v>
      </c>
      <c r="J843" t="s">
        <v>278</v>
      </c>
      <c r="L843" t="s">
        <v>92</v>
      </c>
      <c r="N843" s="14">
        <v>1</v>
      </c>
      <c r="P843" s="12" t="s">
        <v>268</v>
      </c>
      <c r="W843" s="9" t="str">
        <f t="shared" ca="1" si="66"/>
        <v>18.5%</v>
      </c>
      <c r="X843" t="s">
        <v>321</v>
      </c>
      <c r="Y843" s="9" t="str">
        <f t="shared" ca="1" si="67"/>
        <v>Sin costo</v>
      </c>
      <c r="Z843" t="s">
        <v>327</v>
      </c>
      <c r="AA843" t="s">
        <v>329</v>
      </c>
      <c r="AB843" t="s">
        <v>334</v>
      </c>
      <c r="AC843" s="12" t="s">
        <v>339</v>
      </c>
      <c r="AE843" t="s">
        <v>268</v>
      </c>
      <c r="AG843" s="12" t="s">
        <v>268</v>
      </c>
      <c r="AH843" t="s">
        <v>92</v>
      </c>
      <c r="AI843" s="12" t="s">
        <v>268</v>
      </c>
      <c r="AJ843" t="s">
        <v>92</v>
      </c>
      <c r="AK843" t="s">
        <v>92</v>
      </c>
      <c r="AL843" t="s">
        <v>92</v>
      </c>
      <c r="AM843" s="12" t="s">
        <v>268</v>
      </c>
      <c r="AN843" s="12" t="s">
        <v>268</v>
      </c>
      <c r="AO843" s="12" t="s">
        <v>268</v>
      </c>
      <c r="AP843" s="12" t="s">
        <v>268</v>
      </c>
      <c r="AQ843" s="12" t="s">
        <v>268</v>
      </c>
      <c r="AR843" s="28" t="str">
        <f t="shared" ca="1" si="68"/>
        <v/>
      </c>
      <c r="AS843" s="28" t="str">
        <f t="shared" ca="1" si="69"/>
        <v/>
      </c>
    </row>
    <row r="844" spans="2:45" ht="27.6" customHeight="1">
      <c r="B844">
        <f t="shared" ca="1" si="65"/>
        <v>0</v>
      </c>
      <c r="C844" t="s">
        <v>85</v>
      </c>
      <c r="D844" t="s">
        <v>92</v>
      </c>
      <c r="E844" t="s">
        <v>92</v>
      </c>
      <c r="F844" t="s">
        <v>92</v>
      </c>
      <c r="G844" t="s">
        <v>92</v>
      </c>
      <c r="H844" t="s">
        <v>92</v>
      </c>
      <c r="I844" s="12" t="s">
        <v>268</v>
      </c>
      <c r="J844" t="s">
        <v>278</v>
      </c>
      <c r="L844" t="s">
        <v>92</v>
      </c>
      <c r="N844" s="14">
        <v>1</v>
      </c>
      <c r="P844" s="12" t="s">
        <v>268</v>
      </c>
      <c r="W844" s="9" t="str">
        <f t="shared" ca="1" si="66"/>
        <v>18.5%</v>
      </c>
      <c r="X844" t="s">
        <v>321</v>
      </c>
      <c r="Y844" s="9" t="str">
        <f t="shared" ca="1" si="67"/>
        <v>Sin costo</v>
      </c>
      <c r="Z844" t="s">
        <v>327</v>
      </c>
      <c r="AA844" t="s">
        <v>329</v>
      </c>
      <c r="AB844" t="s">
        <v>334</v>
      </c>
      <c r="AC844" s="12" t="s">
        <v>339</v>
      </c>
      <c r="AE844" t="s">
        <v>268</v>
      </c>
      <c r="AG844" s="12" t="s">
        <v>268</v>
      </c>
      <c r="AH844" t="s">
        <v>92</v>
      </c>
      <c r="AI844" s="12" t="s">
        <v>268</v>
      </c>
      <c r="AJ844" t="s">
        <v>92</v>
      </c>
      <c r="AK844" t="s">
        <v>92</v>
      </c>
      <c r="AL844" t="s">
        <v>92</v>
      </c>
      <c r="AM844" s="12" t="s">
        <v>268</v>
      </c>
      <c r="AN844" s="12" t="s">
        <v>268</v>
      </c>
      <c r="AO844" s="12" t="s">
        <v>268</v>
      </c>
      <c r="AP844" s="12" t="s">
        <v>268</v>
      </c>
      <c r="AQ844" s="12" t="s">
        <v>268</v>
      </c>
      <c r="AR844" s="28" t="str">
        <f t="shared" ca="1" si="68"/>
        <v/>
      </c>
      <c r="AS844" s="28" t="str">
        <f t="shared" ca="1" si="69"/>
        <v/>
      </c>
    </row>
    <row r="845" spans="2:45" ht="27.6" customHeight="1">
      <c r="B845">
        <f t="shared" ca="1" si="65"/>
        <v>0</v>
      </c>
      <c r="C845" t="s">
        <v>85</v>
      </c>
      <c r="D845" t="s">
        <v>92</v>
      </c>
      <c r="E845" t="s">
        <v>92</v>
      </c>
      <c r="F845" t="s">
        <v>92</v>
      </c>
      <c r="G845" t="s">
        <v>92</v>
      </c>
      <c r="H845" t="s">
        <v>92</v>
      </c>
      <c r="I845" s="12" t="s">
        <v>268</v>
      </c>
      <c r="J845" t="s">
        <v>278</v>
      </c>
      <c r="L845" t="s">
        <v>92</v>
      </c>
      <c r="N845" s="14">
        <v>1</v>
      </c>
      <c r="P845" s="12" t="s">
        <v>268</v>
      </c>
      <c r="W845" s="9" t="str">
        <f t="shared" ca="1" si="66"/>
        <v>18.5%</v>
      </c>
      <c r="X845" t="s">
        <v>321</v>
      </c>
      <c r="Y845" s="9" t="str">
        <f t="shared" ca="1" si="67"/>
        <v>Sin costo</v>
      </c>
      <c r="Z845" t="s">
        <v>327</v>
      </c>
      <c r="AA845" t="s">
        <v>329</v>
      </c>
      <c r="AB845" t="s">
        <v>334</v>
      </c>
      <c r="AC845" s="12" t="s">
        <v>339</v>
      </c>
      <c r="AE845" t="s">
        <v>268</v>
      </c>
      <c r="AG845" s="12" t="s">
        <v>268</v>
      </c>
      <c r="AH845" t="s">
        <v>92</v>
      </c>
      <c r="AI845" s="12" t="s">
        <v>268</v>
      </c>
      <c r="AJ845" t="s">
        <v>92</v>
      </c>
      <c r="AK845" t="s">
        <v>92</v>
      </c>
      <c r="AL845" t="s">
        <v>92</v>
      </c>
      <c r="AM845" s="12" t="s">
        <v>268</v>
      </c>
      <c r="AN845" s="12" t="s">
        <v>268</v>
      </c>
      <c r="AO845" s="12" t="s">
        <v>268</v>
      </c>
      <c r="AP845" s="12" t="s">
        <v>268</v>
      </c>
      <c r="AQ845" s="12" t="s">
        <v>268</v>
      </c>
      <c r="AR845" s="28" t="str">
        <f t="shared" ca="1" si="68"/>
        <v/>
      </c>
      <c r="AS845" s="28" t="str">
        <f t="shared" ca="1" si="69"/>
        <v/>
      </c>
    </row>
    <row r="846" spans="2:45" ht="27.6" customHeight="1">
      <c r="B846">
        <f t="shared" ca="1" si="65"/>
        <v>0</v>
      </c>
      <c r="C846" t="s">
        <v>85</v>
      </c>
      <c r="D846" t="s">
        <v>92</v>
      </c>
      <c r="E846" t="s">
        <v>92</v>
      </c>
      <c r="F846" t="s">
        <v>92</v>
      </c>
      <c r="G846" t="s">
        <v>92</v>
      </c>
      <c r="H846" t="s">
        <v>92</v>
      </c>
      <c r="I846" s="12" t="s">
        <v>268</v>
      </c>
      <c r="J846" t="s">
        <v>278</v>
      </c>
      <c r="L846" t="s">
        <v>92</v>
      </c>
      <c r="N846" s="14">
        <v>1</v>
      </c>
      <c r="P846" s="12" t="s">
        <v>268</v>
      </c>
      <c r="W846" s="9" t="str">
        <f t="shared" ca="1" si="66"/>
        <v>18.5%</v>
      </c>
      <c r="X846" t="s">
        <v>321</v>
      </c>
      <c r="Y846" s="9" t="str">
        <f t="shared" ca="1" si="67"/>
        <v>Sin costo</v>
      </c>
      <c r="Z846" t="s">
        <v>327</v>
      </c>
      <c r="AA846" t="s">
        <v>329</v>
      </c>
      <c r="AB846" t="s">
        <v>334</v>
      </c>
      <c r="AC846" s="12" t="s">
        <v>339</v>
      </c>
      <c r="AE846" t="s">
        <v>268</v>
      </c>
      <c r="AG846" s="12" t="s">
        <v>268</v>
      </c>
      <c r="AH846" t="s">
        <v>92</v>
      </c>
      <c r="AI846" s="12" t="s">
        <v>268</v>
      </c>
      <c r="AJ846" t="s">
        <v>92</v>
      </c>
      <c r="AK846" t="s">
        <v>92</v>
      </c>
      <c r="AL846" t="s">
        <v>92</v>
      </c>
      <c r="AM846" s="12" t="s">
        <v>268</v>
      </c>
      <c r="AN846" s="12" t="s">
        <v>268</v>
      </c>
      <c r="AO846" s="12" t="s">
        <v>268</v>
      </c>
      <c r="AP846" s="12" t="s">
        <v>268</v>
      </c>
      <c r="AQ846" s="12" t="s">
        <v>268</v>
      </c>
      <c r="AR846" s="28" t="str">
        <f t="shared" ca="1" si="68"/>
        <v/>
      </c>
      <c r="AS846" s="28" t="str">
        <f t="shared" ca="1" si="69"/>
        <v/>
      </c>
    </row>
    <row r="847" spans="2:45" ht="27.6" customHeight="1">
      <c r="B847">
        <f t="shared" ca="1" si="65"/>
        <v>0</v>
      </c>
      <c r="C847" t="s">
        <v>85</v>
      </c>
      <c r="D847" t="s">
        <v>92</v>
      </c>
      <c r="E847" t="s">
        <v>92</v>
      </c>
      <c r="F847" t="s">
        <v>92</v>
      </c>
      <c r="G847" t="s">
        <v>92</v>
      </c>
      <c r="H847" t="s">
        <v>92</v>
      </c>
      <c r="I847" s="12" t="s">
        <v>268</v>
      </c>
      <c r="J847" t="s">
        <v>278</v>
      </c>
      <c r="L847" t="s">
        <v>92</v>
      </c>
      <c r="N847" s="14">
        <v>1</v>
      </c>
      <c r="P847" s="12" t="s">
        <v>268</v>
      </c>
      <c r="W847" s="9" t="str">
        <f t="shared" ca="1" si="66"/>
        <v>18.5%</v>
      </c>
      <c r="X847" t="s">
        <v>321</v>
      </c>
      <c r="Y847" s="9" t="str">
        <f t="shared" ca="1" si="67"/>
        <v>Sin costo</v>
      </c>
      <c r="Z847" t="s">
        <v>327</v>
      </c>
      <c r="AA847" t="s">
        <v>329</v>
      </c>
      <c r="AB847" t="s">
        <v>334</v>
      </c>
      <c r="AC847" s="12" t="s">
        <v>339</v>
      </c>
      <c r="AE847" t="s">
        <v>268</v>
      </c>
      <c r="AG847" s="12" t="s">
        <v>268</v>
      </c>
      <c r="AH847" t="s">
        <v>92</v>
      </c>
      <c r="AI847" s="12" t="s">
        <v>268</v>
      </c>
      <c r="AJ847" t="s">
        <v>92</v>
      </c>
      <c r="AK847" t="s">
        <v>92</v>
      </c>
      <c r="AL847" t="s">
        <v>92</v>
      </c>
      <c r="AM847" s="12" t="s">
        <v>268</v>
      </c>
      <c r="AN847" s="12" t="s">
        <v>268</v>
      </c>
      <c r="AO847" s="12" t="s">
        <v>268</v>
      </c>
      <c r="AP847" s="12" t="s">
        <v>268</v>
      </c>
      <c r="AQ847" s="12" t="s">
        <v>268</v>
      </c>
      <c r="AR847" s="28" t="str">
        <f t="shared" ca="1" si="68"/>
        <v/>
      </c>
      <c r="AS847" s="28" t="str">
        <f t="shared" ca="1" si="69"/>
        <v/>
      </c>
    </row>
    <row r="848" spans="2:45" ht="27.6" customHeight="1">
      <c r="B848">
        <f t="shared" ca="1" si="65"/>
        <v>0</v>
      </c>
      <c r="C848" t="s">
        <v>85</v>
      </c>
      <c r="D848" t="s">
        <v>92</v>
      </c>
      <c r="E848" t="s">
        <v>92</v>
      </c>
      <c r="F848" t="s">
        <v>92</v>
      </c>
      <c r="G848" t="s">
        <v>92</v>
      </c>
      <c r="H848" t="s">
        <v>92</v>
      </c>
      <c r="I848" s="12" t="s">
        <v>268</v>
      </c>
      <c r="J848" t="s">
        <v>278</v>
      </c>
      <c r="L848" t="s">
        <v>92</v>
      </c>
      <c r="N848" s="14">
        <v>1</v>
      </c>
      <c r="P848" s="12" t="s">
        <v>268</v>
      </c>
      <c r="W848" s="9" t="str">
        <f t="shared" ca="1" si="66"/>
        <v>18.5%</v>
      </c>
      <c r="X848" t="s">
        <v>321</v>
      </c>
      <c r="Y848" s="9" t="str">
        <f t="shared" ca="1" si="67"/>
        <v>Sin costo</v>
      </c>
      <c r="Z848" t="s">
        <v>327</v>
      </c>
      <c r="AA848" t="s">
        <v>329</v>
      </c>
      <c r="AB848" t="s">
        <v>334</v>
      </c>
      <c r="AC848" s="12" t="s">
        <v>339</v>
      </c>
      <c r="AE848" t="s">
        <v>268</v>
      </c>
      <c r="AG848" s="12" t="s">
        <v>268</v>
      </c>
      <c r="AH848" t="s">
        <v>92</v>
      </c>
      <c r="AI848" s="12" t="s">
        <v>268</v>
      </c>
      <c r="AJ848" t="s">
        <v>92</v>
      </c>
      <c r="AK848" t="s">
        <v>92</v>
      </c>
      <c r="AL848" t="s">
        <v>92</v>
      </c>
      <c r="AM848" s="12" t="s">
        <v>268</v>
      </c>
      <c r="AN848" s="12" t="s">
        <v>268</v>
      </c>
      <c r="AO848" s="12" t="s">
        <v>268</v>
      </c>
      <c r="AP848" s="12" t="s">
        <v>268</v>
      </c>
      <c r="AQ848" s="12" t="s">
        <v>268</v>
      </c>
      <c r="AR848" s="28" t="str">
        <f t="shared" ca="1" si="68"/>
        <v/>
      </c>
      <c r="AS848" s="28" t="str">
        <f t="shared" ca="1" si="69"/>
        <v/>
      </c>
    </row>
    <row r="849" spans="2:45" ht="27.6" customHeight="1">
      <c r="B849">
        <f t="shared" ca="1" si="65"/>
        <v>0</v>
      </c>
      <c r="C849" t="s">
        <v>85</v>
      </c>
      <c r="D849" t="s">
        <v>92</v>
      </c>
      <c r="E849" t="s">
        <v>92</v>
      </c>
      <c r="F849" t="s">
        <v>92</v>
      </c>
      <c r="G849" t="s">
        <v>92</v>
      </c>
      <c r="H849" t="s">
        <v>92</v>
      </c>
      <c r="I849" s="12" t="s">
        <v>268</v>
      </c>
      <c r="J849" t="s">
        <v>278</v>
      </c>
      <c r="L849" t="s">
        <v>92</v>
      </c>
      <c r="N849" s="14">
        <v>1</v>
      </c>
      <c r="P849" s="12" t="s">
        <v>268</v>
      </c>
      <c r="W849" s="9" t="str">
        <f t="shared" ca="1" si="66"/>
        <v>18.5%</v>
      </c>
      <c r="X849" t="s">
        <v>321</v>
      </c>
      <c r="Y849" s="9" t="str">
        <f t="shared" ca="1" si="67"/>
        <v>Sin costo</v>
      </c>
      <c r="Z849" t="s">
        <v>327</v>
      </c>
      <c r="AA849" t="s">
        <v>329</v>
      </c>
      <c r="AB849" t="s">
        <v>334</v>
      </c>
      <c r="AC849" s="12" t="s">
        <v>339</v>
      </c>
      <c r="AE849" t="s">
        <v>268</v>
      </c>
      <c r="AG849" s="12" t="s">
        <v>268</v>
      </c>
      <c r="AH849" t="s">
        <v>92</v>
      </c>
      <c r="AI849" s="12" t="s">
        <v>268</v>
      </c>
      <c r="AJ849" t="s">
        <v>92</v>
      </c>
      <c r="AK849" t="s">
        <v>92</v>
      </c>
      <c r="AL849" t="s">
        <v>92</v>
      </c>
      <c r="AM849" s="12" t="s">
        <v>268</v>
      </c>
      <c r="AN849" s="12" t="s">
        <v>268</v>
      </c>
      <c r="AO849" s="12" t="s">
        <v>268</v>
      </c>
      <c r="AP849" s="12" t="s">
        <v>268</v>
      </c>
      <c r="AQ849" s="12" t="s">
        <v>268</v>
      </c>
      <c r="AR849" s="28" t="str">
        <f t="shared" ca="1" si="68"/>
        <v/>
      </c>
      <c r="AS849" s="28" t="str">
        <f t="shared" ca="1" si="69"/>
        <v/>
      </c>
    </row>
    <row r="850" spans="2:45" ht="27.6" customHeight="1">
      <c r="B850">
        <f t="shared" ca="1" si="65"/>
        <v>0</v>
      </c>
      <c r="C850" t="s">
        <v>85</v>
      </c>
      <c r="D850" t="s">
        <v>92</v>
      </c>
      <c r="E850" t="s">
        <v>92</v>
      </c>
      <c r="F850" t="s">
        <v>92</v>
      </c>
      <c r="G850" t="s">
        <v>92</v>
      </c>
      <c r="H850" t="s">
        <v>92</v>
      </c>
      <c r="I850" s="12" t="s">
        <v>268</v>
      </c>
      <c r="J850" t="s">
        <v>278</v>
      </c>
      <c r="L850" t="s">
        <v>92</v>
      </c>
      <c r="N850" s="14">
        <v>1</v>
      </c>
      <c r="P850" s="12" t="s">
        <v>268</v>
      </c>
      <c r="W850" s="9" t="str">
        <f t="shared" ca="1" si="66"/>
        <v>18.5%</v>
      </c>
      <c r="X850" t="s">
        <v>321</v>
      </c>
      <c r="Y850" s="9" t="str">
        <f t="shared" ca="1" si="67"/>
        <v>Sin costo</v>
      </c>
      <c r="Z850" t="s">
        <v>327</v>
      </c>
      <c r="AA850" t="s">
        <v>329</v>
      </c>
      <c r="AB850" t="s">
        <v>334</v>
      </c>
      <c r="AC850" s="12" t="s">
        <v>339</v>
      </c>
      <c r="AE850" t="s">
        <v>268</v>
      </c>
      <c r="AG850" s="12" t="s">
        <v>268</v>
      </c>
      <c r="AH850" t="s">
        <v>92</v>
      </c>
      <c r="AI850" s="12" t="s">
        <v>268</v>
      </c>
      <c r="AJ850" t="s">
        <v>92</v>
      </c>
      <c r="AK850" t="s">
        <v>92</v>
      </c>
      <c r="AL850" t="s">
        <v>92</v>
      </c>
      <c r="AM850" s="12" t="s">
        <v>268</v>
      </c>
      <c r="AN850" s="12" t="s">
        <v>268</v>
      </c>
      <c r="AO850" s="12" t="s">
        <v>268</v>
      </c>
      <c r="AP850" s="12" t="s">
        <v>268</v>
      </c>
      <c r="AQ850" s="12" t="s">
        <v>268</v>
      </c>
      <c r="AR850" s="28" t="str">
        <f t="shared" ca="1" si="68"/>
        <v/>
      </c>
      <c r="AS850" s="28" t="str">
        <f t="shared" ca="1" si="69"/>
        <v/>
      </c>
    </row>
    <row r="851" spans="2:45" ht="27.6" customHeight="1">
      <c r="B851">
        <f t="shared" ca="1" si="65"/>
        <v>0</v>
      </c>
      <c r="C851" t="s">
        <v>85</v>
      </c>
      <c r="D851" t="s">
        <v>92</v>
      </c>
      <c r="E851" t="s">
        <v>92</v>
      </c>
      <c r="F851" t="s">
        <v>92</v>
      </c>
      <c r="G851" t="s">
        <v>92</v>
      </c>
      <c r="H851" t="s">
        <v>92</v>
      </c>
      <c r="I851" s="12" t="s">
        <v>268</v>
      </c>
      <c r="J851" t="s">
        <v>278</v>
      </c>
      <c r="L851" t="s">
        <v>92</v>
      </c>
      <c r="N851" s="14">
        <v>1</v>
      </c>
      <c r="P851" s="12" t="s">
        <v>268</v>
      </c>
      <c r="W851" s="9" t="str">
        <f t="shared" ca="1" si="66"/>
        <v>18.5%</v>
      </c>
      <c r="X851" t="s">
        <v>321</v>
      </c>
      <c r="Y851" s="9" t="str">
        <f t="shared" ca="1" si="67"/>
        <v>Sin costo</v>
      </c>
      <c r="Z851" t="s">
        <v>327</v>
      </c>
      <c r="AA851" t="s">
        <v>329</v>
      </c>
      <c r="AB851" t="s">
        <v>334</v>
      </c>
      <c r="AC851" s="12" t="s">
        <v>339</v>
      </c>
      <c r="AE851" t="s">
        <v>268</v>
      </c>
      <c r="AG851" s="12" t="s">
        <v>268</v>
      </c>
      <c r="AH851" t="s">
        <v>92</v>
      </c>
      <c r="AI851" s="12" t="s">
        <v>268</v>
      </c>
      <c r="AJ851" t="s">
        <v>92</v>
      </c>
      <c r="AK851" t="s">
        <v>92</v>
      </c>
      <c r="AL851" t="s">
        <v>92</v>
      </c>
      <c r="AM851" s="12" t="s">
        <v>268</v>
      </c>
      <c r="AN851" s="12" t="s">
        <v>268</v>
      </c>
      <c r="AO851" s="12" t="s">
        <v>268</v>
      </c>
      <c r="AP851" s="12" t="s">
        <v>268</v>
      </c>
      <c r="AQ851" s="12" t="s">
        <v>268</v>
      </c>
      <c r="AR851" s="28" t="str">
        <f t="shared" ca="1" si="68"/>
        <v/>
      </c>
      <c r="AS851" s="28" t="str">
        <f t="shared" ca="1" si="69"/>
        <v/>
      </c>
    </row>
    <row r="852" spans="2:45" ht="27.6" customHeight="1">
      <c r="B852">
        <f t="shared" ca="1" si="65"/>
        <v>0</v>
      </c>
      <c r="C852" t="s">
        <v>85</v>
      </c>
      <c r="D852" t="s">
        <v>92</v>
      </c>
      <c r="E852" t="s">
        <v>92</v>
      </c>
      <c r="F852" t="s">
        <v>92</v>
      </c>
      <c r="G852" t="s">
        <v>92</v>
      </c>
      <c r="H852" t="s">
        <v>92</v>
      </c>
      <c r="I852" s="12" t="s">
        <v>268</v>
      </c>
      <c r="J852" t="s">
        <v>278</v>
      </c>
      <c r="L852" t="s">
        <v>92</v>
      </c>
      <c r="N852" s="14">
        <v>1</v>
      </c>
      <c r="P852" s="12" t="s">
        <v>268</v>
      </c>
      <c r="W852" s="9" t="str">
        <f t="shared" ca="1" si="66"/>
        <v>18.5%</v>
      </c>
      <c r="X852" t="s">
        <v>321</v>
      </c>
      <c r="Y852" s="9" t="str">
        <f t="shared" ca="1" si="67"/>
        <v>Sin costo</v>
      </c>
      <c r="Z852" t="s">
        <v>327</v>
      </c>
      <c r="AA852" t="s">
        <v>329</v>
      </c>
      <c r="AB852" t="s">
        <v>334</v>
      </c>
      <c r="AC852" s="12" t="s">
        <v>339</v>
      </c>
      <c r="AE852" t="s">
        <v>268</v>
      </c>
      <c r="AG852" s="12" t="s">
        <v>268</v>
      </c>
      <c r="AH852" t="s">
        <v>92</v>
      </c>
      <c r="AI852" s="12" t="s">
        <v>268</v>
      </c>
      <c r="AJ852" t="s">
        <v>92</v>
      </c>
      <c r="AK852" t="s">
        <v>92</v>
      </c>
      <c r="AL852" t="s">
        <v>92</v>
      </c>
      <c r="AM852" s="12" t="s">
        <v>268</v>
      </c>
      <c r="AN852" s="12" t="s">
        <v>268</v>
      </c>
      <c r="AO852" s="12" t="s">
        <v>268</v>
      </c>
      <c r="AP852" s="12" t="s">
        <v>268</v>
      </c>
      <c r="AQ852" s="12" t="s">
        <v>268</v>
      </c>
      <c r="AR852" s="28" t="str">
        <f t="shared" ca="1" si="68"/>
        <v/>
      </c>
      <c r="AS852" s="28" t="str">
        <f t="shared" ca="1" si="69"/>
        <v/>
      </c>
    </row>
    <row r="853" spans="2:45" ht="27.6" customHeight="1">
      <c r="B853">
        <f t="shared" ca="1" si="65"/>
        <v>0</v>
      </c>
      <c r="C853" t="s">
        <v>85</v>
      </c>
      <c r="D853" t="s">
        <v>92</v>
      </c>
      <c r="E853" t="s">
        <v>92</v>
      </c>
      <c r="F853" t="s">
        <v>92</v>
      </c>
      <c r="G853" t="s">
        <v>92</v>
      </c>
      <c r="H853" t="s">
        <v>92</v>
      </c>
      <c r="I853" s="12" t="s">
        <v>268</v>
      </c>
      <c r="J853" t="s">
        <v>278</v>
      </c>
      <c r="L853" t="s">
        <v>92</v>
      </c>
      <c r="N853" s="14">
        <v>1</v>
      </c>
      <c r="P853" s="12" t="s">
        <v>268</v>
      </c>
      <c r="W853" s="9" t="str">
        <f t="shared" ca="1" si="66"/>
        <v>18.5%</v>
      </c>
      <c r="X853" t="s">
        <v>321</v>
      </c>
      <c r="Y853" s="9" t="str">
        <f t="shared" ca="1" si="67"/>
        <v>Sin costo</v>
      </c>
      <c r="Z853" t="s">
        <v>327</v>
      </c>
      <c r="AA853" t="s">
        <v>329</v>
      </c>
      <c r="AB853" t="s">
        <v>334</v>
      </c>
      <c r="AC853" s="12" t="s">
        <v>339</v>
      </c>
      <c r="AE853" t="s">
        <v>268</v>
      </c>
      <c r="AG853" s="12" t="s">
        <v>268</v>
      </c>
      <c r="AH853" t="s">
        <v>92</v>
      </c>
      <c r="AI853" s="12" t="s">
        <v>268</v>
      </c>
      <c r="AJ853" t="s">
        <v>92</v>
      </c>
      <c r="AK853" t="s">
        <v>92</v>
      </c>
      <c r="AL853" t="s">
        <v>92</v>
      </c>
      <c r="AM853" s="12" t="s">
        <v>268</v>
      </c>
      <c r="AN853" s="12" t="s">
        <v>268</v>
      </c>
      <c r="AO853" s="12" t="s">
        <v>268</v>
      </c>
      <c r="AP853" s="12" t="s">
        <v>268</v>
      </c>
      <c r="AQ853" s="12" t="s">
        <v>268</v>
      </c>
      <c r="AR853" s="28" t="str">
        <f t="shared" ca="1" si="68"/>
        <v/>
      </c>
      <c r="AS853" s="28" t="str">
        <f t="shared" ca="1" si="69"/>
        <v/>
      </c>
    </row>
    <row r="854" spans="2:45" ht="27.6" customHeight="1">
      <c r="B854">
        <f t="shared" ca="1" si="65"/>
        <v>0</v>
      </c>
      <c r="C854" t="s">
        <v>85</v>
      </c>
      <c r="D854" t="s">
        <v>92</v>
      </c>
      <c r="E854" t="s">
        <v>92</v>
      </c>
      <c r="F854" t="s">
        <v>92</v>
      </c>
      <c r="G854" t="s">
        <v>92</v>
      </c>
      <c r="H854" t="s">
        <v>92</v>
      </c>
      <c r="I854" s="12" t="s">
        <v>268</v>
      </c>
      <c r="J854" t="s">
        <v>278</v>
      </c>
      <c r="L854" t="s">
        <v>92</v>
      </c>
      <c r="N854" s="14">
        <v>1</v>
      </c>
      <c r="P854" s="12" t="s">
        <v>268</v>
      </c>
      <c r="W854" s="9" t="str">
        <f t="shared" ca="1" si="66"/>
        <v>18.5%</v>
      </c>
      <c r="X854" t="s">
        <v>321</v>
      </c>
      <c r="Y854" s="9" t="str">
        <f t="shared" ca="1" si="67"/>
        <v>Sin costo</v>
      </c>
      <c r="Z854" t="s">
        <v>327</v>
      </c>
      <c r="AA854" t="s">
        <v>329</v>
      </c>
      <c r="AB854" t="s">
        <v>334</v>
      </c>
      <c r="AC854" s="12" t="s">
        <v>339</v>
      </c>
      <c r="AE854" t="s">
        <v>268</v>
      </c>
      <c r="AG854" s="12" t="s">
        <v>268</v>
      </c>
      <c r="AH854" t="s">
        <v>92</v>
      </c>
      <c r="AI854" s="12" t="s">
        <v>268</v>
      </c>
      <c r="AJ854" t="s">
        <v>92</v>
      </c>
      <c r="AK854" t="s">
        <v>92</v>
      </c>
      <c r="AL854" t="s">
        <v>92</v>
      </c>
      <c r="AM854" s="12" t="s">
        <v>268</v>
      </c>
      <c r="AN854" s="12" t="s">
        <v>268</v>
      </c>
      <c r="AO854" s="12" t="s">
        <v>268</v>
      </c>
      <c r="AP854" s="12" t="s">
        <v>268</v>
      </c>
      <c r="AQ854" s="12" t="s">
        <v>268</v>
      </c>
      <c r="AR854" s="28" t="str">
        <f t="shared" ca="1" si="68"/>
        <v/>
      </c>
      <c r="AS854" s="28" t="str">
        <f t="shared" ca="1" si="69"/>
        <v/>
      </c>
    </row>
    <row r="855" spans="2:45" ht="27.6" customHeight="1">
      <c r="B855">
        <f t="shared" ca="1" si="65"/>
        <v>0</v>
      </c>
      <c r="C855" t="s">
        <v>85</v>
      </c>
      <c r="D855" t="s">
        <v>92</v>
      </c>
      <c r="E855" t="s">
        <v>92</v>
      </c>
      <c r="F855" t="s">
        <v>92</v>
      </c>
      <c r="G855" t="s">
        <v>92</v>
      </c>
      <c r="H855" t="s">
        <v>92</v>
      </c>
      <c r="I855" s="12" t="s">
        <v>268</v>
      </c>
      <c r="J855" t="s">
        <v>278</v>
      </c>
      <c r="L855" t="s">
        <v>92</v>
      </c>
      <c r="N855" s="14">
        <v>1</v>
      </c>
      <c r="P855" s="12" t="s">
        <v>268</v>
      </c>
      <c r="W855" s="9" t="str">
        <f t="shared" ca="1" si="66"/>
        <v>18.5%</v>
      </c>
      <c r="X855" t="s">
        <v>321</v>
      </c>
      <c r="Y855" s="9" t="str">
        <f t="shared" ca="1" si="67"/>
        <v>Sin costo</v>
      </c>
      <c r="Z855" t="s">
        <v>327</v>
      </c>
      <c r="AA855" t="s">
        <v>329</v>
      </c>
      <c r="AB855" t="s">
        <v>334</v>
      </c>
      <c r="AC855" s="12" t="s">
        <v>339</v>
      </c>
      <c r="AE855" t="s">
        <v>268</v>
      </c>
      <c r="AG855" s="12" t="s">
        <v>268</v>
      </c>
      <c r="AH855" t="s">
        <v>92</v>
      </c>
      <c r="AI855" s="12" t="s">
        <v>268</v>
      </c>
      <c r="AJ855" t="s">
        <v>92</v>
      </c>
      <c r="AK855" t="s">
        <v>92</v>
      </c>
      <c r="AL855" t="s">
        <v>92</v>
      </c>
      <c r="AM855" s="12" t="s">
        <v>268</v>
      </c>
      <c r="AN855" s="12" t="s">
        <v>268</v>
      </c>
      <c r="AO855" s="12" t="s">
        <v>268</v>
      </c>
      <c r="AP855" s="12" t="s">
        <v>268</v>
      </c>
      <c r="AQ855" s="12" t="s">
        <v>268</v>
      </c>
      <c r="AR855" s="28" t="str">
        <f t="shared" ca="1" si="68"/>
        <v/>
      </c>
      <c r="AS855" s="28" t="str">
        <f t="shared" ca="1" si="69"/>
        <v/>
      </c>
    </row>
    <row r="856" spans="2:45" ht="27.6" customHeight="1">
      <c r="B856">
        <f t="shared" ca="1" si="65"/>
        <v>0</v>
      </c>
      <c r="C856" t="s">
        <v>85</v>
      </c>
      <c r="D856" t="s">
        <v>92</v>
      </c>
      <c r="E856" t="s">
        <v>92</v>
      </c>
      <c r="F856" t="s">
        <v>92</v>
      </c>
      <c r="G856" t="s">
        <v>92</v>
      </c>
      <c r="H856" t="s">
        <v>92</v>
      </c>
      <c r="I856" s="12" t="s">
        <v>268</v>
      </c>
      <c r="J856" t="s">
        <v>278</v>
      </c>
      <c r="L856" t="s">
        <v>92</v>
      </c>
      <c r="N856" s="14">
        <v>1</v>
      </c>
      <c r="P856" s="12" t="s">
        <v>268</v>
      </c>
      <c r="W856" s="9" t="str">
        <f t="shared" ca="1" si="66"/>
        <v>18.5%</v>
      </c>
      <c r="X856" t="s">
        <v>321</v>
      </c>
      <c r="Y856" s="9" t="str">
        <f t="shared" ca="1" si="67"/>
        <v>Sin costo</v>
      </c>
      <c r="Z856" t="s">
        <v>327</v>
      </c>
      <c r="AA856" t="s">
        <v>329</v>
      </c>
      <c r="AB856" t="s">
        <v>334</v>
      </c>
      <c r="AC856" s="12" t="s">
        <v>339</v>
      </c>
      <c r="AE856" t="s">
        <v>268</v>
      </c>
      <c r="AG856" s="12" t="s">
        <v>268</v>
      </c>
      <c r="AH856" t="s">
        <v>92</v>
      </c>
      <c r="AI856" s="12" t="s">
        <v>268</v>
      </c>
      <c r="AJ856" t="s">
        <v>92</v>
      </c>
      <c r="AK856" t="s">
        <v>92</v>
      </c>
      <c r="AL856" t="s">
        <v>92</v>
      </c>
      <c r="AM856" s="12" t="s">
        <v>268</v>
      </c>
      <c r="AN856" s="12" t="s">
        <v>268</v>
      </c>
      <c r="AO856" s="12" t="s">
        <v>268</v>
      </c>
      <c r="AP856" s="12" t="s">
        <v>268</v>
      </c>
      <c r="AQ856" s="12" t="s">
        <v>268</v>
      </c>
      <c r="AR856" s="28" t="str">
        <f t="shared" ca="1" si="68"/>
        <v/>
      </c>
      <c r="AS856" s="28" t="str">
        <f t="shared" ca="1" si="69"/>
        <v/>
      </c>
    </row>
    <row r="857" spans="2:45" ht="27.6" customHeight="1">
      <c r="B857">
        <f t="shared" ca="1" si="65"/>
        <v>0</v>
      </c>
      <c r="C857" t="s">
        <v>85</v>
      </c>
      <c r="D857" t="s">
        <v>92</v>
      </c>
      <c r="E857" t="s">
        <v>92</v>
      </c>
      <c r="F857" t="s">
        <v>92</v>
      </c>
      <c r="G857" t="s">
        <v>92</v>
      </c>
      <c r="H857" t="s">
        <v>92</v>
      </c>
      <c r="I857" s="12" t="s">
        <v>268</v>
      </c>
      <c r="J857" t="s">
        <v>278</v>
      </c>
      <c r="L857" t="s">
        <v>92</v>
      </c>
      <c r="N857" s="14">
        <v>1</v>
      </c>
      <c r="P857" s="12" t="s">
        <v>268</v>
      </c>
      <c r="W857" s="9" t="str">
        <f t="shared" ca="1" si="66"/>
        <v>18.5%</v>
      </c>
      <c r="X857" t="s">
        <v>321</v>
      </c>
      <c r="Y857" s="9" t="str">
        <f t="shared" ca="1" si="67"/>
        <v>Sin costo</v>
      </c>
      <c r="Z857" t="s">
        <v>327</v>
      </c>
      <c r="AA857" t="s">
        <v>329</v>
      </c>
      <c r="AB857" t="s">
        <v>334</v>
      </c>
      <c r="AC857" s="12" t="s">
        <v>339</v>
      </c>
      <c r="AE857" t="s">
        <v>268</v>
      </c>
      <c r="AG857" s="12" t="s">
        <v>268</v>
      </c>
      <c r="AH857" t="s">
        <v>92</v>
      </c>
      <c r="AI857" s="12" t="s">
        <v>268</v>
      </c>
      <c r="AJ857" t="s">
        <v>92</v>
      </c>
      <c r="AK857" t="s">
        <v>92</v>
      </c>
      <c r="AL857" t="s">
        <v>92</v>
      </c>
      <c r="AM857" s="12" t="s">
        <v>268</v>
      </c>
      <c r="AN857" s="12" t="s">
        <v>268</v>
      </c>
      <c r="AO857" s="12" t="s">
        <v>268</v>
      </c>
      <c r="AP857" s="12" t="s">
        <v>268</v>
      </c>
      <c r="AQ857" s="12" t="s">
        <v>268</v>
      </c>
      <c r="AR857" s="28" t="str">
        <f t="shared" ca="1" si="68"/>
        <v/>
      </c>
      <c r="AS857" s="28" t="str">
        <f t="shared" ca="1" si="69"/>
        <v/>
      </c>
    </row>
    <row r="858" spans="2:45" ht="27.6" customHeight="1">
      <c r="B858">
        <f t="shared" ca="1" si="65"/>
        <v>0</v>
      </c>
      <c r="C858" t="s">
        <v>85</v>
      </c>
      <c r="D858" t="s">
        <v>92</v>
      </c>
      <c r="E858" t="s">
        <v>92</v>
      </c>
      <c r="F858" t="s">
        <v>92</v>
      </c>
      <c r="G858" t="s">
        <v>92</v>
      </c>
      <c r="H858" t="s">
        <v>92</v>
      </c>
      <c r="I858" s="12" t="s">
        <v>268</v>
      </c>
      <c r="J858" t="s">
        <v>278</v>
      </c>
      <c r="L858" t="s">
        <v>92</v>
      </c>
      <c r="N858" s="14">
        <v>1</v>
      </c>
      <c r="P858" s="12" t="s">
        <v>268</v>
      </c>
      <c r="W858" s="9" t="str">
        <f t="shared" ca="1" si="66"/>
        <v>18.5%</v>
      </c>
      <c r="X858" t="s">
        <v>321</v>
      </c>
      <c r="Y858" s="9" t="str">
        <f t="shared" ca="1" si="67"/>
        <v>Sin costo</v>
      </c>
      <c r="Z858" t="s">
        <v>327</v>
      </c>
      <c r="AA858" t="s">
        <v>329</v>
      </c>
      <c r="AB858" t="s">
        <v>334</v>
      </c>
      <c r="AC858" s="12" t="s">
        <v>339</v>
      </c>
      <c r="AE858" t="s">
        <v>268</v>
      </c>
      <c r="AG858" s="12" t="s">
        <v>268</v>
      </c>
      <c r="AH858" t="s">
        <v>92</v>
      </c>
      <c r="AI858" s="12" t="s">
        <v>268</v>
      </c>
      <c r="AJ858" t="s">
        <v>92</v>
      </c>
      <c r="AK858" t="s">
        <v>92</v>
      </c>
      <c r="AL858" t="s">
        <v>92</v>
      </c>
      <c r="AM858" s="12" t="s">
        <v>268</v>
      </c>
      <c r="AN858" s="12" t="s">
        <v>268</v>
      </c>
      <c r="AO858" s="12" t="s">
        <v>268</v>
      </c>
      <c r="AP858" s="12" t="s">
        <v>268</v>
      </c>
      <c r="AQ858" s="12" t="s">
        <v>268</v>
      </c>
      <c r="AR858" s="28" t="str">
        <f t="shared" ca="1" si="68"/>
        <v/>
      </c>
      <c r="AS858" s="28" t="str">
        <f t="shared" ca="1" si="69"/>
        <v/>
      </c>
    </row>
    <row r="859" spans="2:45" ht="27.6" customHeight="1">
      <c r="B859">
        <f t="shared" ca="1" si="65"/>
        <v>0</v>
      </c>
      <c r="C859" t="s">
        <v>85</v>
      </c>
      <c r="D859" t="s">
        <v>92</v>
      </c>
      <c r="E859" t="s">
        <v>92</v>
      </c>
      <c r="F859" t="s">
        <v>92</v>
      </c>
      <c r="G859" t="s">
        <v>92</v>
      </c>
      <c r="H859" t="s">
        <v>92</v>
      </c>
      <c r="I859" s="12" t="s">
        <v>268</v>
      </c>
      <c r="J859" t="s">
        <v>278</v>
      </c>
      <c r="L859" t="s">
        <v>92</v>
      </c>
      <c r="N859" s="14">
        <v>1</v>
      </c>
      <c r="P859" s="12" t="s">
        <v>268</v>
      </c>
      <c r="W859" s="9" t="str">
        <f t="shared" ca="1" si="66"/>
        <v>18.5%</v>
      </c>
      <c r="X859" t="s">
        <v>321</v>
      </c>
      <c r="Y859" s="9" t="str">
        <f t="shared" ca="1" si="67"/>
        <v>Sin costo</v>
      </c>
      <c r="Z859" t="s">
        <v>327</v>
      </c>
      <c r="AA859" t="s">
        <v>329</v>
      </c>
      <c r="AB859" t="s">
        <v>334</v>
      </c>
      <c r="AC859" s="12" t="s">
        <v>339</v>
      </c>
      <c r="AE859" t="s">
        <v>268</v>
      </c>
      <c r="AG859" s="12" t="s">
        <v>268</v>
      </c>
      <c r="AH859" t="s">
        <v>92</v>
      </c>
      <c r="AI859" s="12" t="s">
        <v>268</v>
      </c>
      <c r="AJ859" t="s">
        <v>92</v>
      </c>
      <c r="AK859" t="s">
        <v>92</v>
      </c>
      <c r="AL859" t="s">
        <v>92</v>
      </c>
      <c r="AM859" s="12" t="s">
        <v>268</v>
      </c>
      <c r="AN859" s="12" t="s">
        <v>268</v>
      </c>
      <c r="AO859" s="12" t="s">
        <v>268</v>
      </c>
      <c r="AP859" s="12" t="s">
        <v>268</v>
      </c>
      <c r="AQ859" s="12" t="s">
        <v>268</v>
      </c>
      <c r="AR859" s="28" t="str">
        <f t="shared" ca="1" si="68"/>
        <v/>
      </c>
      <c r="AS859" s="28" t="str">
        <f t="shared" ca="1" si="69"/>
        <v/>
      </c>
    </row>
    <row r="860" spans="2:45" ht="27.6" customHeight="1">
      <c r="B860">
        <f t="shared" ca="1" si="65"/>
        <v>0</v>
      </c>
      <c r="C860" t="s">
        <v>85</v>
      </c>
      <c r="D860" t="s">
        <v>92</v>
      </c>
      <c r="E860" t="s">
        <v>92</v>
      </c>
      <c r="F860" t="s">
        <v>92</v>
      </c>
      <c r="G860" t="s">
        <v>92</v>
      </c>
      <c r="H860" t="s">
        <v>92</v>
      </c>
      <c r="I860" s="12" t="s">
        <v>268</v>
      </c>
      <c r="J860" t="s">
        <v>278</v>
      </c>
      <c r="L860" t="s">
        <v>92</v>
      </c>
      <c r="N860" s="14">
        <v>1</v>
      </c>
      <c r="P860" s="12" t="s">
        <v>268</v>
      </c>
      <c r="W860" s="9" t="str">
        <f t="shared" ca="1" si="66"/>
        <v>18.5%</v>
      </c>
      <c r="X860" t="s">
        <v>321</v>
      </c>
      <c r="Y860" s="9" t="str">
        <f t="shared" ca="1" si="67"/>
        <v>Sin costo</v>
      </c>
      <c r="Z860" t="s">
        <v>327</v>
      </c>
      <c r="AA860" t="s">
        <v>329</v>
      </c>
      <c r="AB860" t="s">
        <v>334</v>
      </c>
      <c r="AC860" s="12" t="s">
        <v>339</v>
      </c>
      <c r="AE860" t="s">
        <v>268</v>
      </c>
      <c r="AG860" s="12" t="s">
        <v>268</v>
      </c>
      <c r="AH860" t="s">
        <v>92</v>
      </c>
      <c r="AI860" s="12" t="s">
        <v>268</v>
      </c>
      <c r="AJ860" t="s">
        <v>92</v>
      </c>
      <c r="AK860" t="s">
        <v>92</v>
      </c>
      <c r="AL860" t="s">
        <v>92</v>
      </c>
      <c r="AM860" s="12" t="s">
        <v>268</v>
      </c>
      <c r="AN860" s="12" t="s">
        <v>268</v>
      </c>
      <c r="AO860" s="12" t="s">
        <v>268</v>
      </c>
      <c r="AP860" s="12" t="s">
        <v>268</v>
      </c>
      <c r="AQ860" s="12" t="s">
        <v>268</v>
      </c>
      <c r="AR860" s="28" t="str">
        <f t="shared" ca="1" si="68"/>
        <v/>
      </c>
      <c r="AS860" s="28" t="str">
        <f t="shared" ca="1" si="69"/>
        <v/>
      </c>
    </row>
    <row r="861" spans="2:45" ht="27.6" customHeight="1">
      <c r="B861">
        <f t="shared" ca="1" si="65"/>
        <v>0</v>
      </c>
      <c r="C861" t="s">
        <v>85</v>
      </c>
      <c r="D861" t="s">
        <v>92</v>
      </c>
      <c r="E861" t="s">
        <v>92</v>
      </c>
      <c r="F861" t="s">
        <v>92</v>
      </c>
      <c r="G861" t="s">
        <v>92</v>
      </c>
      <c r="H861" t="s">
        <v>92</v>
      </c>
      <c r="I861" s="12" t="s">
        <v>268</v>
      </c>
      <c r="J861" t="s">
        <v>278</v>
      </c>
      <c r="L861" t="s">
        <v>92</v>
      </c>
      <c r="N861" s="14">
        <v>1</v>
      </c>
      <c r="P861" s="12" t="s">
        <v>268</v>
      </c>
      <c r="W861" s="9" t="str">
        <f t="shared" ca="1" si="66"/>
        <v>18.5%</v>
      </c>
      <c r="X861" t="s">
        <v>321</v>
      </c>
      <c r="Y861" s="9" t="str">
        <f t="shared" ca="1" si="67"/>
        <v>Sin costo</v>
      </c>
      <c r="Z861" t="s">
        <v>327</v>
      </c>
      <c r="AA861" t="s">
        <v>329</v>
      </c>
      <c r="AB861" t="s">
        <v>334</v>
      </c>
      <c r="AC861" s="12" t="s">
        <v>339</v>
      </c>
      <c r="AE861" t="s">
        <v>268</v>
      </c>
      <c r="AG861" s="12" t="s">
        <v>268</v>
      </c>
      <c r="AH861" t="s">
        <v>92</v>
      </c>
      <c r="AI861" s="12" t="s">
        <v>268</v>
      </c>
      <c r="AJ861" t="s">
        <v>92</v>
      </c>
      <c r="AK861" t="s">
        <v>92</v>
      </c>
      <c r="AL861" t="s">
        <v>92</v>
      </c>
      <c r="AM861" s="12" t="s">
        <v>268</v>
      </c>
      <c r="AN861" s="12" t="s">
        <v>268</v>
      </c>
      <c r="AO861" s="12" t="s">
        <v>268</v>
      </c>
      <c r="AP861" s="12" t="s">
        <v>268</v>
      </c>
      <c r="AQ861" s="12" t="s">
        <v>268</v>
      </c>
      <c r="AR861" s="28" t="str">
        <f t="shared" ca="1" si="68"/>
        <v/>
      </c>
      <c r="AS861" s="28" t="str">
        <f t="shared" ca="1" si="69"/>
        <v/>
      </c>
    </row>
    <row r="862" spans="2:45" ht="27.6" customHeight="1">
      <c r="B862">
        <f t="shared" ca="1" si="65"/>
        <v>0</v>
      </c>
      <c r="C862" t="s">
        <v>85</v>
      </c>
      <c r="D862" t="s">
        <v>92</v>
      </c>
      <c r="E862" t="s">
        <v>92</v>
      </c>
      <c r="F862" t="s">
        <v>92</v>
      </c>
      <c r="G862" t="s">
        <v>92</v>
      </c>
      <c r="H862" t="s">
        <v>92</v>
      </c>
      <c r="I862" s="12" t="s">
        <v>268</v>
      </c>
      <c r="J862" t="s">
        <v>278</v>
      </c>
      <c r="L862" t="s">
        <v>92</v>
      </c>
      <c r="N862" s="14">
        <v>1</v>
      </c>
      <c r="P862" s="12" t="s">
        <v>268</v>
      </c>
      <c r="W862" s="9" t="str">
        <f t="shared" ca="1" si="66"/>
        <v>18.5%</v>
      </c>
      <c r="X862" t="s">
        <v>321</v>
      </c>
      <c r="Y862" s="9" t="str">
        <f t="shared" ca="1" si="67"/>
        <v>Sin costo</v>
      </c>
      <c r="Z862" t="s">
        <v>327</v>
      </c>
      <c r="AA862" t="s">
        <v>329</v>
      </c>
      <c r="AB862" t="s">
        <v>334</v>
      </c>
      <c r="AC862" s="12" t="s">
        <v>339</v>
      </c>
      <c r="AE862" t="s">
        <v>268</v>
      </c>
      <c r="AG862" s="12" t="s">
        <v>268</v>
      </c>
      <c r="AH862" t="s">
        <v>92</v>
      </c>
      <c r="AI862" s="12" t="s">
        <v>268</v>
      </c>
      <c r="AJ862" t="s">
        <v>92</v>
      </c>
      <c r="AK862" t="s">
        <v>92</v>
      </c>
      <c r="AL862" t="s">
        <v>92</v>
      </c>
      <c r="AM862" s="12" t="s">
        <v>268</v>
      </c>
      <c r="AN862" s="12" t="s">
        <v>268</v>
      </c>
      <c r="AO862" s="12" t="s">
        <v>268</v>
      </c>
      <c r="AP862" s="12" t="s">
        <v>268</v>
      </c>
      <c r="AQ862" s="12" t="s">
        <v>268</v>
      </c>
      <c r="AR862" s="28" t="str">
        <f t="shared" ca="1" si="68"/>
        <v/>
      </c>
      <c r="AS862" s="28" t="str">
        <f t="shared" ca="1" si="69"/>
        <v/>
      </c>
    </row>
    <row r="863" spans="2:45" ht="27.6" customHeight="1">
      <c r="B863">
        <f t="shared" ca="1" si="65"/>
        <v>0</v>
      </c>
      <c r="C863" t="s">
        <v>85</v>
      </c>
      <c r="D863" t="s">
        <v>92</v>
      </c>
      <c r="E863" t="s">
        <v>92</v>
      </c>
      <c r="F863" t="s">
        <v>92</v>
      </c>
      <c r="G863" t="s">
        <v>92</v>
      </c>
      <c r="H863" t="s">
        <v>92</v>
      </c>
      <c r="I863" s="12" t="s">
        <v>268</v>
      </c>
      <c r="J863" t="s">
        <v>278</v>
      </c>
      <c r="L863" t="s">
        <v>92</v>
      </c>
      <c r="N863" s="14">
        <v>1</v>
      </c>
      <c r="P863" s="12" t="s">
        <v>268</v>
      </c>
      <c r="W863" s="9" t="str">
        <f t="shared" ca="1" si="66"/>
        <v>18.5%</v>
      </c>
      <c r="X863" t="s">
        <v>321</v>
      </c>
      <c r="Y863" s="9" t="str">
        <f t="shared" ca="1" si="67"/>
        <v>Sin costo</v>
      </c>
      <c r="Z863" t="s">
        <v>327</v>
      </c>
      <c r="AA863" t="s">
        <v>329</v>
      </c>
      <c r="AB863" t="s">
        <v>334</v>
      </c>
      <c r="AC863" s="12" t="s">
        <v>339</v>
      </c>
      <c r="AE863" t="s">
        <v>268</v>
      </c>
      <c r="AG863" s="12" t="s">
        <v>268</v>
      </c>
      <c r="AH863" t="s">
        <v>92</v>
      </c>
      <c r="AI863" s="12" t="s">
        <v>268</v>
      </c>
      <c r="AJ863" t="s">
        <v>92</v>
      </c>
      <c r="AK863" t="s">
        <v>92</v>
      </c>
      <c r="AL863" t="s">
        <v>92</v>
      </c>
      <c r="AM863" s="12" t="s">
        <v>268</v>
      </c>
      <c r="AN863" s="12" t="s">
        <v>268</v>
      </c>
      <c r="AO863" s="12" t="s">
        <v>268</v>
      </c>
      <c r="AP863" s="12" t="s">
        <v>268</v>
      </c>
      <c r="AQ863" s="12" t="s">
        <v>268</v>
      </c>
      <c r="AR863" s="28" t="str">
        <f t="shared" ca="1" si="68"/>
        <v/>
      </c>
      <c r="AS863" s="28" t="str">
        <f t="shared" ca="1" si="69"/>
        <v/>
      </c>
    </row>
    <row r="864" spans="2:45" ht="27.6" customHeight="1">
      <c r="B864">
        <f t="shared" ca="1" si="65"/>
        <v>0</v>
      </c>
      <c r="C864" t="s">
        <v>85</v>
      </c>
      <c r="D864" t="s">
        <v>92</v>
      </c>
      <c r="E864" t="s">
        <v>92</v>
      </c>
      <c r="F864" t="s">
        <v>92</v>
      </c>
      <c r="G864" t="s">
        <v>92</v>
      </c>
      <c r="H864" t="s">
        <v>92</v>
      </c>
      <c r="I864" s="12" t="s">
        <v>268</v>
      </c>
      <c r="J864" t="s">
        <v>278</v>
      </c>
      <c r="L864" t="s">
        <v>92</v>
      </c>
      <c r="N864" s="14">
        <v>1</v>
      </c>
      <c r="P864" s="12" t="s">
        <v>268</v>
      </c>
      <c r="W864" s="9" t="str">
        <f t="shared" ca="1" si="66"/>
        <v>18.5%</v>
      </c>
      <c r="X864" t="s">
        <v>321</v>
      </c>
      <c r="Y864" s="9" t="str">
        <f t="shared" ca="1" si="67"/>
        <v>Sin costo</v>
      </c>
      <c r="Z864" t="s">
        <v>327</v>
      </c>
      <c r="AA864" t="s">
        <v>329</v>
      </c>
      <c r="AB864" t="s">
        <v>334</v>
      </c>
      <c r="AC864" s="12" t="s">
        <v>339</v>
      </c>
      <c r="AE864" t="s">
        <v>268</v>
      </c>
      <c r="AG864" s="12" t="s">
        <v>268</v>
      </c>
      <c r="AH864" t="s">
        <v>92</v>
      </c>
      <c r="AI864" s="12" t="s">
        <v>268</v>
      </c>
      <c r="AJ864" t="s">
        <v>92</v>
      </c>
      <c r="AK864" t="s">
        <v>92</v>
      </c>
      <c r="AL864" t="s">
        <v>92</v>
      </c>
      <c r="AM864" s="12" t="s">
        <v>268</v>
      </c>
      <c r="AN864" s="12" t="s">
        <v>268</v>
      </c>
      <c r="AO864" s="12" t="s">
        <v>268</v>
      </c>
      <c r="AP864" s="12" t="s">
        <v>268</v>
      </c>
      <c r="AQ864" s="12" t="s">
        <v>268</v>
      </c>
      <c r="AR864" s="28" t="str">
        <f t="shared" ca="1" si="68"/>
        <v/>
      </c>
      <c r="AS864" s="28" t="str">
        <f t="shared" ca="1" si="69"/>
        <v/>
      </c>
    </row>
    <row r="865" spans="2:45" ht="27.6" customHeight="1">
      <c r="B865">
        <f t="shared" ca="1" si="65"/>
        <v>0</v>
      </c>
      <c r="C865" t="s">
        <v>85</v>
      </c>
      <c r="D865" t="s">
        <v>92</v>
      </c>
      <c r="E865" t="s">
        <v>92</v>
      </c>
      <c r="F865" t="s">
        <v>92</v>
      </c>
      <c r="G865" t="s">
        <v>92</v>
      </c>
      <c r="H865" t="s">
        <v>92</v>
      </c>
      <c r="I865" s="12" t="s">
        <v>268</v>
      </c>
      <c r="J865" t="s">
        <v>278</v>
      </c>
      <c r="L865" t="s">
        <v>92</v>
      </c>
      <c r="N865" s="14">
        <v>1</v>
      </c>
      <c r="P865" s="12" t="s">
        <v>268</v>
      </c>
      <c r="W865" s="9" t="str">
        <f t="shared" ca="1" si="66"/>
        <v>18.5%</v>
      </c>
      <c r="X865" t="s">
        <v>321</v>
      </c>
      <c r="Y865" s="9" t="str">
        <f t="shared" ca="1" si="67"/>
        <v>Sin costo</v>
      </c>
      <c r="Z865" t="s">
        <v>327</v>
      </c>
      <c r="AA865" t="s">
        <v>329</v>
      </c>
      <c r="AB865" t="s">
        <v>334</v>
      </c>
      <c r="AC865" s="12" t="s">
        <v>339</v>
      </c>
      <c r="AE865" t="s">
        <v>268</v>
      </c>
      <c r="AG865" s="12" t="s">
        <v>268</v>
      </c>
      <c r="AH865" t="s">
        <v>92</v>
      </c>
      <c r="AI865" s="12" t="s">
        <v>268</v>
      </c>
      <c r="AJ865" t="s">
        <v>92</v>
      </c>
      <c r="AK865" t="s">
        <v>92</v>
      </c>
      <c r="AL865" t="s">
        <v>92</v>
      </c>
      <c r="AM865" s="12" t="s">
        <v>268</v>
      </c>
      <c r="AN865" s="12" t="s">
        <v>268</v>
      </c>
      <c r="AO865" s="12" t="s">
        <v>268</v>
      </c>
      <c r="AP865" s="12" t="s">
        <v>268</v>
      </c>
      <c r="AQ865" s="12" t="s">
        <v>268</v>
      </c>
      <c r="AR865" s="28" t="str">
        <f t="shared" ca="1" si="68"/>
        <v/>
      </c>
      <c r="AS865" s="28" t="str">
        <f t="shared" ca="1" si="69"/>
        <v/>
      </c>
    </row>
    <row r="866" spans="2:45" ht="27.6" customHeight="1">
      <c r="B866">
        <f t="shared" ca="1" si="65"/>
        <v>0</v>
      </c>
      <c r="C866" t="s">
        <v>85</v>
      </c>
      <c r="D866" t="s">
        <v>92</v>
      </c>
      <c r="E866" t="s">
        <v>92</v>
      </c>
      <c r="F866" t="s">
        <v>92</v>
      </c>
      <c r="G866" t="s">
        <v>92</v>
      </c>
      <c r="H866" t="s">
        <v>92</v>
      </c>
      <c r="I866" s="12" t="s">
        <v>268</v>
      </c>
      <c r="J866" t="s">
        <v>278</v>
      </c>
      <c r="L866" t="s">
        <v>92</v>
      </c>
      <c r="N866" s="14">
        <v>1</v>
      </c>
      <c r="P866" s="12" t="s">
        <v>268</v>
      </c>
      <c r="W866" s="9" t="str">
        <f t="shared" ca="1" si="66"/>
        <v>18.5%</v>
      </c>
      <c r="X866" t="s">
        <v>321</v>
      </c>
      <c r="Y866" s="9" t="str">
        <f t="shared" ca="1" si="67"/>
        <v>Sin costo</v>
      </c>
      <c r="Z866" t="s">
        <v>327</v>
      </c>
      <c r="AA866" t="s">
        <v>329</v>
      </c>
      <c r="AB866" t="s">
        <v>334</v>
      </c>
      <c r="AC866" s="12" t="s">
        <v>339</v>
      </c>
      <c r="AE866" t="s">
        <v>268</v>
      </c>
      <c r="AG866" s="12" t="s">
        <v>268</v>
      </c>
      <c r="AH866" t="s">
        <v>92</v>
      </c>
      <c r="AI866" s="12" t="s">
        <v>268</v>
      </c>
      <c r="AJ866" t="s">
        <v>92</v>
      </c>
      <c r="AK866" t="s">
        <v>92</v>
      </c>
      <c r="AL866" t="s">
        <v>92</v>
      </c>
      <c r="AM866" s="12" t="s">
        <v>268</v>
      </c>
      <c r="AN866" s="12" t="s">
        <v>268</v>
      </c>
      <c r="AO866" s="12" t="s">
        <v>268</v>
      </c>
      <c r="AP866" s="12" t="s">
        <v>268</v>
      </c>
      <c r="AQ866" s="12" t="s">
        <v>268</v>
      </c>
      <c r="AR866" s="28" t="str">
        <f t="shared" ca="1" si="68"/>
        <v/>
      </c>
      <c r="AS866" s="28" t="str">
        <f t="shared" ca="1" si="69"/>
        <v/>
      </c>
    </row>
    <row r="867" spans="2:45" ht="27.6" customHeight="1">
      <c r="B867">
        <f t="shared" ca="1" si="65"/>
        <v>0</v>
      </c>
      <c r="C867" t="s">
        <v>85</v>
      </c>
      <c r="D867" t="s">
        <v>92</v>
      </c>
      <c r="E867" t="s">
        <v>92</v>
      </c>
      <c r="F867" t="s">
        <v>92</v>
      </c>
      <c r="G867" t="s">
        <v>92</v>
      </c>
      <c r="H867" t="s">
        <v>92</v>
      </c>
      <c r="I867" s="12" t="s">
        <v>268</v>
      </c>
      <c r="J867" t="s">
        <v>278</v>
      </c>
      <c r="L867" t="s">
        <v>92</v>
      </c>
      <c r="N867" s="14">
        <v>1</v>
      </c>
      <c r="P867" s="12" t="s">
        <v>268</v>
      </c>
      <c r="W867" s="9" t="str">
        <f t="shared" ca="1" si="66"/>
        <v>18.5%</v>
      </c>
      <c r="X867" t="s">
        <v>321</v>
      </c>
      <c r="Y867" s="9" t="str">
        <f t="shared" ca="1" si="67"/>
        <v>Sin costo</v>
      </c>
      <c r="Z867" t="s">
        <v>327</v>
      </c>
      <c r="AA867" t="s">
        <v>329</v>
      </c>
      <c r="AB867" t="s">
        <v>334</v>
      </c>
      <c r="AC867" s="12" t="s">
        <v>339</v>
      </c>
      <c r="AE867" t="s">
        <v>268</v>
      </c>
      <c r="AG867" s="12" t="s">
        <v>268</v>
      </c>
      <c r="AH867" t="s">
        <v>92</v>
      </c>
      <c r="AI867" s="12" t="s">
        <v>268</v>
      </c>
      <c r="AJ867" t="s">
        <v>92</v>
      </c>
      <c r="AK867" t="s">
        <v>92</v>
      </c>
      <c r="AL867" t="s">
        <v>92</v>
      </c>
      <c r="AM867" s="12" t="s">
        <v>268</v>
      </c>
      <c r="AN867" s="12" t="s">
        <v>268</v>
      </c>
      <c r="AO867" s="12" t="s">
        <v>268</v>
      </c>
      <c r="AP867" s="12" t="s">
        <v>268</v>
      </c>
      <c r="AQ867" s="12" t="s">
        <v>268</v>
      </c>
      <c r="AR867" s="28" t="str">
        <f t="shared" ca="1" si="68"/>
        <v/>
      </c>
      <c r="AS867" s="28" t="str">
        <f t="shared" ca="1" si="69"/>
        <v/>
      </c>
    </row>
    <row r="868" spans="2:45" ht="27.6" customHeight="1">
      <c r="B868">
        <f t="shared" ca="1" si="65"/>
        <v>0</v>
      </c>
      <c r="C868" t="s">
        <v>85</v>
      </c>
      <c r="D868" t="s">
        <v>92</v>
      </c>
      <c r="E868" t="s">
        <v>92</v>
      </c>
      <c r="F868" t="s">
        <v>92</v>
      </c>
      <c r="G868" t="s">
        <v>92</v>
      </c>
      <c r="H868" t="s">
        <v>92</v>
      </c>
      <c r="I868" s="12" t="s">
        <v>268</v>
      </c>
      <c r="J868" t="s">
        <v>278</v>
      </c>
      <c r="L868" t="s">
        <v>92</v>
      </c>
      <c r="N868" s="14">
        <v>1</v>
      </c>
      <c r="P868" s="12" t="s">
        <v>268</v>
      </c>
      <c r="W868" s="9" t="str">
        <f t="shared" ca="1" si="66"/>
        <v>18.5%</v>
      </c>
      <c r="X868" t="s">
        <v>321</v>
      </c>
      <c r="Y868" s="9" t="str">
        <f t="shared" ca="1" si="67"/>
        <v>Sin costo</v>
      </c>
      <c r="Z868" t="s">
        <v>327</v>
      </c>
      <c r="AA868" t="s">
        <v>329</v>
      </c>
      <c r="AB868" t="s">
        <v>334</v>
      </c>
      <c r="AC868" s="12" t="s">
        <v>339</v>
      </c>
      <c r="AE868" t="s">
        <v>268</v>
      </c>
      <c r="AG868" s="12" t="s">
        <v>268</v>
      </c>
      <c r="AH868" t="s">
        <v>92</v>
      </c>
      <c r="AI868" s="12" t="s">
        <v>268</v>
      </c>
      <c r="AJ868" t="s">
        <v>92</v>
      </c>
      <c r="AK868" t="s">
        <v>92</v>
      </c>
      <c r="AL868" t="s">
        <v>92</v>
      </c>
      <c r="AM868" s="12" t="s">
        <v>268</v>
      </c>
      <c r="AN868" s="12" t="s">
        <v>268</v>
      </c>
      <c r="AO868" s="12" t="s">
        <v>268</v>
      </c>
      <c r="AP868" s="12" t="s">
        <v>268</v>
      </c>
      <c r="AQ868" s="12" t="s">
        <v>268</v>
      </c>
      <c r="AR868" s="28" t="str">
        <f t="shared" ca="1" si="68"/>
        <v/>
      </c>
      <c r="AS868" s="28" t="str">
        <f t="shared" ca="1" si="69"/>
        <v/>
      </c>
    </row>
    <row r="869" spans="2:45" ht="27.6" customHeight="1">
      <c r="B869">
        <f t="shared" ca="1" si="65"/>
        <v>0</v>
      </c>
      <c r="C869" t="s">
        <v>85</v>
      </c>
      <c r="D869" t="s">
        <v>92</v>
      </c>
      <c r="E869" t="s">
        <v>92</v>
      </c>
      <c r="F869" t="s">
        <v>92</v>
      </c>
      <c r="G869" t="s">
        <v>92</v>
      </c>
      <c r="H869" t="s">
        <v>92</v>
      </c>
      <c r="I869" s="12" t="s">
        <v>268</v>
      </c>
      <c r="J869" t="s">
        <v>278</v>
      </c>
      <c r="L869" t="s">
        <v>92</v>
      </c>
      <c r="N869" s="14">
        <v>1</v>
      </c>
      <c r="P869" s="12" t="s">
        <v>268</v>
      </c>
      <c r="W869" s="9" t="str">
        <f t="shared" ca="1" si="66"/>
        <v>18.5%</v>
      </c>
      <c r="X869" t="s">
        <v>321</v>
      </c>
      <c r="Y869" s="9" t="str">
        <f t="shared" ca="1" si="67"/>
        <v>Sin costo</v>
      </c>
      <c r="Z869" t="s">
        <v>327</v>
      </c>
      <c r="AA869" t="s">
        <v>329</v>
      </c>
      <c r="AB869" t="s">
        <v>334</v>
      </c>
      <c r="AC869" s="12" t="s">
        <v>339</v>
      </c>
      <c r="AE869" t="s">
        <v>268</v>
      </c>
      <c r="AG869" s="12" t="s">
        <v>268</v>
      </c>
      <c r="AH869" t="s">
        <v>92</v>
      </c>
      <c r="AI869" s="12" t="s">
        <v>268</v>
      </c>
      <c r="AJ869" t="s">
        <v>92</v>
      </c>
      <c r="AK869" t="s">
        <v>92</v>
      </c>
      <c r="AL869" t="s">
        <v>92</v>
      </c>
      <c r="AM869" s="12" t="s">
        <v>268</v>
      </c>
      <c r="AN869" s="12" t="s">
        <v>268</v>
      </c>
      <c r="AO869" s="12" t="s">
        <v>268</v>
      </c>
      <c r="AP869" s="12" t="s">
        <v>268</v>
      </c>
      <c r="AQ869" s="12" t="s">
        <v>268</v>
      </c>
      <c r="AR869" s="28" t="str">
        <f t="shared" ca="1" si="68"/>
        <v/>
      </c>
      <c r="AS869" s="28" t="str">
        <f t="shared" ca="1" si="69"/>
        <v/>
      </c>
    </row>
    <row r="870" spans="2:45" ht="27.6" customHeight="1">
      <c r="B870">
        <f t="shared" ca="1" si="65"/>
        <v>0</v>
      </c>
      <c r="C870" t="s">
        <v>85</v>
      </c>
      <c r="D870" t="s">
        <v>92</v>
      </c>
      <c r="E870" t="s">
        <v>92</v>
      </c>
      <c r="F870" t="s">
        <v>92</v>
      </c>
      <c r="G870" t="s">
        <v>92</v>
      </c>
      <c r="H870" t="s">
        <v>92</v>
      </c>
      <c r="I870" s="12" t="s">
        <v>268</v>
      </c>
      <c r="J870" t="s">
        <v>278</v>
      </c>
      <c r="L870" t="s">
        <v>92</v>
      </c>
      <c r="N870" s="14">
        <v>1</v>
      </c>
      <c r="P870" s="12" t="s">
        <v>268</v>
      </c>
      <c r="W870" s="9" t="str">
        <f t="shared" ca="1" si="66"/>
        <v>18.5%</v>
      </c>
      <c r="X870" t="s">
        <v>321</v>
      </c>
      <c r="Y870" s="9" t="str">
        <f t="shared" ca="1" si="67"/>
        <v>Sin costo</v>
      </c>
      <c r="Z870" t="s">
        <v>327</v>
      </c>
      <c r="AA870" t="s">
        <v>329</v>
      </c>
      <c r="AB870" t="s">
        <v>334</v>
      </c>
      <c r="AC870" s="12" t="s">
        <v>339</v>
      </c>
      <c r="AE870" t="s">
        <v>268</v>
      </c>
      <c r="AG870" s="12" t="s">
        <v>268</v>
      </c>
      <c r="AH870" t="s">
        <v>92</v>
      </c>
      <c r="AI870" s="12" t="s">
        <v>268</v>
      </c>
      <c r="AJ870" t="s">
        <v>92</v>
      </c>
      <c r="AK870" t="s">
        <v>92</v>
      </c>
      <c r="AL870" t="s">
        <v>92</v>
      </c>
      <c r="AM870" s="12" t="s">
        <v>268</v>
      </c>
      <c r="AN870" s="12" t="s">
        <v>268</v>
      </c>
      <c r="AO870" s="12" t="s">
        <v>268</v>
      </c>
      <c r="AP870" s="12" t="s">
        <v>268</v>
      </c>
      <c r="AQ870" s="12" t="s">
        <v>268</v>
      </c>
      <c r="AR870" s="28" t="str">
        <f t="shared" ca="1" si="68"/>
        <v/>
      </c>
      <c r="AS870" s="28" t="str">
        <f t="shared" ca="1" si="69"/>
        <v/>
      </c>
    </row>
    <row r="871" spans="2:45" ht="27.6" customHeight="1">
      <c r="B871">
        <f t="shared" ca="1" si="65"/>
        <v>0</v>
      </c>
      <c r="C871" t="s">
        <v>85</v>
      </c>
      <c r="D871" t="s">
        <v>92</v>
      </c>
      <c r="E871" t="s">
        <v>92</v>
      </c>
      <c r="F871" t="s">
        <v>92</v>
      </c>
      <c r="G871" t="s">
        <v>92</v>
      </c>
      <c r="H871" t="s">
        <v>92</v>
      </c>
      <c r="I871" s="12" t="s">
        <v>268</v>
      </c>
      <c r="J871" t="s">
        <v>278</v>
      </c>
      <c r="L871" t="s">
        <v>92</v>
      </c>
      <c r="N871" s="14">
        <v>1</v>
      </c>
      <c r="P871" s="12" t="s">
        <v>268</v>
      </c>
      <c r="W871" s="9" t="str">
        <f t="shared" ca="1" si="66"/>
        <v>18.5%</v>
      </c>
      <c r="X871" t="s">
        <v>321</v>
      </c>
      <c r="Y871" s="9" t="str">
        <f t="shared" ca="1" si="67"/>
        <v>Sin costo</v>
      </c>
      <c r="Z871" t="s">
        <v>327</v>
      </c>
      <c r="AA871" t="s">
        <v>329</v>
      </c>
      <c r="AB871" t="s">
        <v>334</v>
      </c>
      <c r="AC871" s="12" t="s">
        <v>339</v>
      </c>
      <c r="AE871" t="s">
        <v>268</v>
      </c>
      <c r="AG871" s="12" t="s">
        <v>268</v>
      </c>
      <c r="AH871" t="s">
        <v>92</v>
      </c>
      <c r="AI871" s="12" t="s">
        <v>268</v>
      </c>
      <c r="AJ871" t="s">
        <v>92</v>
      </c>
      <c r="AK871" t="s">
        <v>92</v>
      </c>
      <c r="AL871" t="s">
        <v>92</v>
      </c>
      <c r="AM871" s="12" t="s">
        <v>268</v>
      </c>
      <c r="AN871" s="12" t="s">
        <v>268</v>
      </c>
      <c r="AO871" s="12" t="s">
        <v>268</v>
      </c>
      <c r="AP871" s="12" t="s">
        <v>268</v>
      </c>
      <c r="AQ871" s="12" t="s">
        <v>268</v>
      </c>
      <c r="AR871" s="28" t="str">
        <f t="shared" ca="1" si="68"/>
        <v/>
      </c>
      <c r="AS871" s="28" t="str">
        <f t="shared" ca="1" si="69"/>
        <v/>
      </c>
    </row>
    <row r="872" spans="2:45" ht="27.6" customHeight="1">
      <c r="B872">
        <f t="shared" ca="1" si="65"/>
        <v>0</v>
      </c>
      <c r="C872" t="s">
        <v>85</v>
      </c>
      <c r="D872" t="s">
        <v>92</v>
      </c>
      <c r="E872" t="s">
        <v>92</v>
      </c>
      <c r="F872" t="s">
        <v>92</v>
      </c>
      <c r="G872" t="s">
        <v>92</v>
      </c>
      <c r="H872" t="s">
        <v>92</v>
      </c>
      <c r="I872" s="12" t="s">
        <v>268</v>
      </c>
      <c r="J872" t="s">
        <v>278</v>
      </c>
      <c r="L872" t="s">
        <v>92</v>
      </c>
      <c r="N872" s="14">
        <v>1</v>
      </c>
      <c r="P872" s="12" t="s">
        <v>268</v>
      </c>
      <c r="W872" s="9" t="str">
        <f t="shared" ca="1" si="66"/>
        <v>18.5%</v>
      </c>
      <c r="X872" t="s">
        <v>321</v>
      </c>
      <c r="Y872" s="9" t="str">
        <f t="shared" ca="1" si="67"/>
        <v>Sin costo</v>
      </c>
      <c r="Z872" t="s">
        <v>327</v>
      </c>
      <c r="AA872" t="s">
        <v>329</v>
      </c>
      <c r="AB872" t="s">
        <v>334</v>
      </c>
      <c r="AC872" s="12" t="s">
        <v>339</v>
      </c>
      <c r="AE872" t="s">
        <v>268</v>
      </c>
      <c r="AG872" s="12" t="s">
        <v>268</v>
      </c>
      <c r="AH872" t="s">
        <v>92</v>
      </c>
      <c r="AI872" s="12" t="s">
        <v>268</v>
      </c>
      <c r="AJ872" t="s">
        <v>92</v>
      </c>
      <c r="AK872" t="s">
        <v>92</v>
      </c>
      <c r="AL872" t="s">
        <v>92</v>
      </c>
      <c r="AM872" s="12" t="s">
        <v>268</v>
      </c>
      <c r="AN872" s="12" t="s">
        <v>268</v>
      </c>
      <c r="AO872" s="12" t="s">
        <v>268</v>
      </c>
      <c r="AP872" s="12" t="s">
        <v>268</v>
      </c>
      <c r="AQ872" s="12" t="s">
        <v>268</v>
      </c>
      <c r="AR872" s="28" t="str">
        <f t="shared" ca="1" si="68"/>
        <v/>
      </c>
      <c r="AS872" s="28" t="str">
        <f t="shared" ca="1" si="69"/>
        <v/>
      </c>
    </row>
    <row r="873" spans="2:45" ht="27.6" customHeight="1">
      <c r="B873">
        <f t="shared" ca="1" si="65"/>
        <v>0</v>
      </c>
      <c r="C873" t="s">
        <v>85</v>
      </c>
      <c r="D873" t="s">
        <v>92</v>
      </c>
      <c r="E873" t="s">
        <v>92</v>
      </c>
      <c r="F873" t="s">
        <v>92</v>
      </c>
      <c r="G873" t="s">
        <v>92</v>
      </c>
      <c r="H873" t="s">
        <v>92</v>
      </c>
      <c r="I873" s="12" t="s">
        <v>268</v>
      </c>
      <c r="J873" t="s">
        <v>278</v>
      </c>
      <c r="L873" t="s">
        <v>92</v>
      </c>
      <c r="N873" s="14">
        <v>1</v>
      </c>
      <c r="P873" s="12" t="s">
        <v>268</v>
      </c>
      <c r="W873" s="9" t="str">
        <f t="shared" ca="1" si="66"/>
        <v>18.5%</v>
      </c>
      <c r="X873" t="s">
        <v>321</v>
      </c>
      <c r="Y873" s="9" t="str">
        <f t="shared" ca="1" si="67"/>
        <v>Sin costo</v>
      </c>
      <c r="Z873" t="s">
        <v>327</v>
      </c>
      <c r="AA873" t="s">
        <v>329</v>
      </c>
      <c r="AB873" t="s">
        <v>334</v>
      </c>
      <c r="AC873" s="12" t="s">
        <v>339</v>
      </c>
      <c r="AE873" t="s">
        <v>268</v>
      </c>
      <c r="AG873" s="12" t="s">
        <v>268</v>
      </c>
      <c r="AH873" t="s">
        <v>92</v>
      </c>
      <c r="AI873" s="12" t="s">
        <v>268</v>
      </c>
      <c r="AJ873" t="s">
        <v>92</v>
      </c>
      <c r="AK873" t="s">
        <v>92</v>
      </c>
      <c r="AL873" t="s">
        <v>92</v>
      </c>
      <c r="AM873" s="12" t="s">
        <v>268</v>
      </c>
      <c r="AN873" s="12" t="s">
        <v>268</v>
      </c>
      <c r="AO873" s="12" t="s">
        <v>268</v>
      </c>
      <c r="AP873" s="12" t="s">
        <v>268</v>
      </c>
      <c r="AQ873" s="12" t="s">
        <v>268</v>
      </c>
      <c r="AR873" s="28" t="str">
        <f t="shared" ca="1" si="68"/>
        <v/>
      </c>
      <c r="AS873" s="28" t="str">
        <f t="shared" ca="1" si="69"/>
        <v/>
      </c>
    </row>
    <row r="874" spans="2:45" ht="27.6" customHeight="1">
      <c r="B874">
        <f t="shared" ca="1" si="65"/>
        <v>0</v>
      </c>
      <c r="C874" t="s">
        <v>85</v>
      </c>
      <c r="D874" t="s">
        <v>92</v>
      </c>
      <c r="E874" t="s">
        <v>92</v>
      </c>
      <c r="F874" t="s">
        <v>92</v>
      </c>
      <c r="G874" t="s">
        <v>92</v>
      </c>
      <c r="H874" t="s">
        <v>92</v>
      </c>
      <c r="I874" s="12" t="s">
        <v>268</v>
      </c>
      <c r="J874" t="s">
        <v>278</v>
      </c>
      <c r="L874" t="s">
        <v>92</v>
      </c>
      <c r="N874" s="14">
        <v>1</v>
      </c>
      <c r="P874" s="12" t="s">
        <v>268</v>
      </c>
      <c r="W874" s="9" t="str">
        <f t="shared" ca="1" si="66"/>
        <v>18.5%</v>
      </c>
      <c r="X874" t="s">
        <v>321</v>
      </c>
      <c r="Y874" s="9" t="str">
        <f t="shared" ca="1" si="67"/>
        <v>Sin costo</v>
      </c>
      <c r="Z874" t="s">
        <v>327</v>
      </c>
      <c r="AA874" t="s">
        <v>329</v>
      </c>
      <c r="AB874" t="s">
        <v>334</v>
      </c>
      <c r="AC874" s="12" t="s">
        <v>339</v>
      </c>
      <c r="AE874" t="s">
        <v>268</v>
      </c>
      <c r="AG874" s="12" t="s">
        <v>268</v>
      </c>
      <c r="AH874" t="s">
        <v>92</v>
      </c>
      <c r="AI874" s="12" t="s">
        <v>268</v>
      </c>
      <c r="AJ874" t="s">
        <v>92</v>
      </c>
      <c r="AK874" t="s">
        <v>92</v>
      </c>
      <c r="AL874" t="s">
        <v>92</v>
      </c>
      <c r="AM874" s="12" t="s">
        <v>268</v>
      </c>
      <c r="AN874" s="12" t="s">
        <v>268</v>
      </c>
      <c r="AO874" s="12" t="s">
        <v>268</v>
      </c>
      <c r="AP874" s="12" t="s">
        <v>268</v>
      </c>
      <c r="AQ874" s="12" t="s">
        <v>268</v>
      </c>
      <c r="AR874" s="28" t="str">
        <f t="shared" ca="1" si="68"/>
        <v/>
      </c>
      <c r="AS874" s="28" t="str">
        <f t="shared" ca="1" si="69"/>
        <v/>
      </c>
    </row>
    <row r="875" spans="2:45" ht="27.6" customHeight="1">
      <c r="B875">
        <f t="shared" ca="1" si="65"/>
        <v>0</v>
      </c>
      <c r="C875" t="s">
        <v>85</v>
      </c>
      <c r="D875" t="s">
        <v>92</v>
      </c>
      <c r="E875" t="s">
        <v>92</v>
      </c>
      <c r="F875" t="s">
        <v>92</v>
      </c>
      <c r="G875" t="s">
        <v>92</v>
      </c>
      <c r="H875" t="s">
        <v>92</v>
      </c>
      <c r="I875" s="12" t="s">
        <v>268</v>
      </c>
      <c r="J875" t="s">
        <v>278</v>
      </c>
      <c r="L875" t="s">
        <v>92</v>
      </c>
      <c r="N875" s="14">
        <v>1</v>
      </c>
      <c r="P875" s="12" t="s">
        <v>268</v>
      </c>
      <c r="W875" s="9" t="str">
        <f t="shared" ca="1" si="66"/>
        <v>18.5%</v>
      </c>
      <c r="X875" t="s">
        <v>321</v>
      </c>
      <c r="Y875" s="9" t="str">
        <f t="shared" ca="1" si="67"/>
        <v>Sin costo</v>
      </c>
      <c r="Z875" t="s">
        <v>327</v>
      </c>
      <c r="AA875" t="s">
        <v>329</v>
      </c>
      <c r="AB875" t="s">
        <v>334</v>
      </c>
      <c r="AC875" s="12" t="s">
        <v>339</v>
      </c>
      <c r="AE875" t="s">
        <v>268</v>
      </c>
      <c r="AG875" s="12" t="s">
        <v>268</v>
      </c>
      <c r="AH875" t="s">
        <v>92</v>
      </c>
      <c r="AI875" s="12" t="s">
        <v>268</v>
      </c>
      <c r="AJ875" t="s">
        <v>92</v>
      </c>
      <c r="AK875" t="s">
        <v>92</v>
      </c>
      <c r="AL875" t="s">
        <v>92</v>
      </c>
      <c r="AM875" s="12" t="s">
        <v>268</v>
      </c>
      <c r="AN875" s="12" t="s">
        <v>268</v>
      </c>
      <c r="AO875" s="12" t="s">
        <v>268</v>
      </c>
      <c r="AP875" s="12" t="s">
        <v>268</v>
      </c>
      <c r="AQ875" s="12" t="s">
        <v>268</v>
      </c>
      <c r="AR875" s="28" t="str">
        <f t="shared" ca="1" si="68"/>
        <v/>
      </c>
      <c r="AS875" s="28" t="str">
        <f t="shared" ca="1" si="69"/>
        <v/>
      </c>
    </row>
    <row r="876" spans="2:45" ht="27.6" customHeight="1">
      <c r="B876">
        <f t="shared" ca="1" si="65"/>
        <v>0</v>
      </c>
      <c r="C876" t="s">
        <v>85</v>
      </c>
      <c r="D876" t="s">
        <v>92</v>
      </c>
      <c r="E876" t="s">
        <v>92</v>
      </c>
      <c r="F876" t="s">
        <v>92</v>
      </c>
      <c r="G876" t="s">
        <v>92</v>
      </c>
      <c r="H876" t="s">
        <v>92</v>
      </c>
      <c r="I876" s="12" t="s">
        <v>268</v>
      </c>
      <c r="J876" t="s">
        <v>278</v>
      </c>
      <c r="L876" t="s">
        <v>92</v>
      </c>
      <c r="N876" s="14">
        <v>1</v>
      </c>
      <c r="P876" s="12" t="s">
        <v>268</v>
      </c>
      <c r="W876" s="9" t="str">
        <f t="shared" ca="1" si="66"/>
        <v>18.5%</v>
      </c>
      <c r="X876" t="s">
        <v>321</v>
      </c>
      <c r="Y876" s="9" t="str">
        <f t="shared" ca="1" si="67"/>
        <v>Sin costo</v>
      </c>
      <c r="Z876" t="s">
        <v>327</v>
      </c>
      <c r="AA876" t="s">
        <v>329</v>
      </c>
      <c r="AB876" t="s">
        <v>334</v>
      </c>
      <c r="AC876" s="12" t="s">
        <v>339</v>
      </c>
      <c r="AE876" t="s">
        <v>268</v>
      </c>
      <c r="AG876" s="12" t="s">
        <v>268</v>
      </c>
      <c r="AH876" t="s">
        <v>92</v>
      </c>
      <c r="AI876" s="12" t="s">
        <v>268</v>
      </c>
      <c r="AJ876" t="s">
        <v>92</v>
      </c>
      <c r="AK876" t="s">
        <v>92</v>
      </c>
      <c r="AL876" t="s">
        <v>92</v>
      </c>
      <c r="AM876" s="12" t="s">
        <v>268</v>
      </c>
      <c r="AN876" s="12" t="s">
        <v>268</v>
      </c>
      <c r="AO876" s="12" t="s">
        <v>268</v>
      </c>
      <c r="AP876" s="12" t="s">
        <v>268</v>
      </c>
      <c r="AQ876" s="12" t="s">
        <v>268</v>
      </c>
      <c r="AR876" s="28" t="str">
        <f t="shared" ca="1" si="68"/>
        <v/>
      </c>
      <c r="AS876" s="28" t="str">
        <f t="shared" ca="1" si="69"/>
        <v/>
      </c>
    </row>
    <row r="877" spans="2:45" ht="27.6" customHeight="1">
      <c r="B877">
        <f t="shared" ca="1" si="65"/>
        <v>0</v>
      </c>
      <c r="C877" t="s">
        <v>85</v>
      </c>
      <c r="D877" t="s">
        <v>92</v>
      </c>
      <c r="E877" t="s">
        <v>92</v>
      </c>
      <c r="F877" t="s">
        <v>92</v>
      </c>
      <c r="G877" t="s">
        <v>92</v>
      </c>
      <c r="H877" t="s">
        <v>92</v>
      </c>
      <c r="I877" s="12" t="s">
        <v>268</v>
      </c>
      <c r="J877" t="s">
        <v>278</v>
      </c>
      <c r="L877" t="s">
        <v>92</v>
      </c>
      <c r="N877" s="14">
        <v>1</v>
      </c>
      <c r="P877" s="12" t="s">
        <v>268</v>
      </c>
      <c r="W877" s="9" t="str">
        <f t="shared" ca="1" si="66"/>
        <v>18.5%</v>
      </c>
      <c r="X877" t="s">
        <v>321</v>
      </c>
      <c r="Y877" s="9" t="str">
        <f t="shared" ca="1" si="67"/>
        <v>Sin costo</v>
      </c>
      <c r="Z877" t="s">
        <v>327</v>
      </c>
      <c r="AA877" t="s">
        <v>329</v>
      </c>
      <c r="AB877" t="s">
        <v>334</v>
      </c>
      <c r="AC877" s="12" t="s">
        <v>339</v>
      </c>
      <c r="AE877" t="s">
        <v>268</v>
      </c>
      <c r="AG877" s="12" t="s">
        <v>268</v>
      </c>
      <c r="AH877" t="s">
        <v>92</v>
      </c>
      <c r="AI877" s="12" t="s">
        <v>268</v>
      </c>
      <c r="AJ877" t="s">
        <v>92</v>
      </c>
      <c r="AK877" t="s">
        <v>92</v>
      </c>
      <c r="AL877" t="s">
        <v>92</v>
      </c>
      <c r="AM877" s="12" t="s">
        <v>268</v>
      </c>
      <c r="AN877" s="12" t="s">
        <v>268</v>
      </c>
      <c r="AO877" s="12" t="s">
        <v>268</v>
      </c>
      <c r="AP877" s="12" t="s">
        <v>268</v>
      </c>
      <c r="AQ877" s="12" t="s">
        <v>268</v>
      </c>
      <c r="AR877" s="28" t="str">
        <f t="shared" ca="1" si="68"/>
        <v/>
      </c>
      <c r="AS877" s="28" t="str">
        <f t="shared" ca="1" si="69"/>
        <v/>
      </c>
    </row>
    <row r="878" spans="2:45" ht="27.6" customHeight="1">
      <c r="B878">
        <f t="shared" ca="1" si="65"/>
        <v>0</v>
      </c>
      <c r="C878" t="s">
        <v>85</v>
      </c>
      <c r="D878" t="s">
        <v>92</v>
      </c>
      <c r="E878" t="s">
        <v>92</v>
      </c>
      <c r="F878" t="s">
        <v>92</v>
      </c>
      <c r="G878" t="s">
        <v>92</v>
      </c>
      <c r="H878" t="s">
        <v>92</v>
      </c>
      <c r="I878" s="12" t="s">
        <v>268</v>
      </c>
      <c r="J878" t="s">
        <v>278</v>
      </c>
      <c r="L878" t="s">
        <v>92</v>
      </c>
      <c r="N878" s="14">
        <v>1</v>
      </c>
      <c r="P878" s="12" t="s">
        <v>268</v>
      </c>
      <c r="W878" s="9" t="str">
        <f t="shared" ca="1" si="66"/>
        <v>18.5%</v>
      </c>
      <c r="X878" t="s">
        <v>321</v>
      </c>
      <c r="Y878" s="9" t="str">
        <f t="shared" ca="1" si="67"/>
        <v>Sin costo</v>
      </c>
      <c r="Z878" t="s">
        <v>327</v>
      </c>
      <c r="AA878" t="s">
        <v>329</v>
      </c>
      <c r="AB878" t="s">
        <v>334</v>
      </c>
      <c r="AC878" s="12" t="s">
        <v>339</v>
      </c>
      <c r="AE878" t="s">
        <v>268</v>
      </c>
      <c r="AG878" s="12" t="s">
        <v>268</v>
      </c>
      <c r="AH878" t="s">
        <v>92</v>
      </c>
      <c r="AI878" s="12" t="s">
        <v>268</v>
      </c>
      <c r="AJ878" t="s">
        <v>92</v>
      </c>
      <c r="AK878" t="s">
        <v>92</v>
      </c>
      <c r="AL878" t="s">
        <v>92</v>
      </c>
      <c r="AM878" s="12" t="s">
        <v>268</v>
      </c>
      <c r="AN878" s="12" t="s">
        <v>268</v>
      </c>
      <c r="AO878" s="12" t="s">
        <v>268</v>
      </c>
      <c r="AP878" s="12" t="s">
        <v>268</v>
      </c>
      <c r="AQ878" s="12" t="s">
        <v>268</v>
      </c>
      <c r="AR878" s="28" t="str">
        <f t="shared" ca="1" si="68"/>
        <v/>
      </c>
      <c r="AS878" s="28" t="str">
        <f t="shared" ca="1" si="69"/>
        <v/>
      </c>
    </row>
    <row r="879" spans="2:45" ht="27.6" customHeight="1">
      <c r="B879">
        <f t="shared" ca="1" si="65"/>
        <v>0</v>
      </c>
      <c r="C879" t="s">
        <v>85</v>
      </c>
      <c r="D879" t="s">
        <v>92</v>
      </c>
      <c r="E879" t="s">
        <v>92</v>
      </c>
      <c r="F879" t="s">
        <v>92</v>
      </c>
      <c r="G879" t="s">
        <v>92</v>
      </c>
      <c r="H879" t="s">
        <v>92</v>
      </c>
      <c r="I879" s="12" t="s">
        <v>268</v>
      </c>
      <c r="J879" t="s">
        <v>278</v>
      </c>
      <c r="L879" t="s">
        <v>92</v>
      </c>
      <c r="N879" s="14">
        <v>1</v>
      </c>
      <c r="P879" s="12" t="s">
        <v>268</v>
      </c>
      <c r="W879" s="9" t="str">
        <f t="shared" ca="1" si="66"/>
        <v>18.5%</v>
      </c>
      <c r="X879" t="s">
        <v>321</v>
      </c>
      <c r="Y879" s="9" t="str">
        <f t="shared" ca="1" si="67"/>
        <v>Sin costo</v>
      </c>
      <c r="Z879" t="s">
        <v>327</v>
      </c>
      <c r="AA879" t="s">
        <v>329</v>
      </c>
      <c r="AB879" t="s">
        <v>334</v>
      </c>
      <c r="AC879" s="12" t="s">
        <v>339</v>
      </c>
      <c r="AE879" t="s">
        <v>268</v>
      </c>
      <c r="AG879" s="12" t="s">
        <v>268</v>
      </c>
      <c r="AH879" t="s">
        <v>92</v>
      </c>
      <c r="AI879" s="12" t="s">
        <v>268</v>
      </c>
      <c r="AJ879" t="s">
        <v>92</v>
      </c>
      <c r="AK879" t="s">
        <v>92</v>
      </c>
      <c r="AL879" t="s">
        <v>92</v>
      </c>
      <c r="AM879" s="12" t="s">
        <v>268</v>
      </c>
      <c r="AN879" s="12" t="s">
        <v>268</v>
      </c>
      <c r="AO879" s="12" t="s">
        <v>268</v>
      </c>
      <c r="AP879" s="12" t="s">
        <v>268</v>
      </c>
      <c r="AQ879" s="12" t="s">
        <v>268</v>
      </c>
      <c r="AR879" s="28" t="str">
        <f t="shared" ca="1" si="68"/>
        <v/>
      </c>
      <c r="AS879" s="28" t="str">
        <f t="shared" ca="1" si="69"/>
        <v/>
      </c>
    </row>
    <row r="880" spans="2:45" ht="27.6" customHeight="1">
      <c r="B880">
        <f t="shared" ca="1" si="65"/>
        <v>0</v>
      </c>
      <c r="C880" t="s">
        <v>85</v>
      </c>
      <c r="D880" t="s">
        <v>92</v>
      </c>
      <c r="E880" t="s">
        <v>92</v>
      </c>
      <c r="F880" t="s">
        <v>92</v>
      </c>
      <c r="G880" t="s">
        <v>92</v>
      </c>
      <c r="H880" t="s">
        <v>92</v>
      </c>
      <c r="I880" s="12" t="s">
        <v>268</v>
      </c>
      <c r="J880" t="s">
        <v>278</v>
      </c>
      <c r="L880" t="s">
        <v>92</v>
      </c>
      <c r="N880" s="14">
        <v>1</v>
      </c>
      <c r="P880" s="12" t="s">
        <v>268</v>
      </c>
      <c r="W880" s="9" t="str">
        <f t="shared" ca="1" si="66"/>
        <v>18.5%</v>
      </c>
      <c r="X880" t="s">
        <v>321</v>
      </c>
      <c r="Y880" s="9" t="str">
        <f t="shared" ca="1" si="67"/>
        <v>Sin costo</v>
      </c>
      <c r="Z880" t="s">
        <v>327</v>
      </c>
      <c r="AA880" t="s">
        <v>329</v>
      </c>
      <c r="AB880" t="s">
        <v>334</v>
      </c>
      <c r="AC880" s="12" t="s">
        <v>339</v>
      </c>
      <c r="AE880" t="s">
        <v>268</v>
      </c>
      <c r="AG880" s="12" t="s">
        <v>268</v>
      </c>
      <c r="AH880" t="s">
        <v>92</v>
      </c>
      <c r="AI880" s="12" t="s">
        <v>268</v>
      </c>
      <c r="AJ880" t="s">
        <v>92</v>
      </c>
      <c r="AK880" t="s">
        <v>92</v>
      </c>
      <c r="AL880" t="s">
        <v>92</v>
      </c>
      <c r="AM880" s="12" t="s">
        <v>268</v>
      </c>
      <c r="AN880" s="12" t="s">
        <v>268</v>
      </c>
      <c r="AO880" s="12" t="s">
        <v>268</v>
      </c>
      <c r="AP880" s="12" t="s">
        <v>268</v>
      </c>
      <c r="AQ880" s="12" t="s">
        <v>268</v>
      </c>
      <c r="AR880" s="28" t="str">
        <f t="shared" ca="1" si="68"/>
        <v/>
      </c>
      <c r="AS880" s="28" t="str">
        <f t="shared" ca="1" si="69"/>
        <v/>
      </c>
    </row>
    <row r="881" spans="2:45" ht="27.6" customHeight="1">
      <c r="B881">
        <f t="shared" ca="1" si="65"/>
        <v>0</v>
      </c>
      <c r="C881" t="s">
        <v>85</v>
      </c>
      <c r="D881" t="s">
        <v>92</v>
      </c>
      <c r="E881" t="s">
        <v>92</v>
      </c>
      <c r="F881" t="s">
        <v>92</v>
      </c>
      <c r="G881" t="s">
        <v>92</v>
      </c>
      <c r="H881" t="s">
        <v>92</v>
      </c>
      <c r="I881" s="12" t="s">
        <v>268</v>
      </c>
      <c r="J881" t="s">
        <v>278</v>
      </c>
      <c r="L881" t="s">
        <v>92</v>
      </c>
      <c r="N881" s="14">
        <v>1</v>
      </c>
      <c r="P881" s="12" t="s">
        <v>268</v>
      </c>
      <c r="W881" s="9" t="str">
        <f t="shared" ca="1" si="66"/>
        <v>18.5%</v>
      </c>
      <c r="X881" t="s">
        <v>321</v>
      </c>
      <c r="Y881" s="9" t="str">
        <f t="shared" ca="1" si="67"/>
        <v>Sin costo</v>
      </c>
      <c r="Z881" t="s">
        <v>327</v>
      </c>
      <c r="AA881" t="s">
        <v>329</v>
      </c>
      <c r="AB881" t="s">
        <v>334</v>
      </c>
      <c r="AC881" s="12" t="s">
        <v>339</v>
      </c>
      <c r="AE881" t="s">
        <v>268</v>
      </c>
      <c r="AG881" s="12" t="s">
        <v>268</v>
      </c>
      <c r="AH881" t="s">
        <v>92</v>
      </c>
      <c r="AI881" s="12" t="s">
        <v>268</v>
      </c>
      <c r="AJ881" t="s">
        <v>92</v>
      </c>
      <c r="AK881" t="s">
        <v>92</v>
      </c>
      <c r="AL881" t="s">
        <v>92</v>
      </c>
      <c r="AM881" s="12" t="s">
        <v>268</v>
      </c>
      <c r="AN881" s="12" t="s">
        <v>268</v>
      </c>
      <c r="AO881" s="12" t="s">
        <v>268</v>
      </c>
      <c r="AP881" s="12" t="s">
        <v>268</v>
      </c>
      <c r="AQ881" s="12" t="s">
        <v>268</v>
      </c>
      <c r="AR881" s="28" t="str">
        <f t="shared" ca="1" si="68"/>
        <v/>
      </c>
      <c r="AS881" s="28" t="str">
        <f t="shared" ca="1" si="69"/>
        <v/>
      </c>
    </row>
    <row r="882" spans="2:45" ht="27.6" customHeight="1">
      <c r="B882">
        <f t="shared" ca="1" si="65"/>
        <v>0</v>
      </c>
      <c r="C882" t="s">
        <v>85</v>
      </c>
      <c r="D882" t="s">
        <v>92</v>
      </c>
      <c r="E882" t="s">
        <v>92</v>
      </c>
      <c r="F882" t="s">
        <v>92</v>
      </c>
      <c r="G882" t="s">
        <v>92</v>
      </c>
      <c r="H882" t="s">
        <v>92</v>
      </c>
      <c r="I882" s="12" t="s">
        <v>268</v>
      </c>
      <c r="J882" t="s">
        <v>278</v>
      </c>
      <c r="L882" t="s">
        <v>92</v>
      </c>
      <c r="N882" s="14">
        <v>1</v>
      </c>
      <c r="P882" s="12" t="s">
        <v>268</v>
      </c>
      <c r="W882" s="9" t="str">
        <f t="shared" ca="1" si="66"/>
        <v>18.5%</v>
      </c>
      <c r="X882" t="s">
        <v>321</v>
      </c>
      <c r="Y882" s="9" t="str">
        <f t="shared" ca="1" si="67"/>
        <v>Sin costo</v>
      </c>
      <c r="Z882" t="s">
        <v>327</v>
      </c>
      <c r="AA882" t="s">
        <v>329</v>
      </c>
      <c r="AB882" t="s">
        <v>334</v>
      </c>
      <c r="AC882" s="12" t="s">
        <v>339</v>
      </c>
      <c r="AE882" t="s">
        <v>268</v>
      </c>
      <c r="AG882" s="12" t="s">
        <v>268</v>
      </c>
      <c r="AH882" t="s">
        <v>92</v>
      </c>
      <c r="AI882" s="12" t="s">
        <v>268</v>
      </c>
      <c r="AJ882" t="s">
        <v>92</v>
      </c>
      <c r="AK882" t="s">
        <v>92</v>
      </c>
      <c r="AL882" t="s">
        <v>92</v>
      </c>
      <c r="AM882" s="12" t="s">
        <v>268</v>
      </c>
      <c r="AN882" s="12" t="s">
        <v>268</v>
      </c>
      <c r="AO882" s="12" t="s">
        <v>268</v>
      </c>
      <c r="AP882" s="12" t="s">
        <v>268</v>
      </c>
      <c r="AQ882" s="12" t="s">
        <v>268</v>
      </c>
      <c r="AR882" s="28" t="str">
        <f t="shared" ca="1" si="68"/>
        <v/>
      </c>
      <c r="AS882" s="28" t="str">
        <f t="shared" ca="1" si="69"/>
        <v/>
      </c>
    </row>
    <row r="883" spans="2:45" ht="27.6" customHeight="1">
      <c r="B883">
        <f t="shared" ca="1" si="65"/>
        <v>0</v>
      </c>
      <c r="C883" t="s">
        <v>85</v>
      </c>
      <c r="D883" t="s">
        <v>92</v>
      </c>
      <c r="E883" t="s">
        <v>92</v>
      </c>
      <c r="F883" t="s">
        <v>92</v>
      </c>
      <c r="G883" t="s">
        <v>92</v>
      </c>
      <c r="H883" t="s">
        <v>92</v>
      </c>
      <c r="I883" s="12" t="s">
        <v>268</v>
      </c>
      <c r="J883" t="s">
        <v>278</v>
      </c>
      <c r="L883" t="s">
        <v>92</v>
      </c>
      <c r="N883" s="14">
        <v>1</v>
      </c>
      <c r="P883" s="12" t="s">
        <v>268</v>
      </c>
      <c r="W883" s="9" t="str">
        <f t="shared" ca="1" si="66"/>
        <v>18.5%</v>
      </c>
      <c r="X883" t="s">
        <v>321</v>
      </c>
      <c r="Y883" s="9" t="str">
        <f t="shared" ca="1" si="67"/>
        <v>Sin costo</v>
      </c>
      <c r="Z883" t="s">
        <v>327</v>
      </c>
      <c r="AA883" t="s">
        <v>329</v>
      </c>
      <c r="AB883" t="s">
        <v>334</v>
      </c>
      <c r="AC883" s="12" t="s">
        <v>339</v>
      </c>
      <c r="AE883" t="s">
        <v>268</v>
      </c>
      <c r="AG883" s="12" t="s">
        <v>268</v>
      </c>
      <c r="AH883" t="s">
        <v>92</v>
      </c>
      <c r="AI883" s="12" t="s">
        <v>268</v>
      </c>
      <c r="AJ883" t="s">
        <v>92</v>
      </c>
      <c r="AK883" t="s">
        <v>92</v>
      </c>
      <c r="AL883" t="s">
        <v>92</v>
      </c>
      <c r="AM883" s="12" t="s">
        <v>268</v>
      </c>
      <c r="AN883" s="12" t="s">
        <v>268</v>
      </c>
      <c r="AO883" s="12" t="s">
        <v>268</v>
      </c>
      <c r="AP883" s="12" t="s">
        <v>268</v>
      </c>
      <c r="AQ883" s="12" t="s">
        <v>268</v>
      </c>
      <c r="AR883" s="28" t="str">
        <f t="shared" ca="1" si="68"/>
        <v/>
      </c>
      <c r="AS883" s="28" t="str">
        <f t="shared" ca="1" si="69"/>
        <v/>
      </c>
    </row>
    <row r="884" spans="2:45" ht="27.6" customHeight="1">
      <c r="B884">
        <f t="shared" ca="1" si="65"/>
        <v>0</v>
      </c>
      <c r="C884" t="s">
        <v>85</v>
      </c>
      <c r="D884" t="s">
        <v>92</v>
      </c>
      <c r="E884" t="s">
        <v>92</v>
      </c>
      <c r="F884" t="s">
        <v>92</v>
      </c>
      <c r="G884" t="s">
        <v>92</v>
      </c>
      <c r="H884" t="s">
        <v>92</v>
      </c>
      <c r="I884" s="12" t="s">
        <v>268</v>
      </c>
      <c r="J884" t="s">
        <v>278</v>
      </c>
      <c r="L884" t="s">
        <v>92</v>
      </c>
      <c r="N884" s="14">
        <v>1</v>
      </c>
      <c r="P884" s="12" t="s">
        <v>268</v>
      </c>
      <c r="W884" s="9" t="str">
        <f t="shared" ca="1" si="66"/>
        <v>18.5%</v>
      </c>
      <c r="X884" t="s">
        <v>321</v>
      </c>
      <c r="Y884" s="9" t="str">
        <f t="shared" ca="1" si="67"/>
        <v>Sin costo</v>
      </c>
      <c r="Z884" t="s">
        <v>327</v>
      </c>
      <c r="AA884" t="s">
        <v>329</v>
      </c>
      <c r="AB884" t="s">
        <v>334</v>
      </c>
      <c r="AC884" s="12" t="s">
        <v>339</v>
      </c>
      <c r="AE884" t="s">
        <v>268</v>
      </c>
      <c r="AG884" s="12" t="s">
        <v>268</v>
      </c>
      <c r="AH884" t="s">
        <v>92</v>
      </c>
      <c r="AI884" s="12" t="s">
        <v>268</v>
      </c>
      <c r="AJ884" t="s">
        <v>92</v>
      </c>
      <c r="AK884" t="s">
        <v>92</v>
      </c>
      <c r="AL884" t="s">
        <v>92</v>
      </c>
      <c r="AM884" s="12" t="s">
        <v>268</v>
      </c>
      <c r="AN884" s="12" t="s">
        <v>268</v>
      </c>
      <c r="AO884" s="12" t="s">
        <v>268</v>
      </c>
      <c r="AP884" s="12" t="s">
        <v>268</v>
      </c>
      <c r="AQ884" s="12" t="s">
        <v>268</v>
      </c>
      <c r="AR884" s="28" t="str">
        <f t="shared" ca="1" si="68"/>
        <v/>
      </c>
      <c r="AS884" s="28" t="str">
        <f t="shared" ca="1" si="69"/>
        <v/>
      </c>
    </row>
    <row r="885" spans="2:45" ht="27.6" customHeight="1">
      <c r="B885">
        <f t="shared" ca="1" si="65"/>
        <v>0</v>
      </c>
      <c r="C885" t="s">
        <v>85</v>
      </c>
      <c r="D885" t="s">
        <v>92</v>
      </c>
      <c r="E885" t="s">
        <v>92</v>
      </c>
      <c r="F885" t="s">
        <v>92</v>
      </c>
      <c r="G885" t="s">
        <v>92</v>
      </c>
      <c r="H885" t="s">
        <v>92</v>
      </c>
      <c r="I885" s="12" t="s">
        <v>268</v>
      </c>
      <c r="J885" t="s">
        <v>278</v>
      </c>
      <c r="L885" t="s">
        <v>92</v>
      </c>
      <c r="N885" s="14">
        <v>1</v>
      </c>
      <c r="P885" s="12" t="s">
        <v>268</v>
      </c>
      <c r="W885" s="9" t="str">
        <f t="shared" ca="1" si="66"/>
        <v>18.5%</v>
      </c>
      <c r="X885" t="s">
        <v>321</v>
      </c>
      <c r="Y885" s="9" t="str">
        <f t="shared" ca="1" si="67"/>
        <v>Sin costo</v>
      </c>
      <c r="Z885" t="s">
        <v>327</v>
      </c>
      <c r="AA885" t="s">
        <v>329</v>
      </c>
      <c r="AB885" t="s">
        <v>334</v>
      </c>
      <c r="AC885" s="12" t="s">
        <v>339</v>
      </c>
      <c r="AE885" t="s">
        <v>268</v>
      </c>
      <c r="AG885" s="12" t="s">
        <v>268</v>
      </c>
      <c r="AH885" t="s">
        <v>92</v>
      </c>
      <c r="AI885" s="12" t="s">
        <v>268</v>
      </c>
      <c r="AJ885" t="s">
        <v>92</v>
      </c>
      <c r="AK885" t="s">
        <v>92</v>
      </c>
      <c r="AL885" t="s">
        <v>92</v>
      </c>
      <c r="AM885" s="12" t="s">
        <v>268</v>
      </c>
      <c r="AN885" s="12" t="s">
        <v>268</v>
      </c>
      <c r="AO885" s="12" t="s">
        <v>268</v>
      </c>
      <c r="AP885" s="12" t="s">
        <v>268</v>
      </c>
      <c r="AQ885" s="12" t="s">
        <v>268</v>
      </c>
      <c r="AR885" s="28" t="str">
        <f t="shared" ca="1" si="68"/>
        <v/>
      </c>
      <c r="AS885" s="28" t="str">
        <f t="shared" ca="1" si="69"/>
        <v/>
      </c>
    </row>
    <row r="886" spans="2:45" ht="27.6" customHeight="1">
      <c r="B886">
        <f t="shared" ca="1" si="65"/>
        <v>0</v>
      </c>
      <c r="C886" t="s">
        <v>85</v>
      </c>
      <c r="D886" t="s">
        <v>92</v>
      </c>
      <c r="E886" t="s">
        <v>92</v>
      </c>
      <c r="F886" t="s">
        <v>92</v>
      </c>
      <c r="G886" t="s">
        <v>92</v>
      </c>
      <c r="H886" t="s">
        <v>92</v>
      </c>
      <c r="I886" s="12" t="s">
        <v>268</v>
      </c>
      <c r="J886" t="s">
        <v>278</v>
      </c>
      <c r="L886" t="s">
        <v>92</v>
      </c>
      <c r="N886" s="14">
        <v>1</v>
      </c>
      <c r="P886" s="12" t="s">
        <v>268</v>
      </c>
      <c r="W886" s="9" t="str">
        <f t="shared" ca="1" si="66"/>
        <v>18.5%</v>
      </c>
      <c r="X886" t="s">
        <v>321</v>
      </c>
      <c r="Y886" s="9" t="str">
        <f t="shared" ca="1" si="67"/>
        <v>Sin costo</v>
      </c>
      <c r="Z886" t="s">
        <v>327</v>
      </c>
      <c r="AA886" t="s">
        <v>329</v>
      </c>
      <c r="AB886" t="s">
        <v>334</v>
      </c>
      <c r="AC886" s="12" t="s">
        <v>339</v>
      </c>
      <c r="AE886" t="s">
        <v>268</v>
      </c>
      <c r="AG886" s="12" t="s">
        <v>268</v>
      </c>
      <c r="AH886" t="s">
        <v>92</v>
      </c>
      <c r="AI886" s="12" t="s">
        <v>268</v>
      </c>
      <c r="AJ886" t="s">
        <v>92</v>
      </c>
      <c r="AK886" t="s">
        <v>92</v>
      </c>
      <c r="AL886" t="s">
        <v>92</v>
      </c>
      <c r="AM886" s="12" t="s">
        <v>268</v>
      </c>
      <c r="AN886" s="12" t="s">
        <v>268</v>
      </c>
      <c r="AO886" s="12" t="s">
        <v>268</v>
      </c>
      <c r="AP886" s="12" t="s">
        <v>268</v>
      </c>
      <c r="AQ886" s="12" t="s">
        <v>268</v>
      </c>
      <c r="AR886" s="28" t="str">
        <f t="shared" ca="1" si="68"/>
        <v/>
      </c>
      <c r="AS886" s="28" t="str">
        <f t="shared" ca="1" si="69"/>
        <v/>
      </c>
    </row>
    <row r="887" spans="2:45" ht="27.6" customHeight="1">
      <c r="B887">
        <f t="shared" ca="1" si="65"/>
        <v>0</v>
      </c>
      <c r="C887" t="s">
        <v>85</v>
      </c>
      <c r="D887" t="s">
        <v>92</v>
      </c>
      <c r="E887" t="s">
        <v>92</v>
      </c>
      <c r="F887" t="s">
        <v>92</v>
      </c>
      <c r="G887" t="s">
        <v>92</v>
      </c>
      <c r="H887" t="s">
        <v>92</v>
      </c>
      <c r="I887" s="12" t="s">
        <v>268</v>
      </c>
      <c r="J887" t="s">
        <v>278</v>
      </c>
      <c r="L887" t="s">
        <v>92</v>
      </c>
      <c r="N887" s="14">
        <v>1</v>
      </c>
      <c r="P887" s="12" t="s">
        <v>268</v>
      </c>
      <c r="W887" s="9" t="str">
        <f t="shared" ca="1" si="66"/>
        <v>18.5%</v>
      </c>
      <c r="X887" t="s">
        <v>321</v>
      </c>
      <c r="Y887" s="9" t="str">
        <f t="shared" ca="1" si="67"/>
        <v>Sin costo</v>
      </c>
      <c r="Z887" t="s">
        <v>327</v>
      </c>
      <c r="AA887" t="s">
        <v>329</v>
      </c>
      <c r="AB887" t="s">
        <v>334</v>
      </c>
      <c r="AC887" s="12" t="s">
        <v>339</v>
      </c>
      <c r="AE887" t="s">
        <v>268</v>
      </c>
      <c r="AG887" s="12" t="s">
        <v>268</v>
      </c>
      <c r="AH887" t="s">
        <v>92</v>
      </c>
      <c r="AI887" s="12" t="s">
        <v>268</v>
      </c>
      <c r="AJ887" t="s">
        <v>92</v>
      </c>
      <c r="AK887" t="s">
        <v>92</v>
      </c>
      <c r="AL887" t="s">
        <v>92</v>
      </c>
      <c r="AM887" s="12" t="s">
        <v>268</v>
      </c>
      <c r="AN887" s="12" t="s">
        <v>268</v>
      </c>
      <c r="AO887" s="12" t="s">
        <v>268</v>
      </c>
      <c r="AP887" s="12" t="s">
        <v>268</v>
      </c>
      <c r="AQ887" s="12" t="s">
        <v>268</v>
      </c>
      <c r="AR887" s="28" t="str">
        <f t="shared" ca="1" si="68"/>
        <v/>
      </c>
      <c r="AS887" s="28" t="str">
        <f t="shared" ca="1" si="69"/>
        <v/>
      </c>
    </row>
    <row r="888" spans="2:45" ht="27.6" customHeight="1">
      <c r="B888">
        <f t="shared" ca="1" si="65"/>
        <v>0</v>
      </c>
      <c r="C888" t="s">
        <v>85</v>
      </c>
      <c r="D888" t="s">
        <v>92</v>
      </c>
      <c r="E888" t="s">
        <v>92</v>
      </c>
      <c r="F888" t="s">
        <v>92</v>
      </c>
      <c r="G888" t="s">
        <v>92</v>
      </c>
      <c r="H888" t="s">
        <v>92</v>
      </c>
      <c r="I888" s="12" t="s">
        <v>268</v>
      </c>
      <c r="J888" t="s">
        <v>278</v>
      </c>
      <c r="L888" t="s">
        <v>92</v>
      </c>
      <c r="N888" s="14">
        <v>1</v>
      </c>
      <c r="P888" s="12" t="s">
        <v>268</v>
      </c>
      <c r="W888" s="9" t="str">
        <f t="shared" ca="1" si="66"/>
        <v>18.5%</v>
      </c>
      <c r="X888" t="s">
        <v>321</v>
      </c>
      <c r="Y888" s="9" t="str">
        <f t="shared" ca="1" si="67"/>
        <v>Sin costo</v>
      </c>
      <c r="Z888" t="s">
        <v>327</v>
      </c>
      <c r="AA888" t="s">
        <v>329</v>
      </c>
      <c r="AB888" t="s">
        <v>334</v>
      </c>
      <c r="AC888" s="12" t="s">
        <v>339</v>
      </c>
      <c r="AE888" t="s">
        <v>268</v>
      </c>
      <c r="AG888" s="12" t="s">
        <v>268</v>
      </c>
      <c r="AH888" t="s">
        <v>92</v>
      </c>
      <c r="AI888" s="12" t="s">
        <v>268</v>
      </c>
      <c r="AJ888" t="s">
        <v>92</v>
      </c>
      <c r="AK888" t="s">
        <v>92</v>
      </c>
      <c r="AL888" t="s">
        <v>92</v>
      </c>
      <c r="AM888" s="12" t="s">
        <v>268</v>
      </c>
      <c r="AN888" s="12" t="s">
        <v>268</v>
      </c>
      <c r="AO888" s="12" t="s">
        <v>268</v>
      </c>
      <c r="AP888" s="12" t="s">
        <v>268</v>
      </c>
      <c r="AQ888" s="12" t="s">
        <v>268</v>
      </c>
      <c r="AR888" s="28" t="str">
        <f t="shared" ca="1" si="68"/>
        <v/>
      </c>
      <c r="AS888" s="28" t="str">
        <f t="shared" ca="1" si="69"/>
        <v/>
      </c>
    </row>
    <row r="889" spans="2:45" ht="27.6" customHeight="1">
      <c r="B889">
        <f t="shared" ca="1" si="65"/>
        <v>0</v>
      </c>
      <c r="C889" t="s">
        <v>85</v>
      </c>
      <c r="D889" t="s">
        <v>92</v>
      </c>
      <c r="E889" t="s">
        <v>92</v>
      </c>
      <c r="F889" t="s">
        <v>92</v>
      </c>
      <c r="G889" t="s">
        <v>92</v>
      </c>
      <c r="H889" t="s">
        <v>92</v>
      </c>
      <c r="I889" s="12" t="s">
        <v>268</v>
      </c>
      <c r="J889" t="s">
        <v>278</v>
      </c>
      <c r="L889" t="s">
        <v>92</v>
      </c>
      <c r="N889" s="14">
        <v>1</v>
      </c>
      <c r="P889" s="12" t="s">
        <v>268</v>
      </c>
      <c r="W889" s="9" t="str">
        <f t="shared" ca="1" si="66"/>
        <v>18.5%</v>
      </c>
      <c r="X889" t="s">
        <v>321</v>
      </c>
      <c r="Y889" s="9" t="str">
        <f t="shared" ca="1" si="67"/>
        <v>Sin costo</v>
      </c>
      <c r="Z889" t="s">
        <v>327</v>
      </c>
      <c r="AA889" t="s">
        <v>329</v>
      </c>
      <c r="AB889" t="s">
        <v>334</v>
      </c>
      <c r="AC889" s="12" t="s">
        <v>339</v>
      </c>
      <c r="AE889" t="s">
        <v>268</v>
      </c>
      <c r="AG889" s="12" t="s">
        <v>268</v>
      </c>
      <c r="AH889" t="s">
        <v>92</v>
      </c>
      <c r="AI889" s="12" t="s">
        <v>268</v>
      </c>
      <c r="AJ889" t="s">
        <v>92</v>
      </c>
      <c r="AK889" t="s">
        <v>92</v>
      </c>
      <c r="AL889" t="s">
        <v>92</v>
      </c>
      <c r="AM889" s="12" t="s">
        <v>268</v>
      </c>
      <c r="AN889" s="12" t="s">
        <v>268</v>
      </c>
      <c r="AO889" s="12" t="s">
        <v>268</v>
      </c>
      <c r="AP889" s="12" t="s">
        <v>268</v>
      </c>
      <c r="AQ889" s="12" t="s">
        <v>268</v>
      </c>
      <c r="AR889" s="28" t="str">
        <f t="shared" ca="1" si="68"/>
        <v/>
      </c>
      <c r="AS889" s="28" t="str">
        <f t="shared" ca="1" si="69"/>
        <v/>
      </c>
    </row>
    <row r="890" spans="2:45" ht="27.6" customHeight="1">
      <c r="B890">
        <f t="shared" ca="1" si="65"/>
        <v>0</v>
      </c>
      <c r="C890" t="s">
        <v>85</v>
      </c>
      <c r="D890" t="s">
        <v>92</v>
      </c>
      <c r="E890" t="s">
        <v>92</v>
      </c>
      <c r="F890" t="s">
        <v>92</v>
      </c>
      <c r="G890" t="s">
        <v>92</v>
      </c>
      <c r="H890" t="s">
        <v>92</v>
      </c>
      <c r="I890" s="12" t="s">
        <v>268</v>
      </c>
      <c r="J890" t="s">
        <v>278</v>
      </c>
      <c r="L890" t="s">
        <v>92</v>
      </c>
      <c r="N890" s="14">
        <v>1</v>
      </c>
      <c r="P890" s="12" t="s">
        <v>268</v>
      </c>
      <c r="W890" s="9" t="str">
        <f t="shared" ca="1" si="66"/>
        <v>18.5%</v>
      </c>
      <c r="X890" t="s">
        <v>321</v>
      </c>
      <c r="Y890" s="9" t="str">
        <f t="shared" ca="1" si="67"/>
        <v>Sin costo</v>
      </c>
      <c r="Z890" t="s">
        <v>327</v>
      </c>
      <c r="AA890" t="s">
        <v>329</v>
      </c>
      <c r="AB890" t="s">
        <v>334</v>
      </c>
      <c r="AC890" s="12" t="s">
        <v>339</v>
      </c>
      <c r="AE890" t="s">
        <v>268</v>
      </c>
      <c r="AG890" s="12" t="s">
        <v>268</v>
      </c>
      <c r="AH890" t="s">
        <v>92</v>
      </c>
      <c r="AI890" s="12" t="s">
        <v>268</v>
      </c>
      <c r="AJ890" t="s">
        <v>92</v>
      </c>
      <c r="AK890" t="s">
        <v>92</v>
      </c>
      <c r="AL890" t="s">
        <v>92</v>
      </c>
      <c r="AM890" s="12" t="s">
        <v>268</v>
      </c>
      <c r="AN890" s="12" t="s">
        <v>268</v>
      </c>
      <c r="AO890" s="12" t="s">
        <v>268</v>
      </c>
      <c r="AP890" s="12" t="s">
        <v>268</v>
      </c>
      <c r="AQ890" s="12" t="s">
        <v>268</v>
      </c>
      <c r="AR890" s="28" t="str">
        <f t="shared" ca="1" si="68"/>
        <v/>
      </c>
      <c r="AS890" s="28" t="str">
        <f t="shared" ca="1" si="69"/>
        <v/>
      </c>
    </row>
    <row r="891" spans="2:45" ht="27.6" customHeight="1">
      <c r="B891">
        <f t="shared" ca="1" si="65"/>
        <v>0</v>
      </c>
      <c r="C891" t="s">
        <v>85</v>
      </c>
      <c r="D891" t="s">
        <v>92</v>
      </c>
      <c r="E891" t="s">
        <v>92</v>
      </c>
      <c r="F891" t="s">
        <v>92</v>
      </c>
      <c r="G891" t="s">
        <v>92</v>
      </c>
      <c r="H891" t="s">
        <v>92</v>
      </c>
      <c r="I891" s="12" t="s">
        <v>268</v>
      </c>
      <c r="J891" t="s">
        <v>278</v>
      </c>
      <c r="L891" t="s">
        <v>92</v>
      </c>
      <c r="N891" s="14">
        <v>1</v>
      </c>
      <c r="P891" s="12" t="s">
        <v>268</v>
      </c>
      <c r="W891" s="9" t="str">
        <f t="shared" ca="1" si="66"/>
        <v>18.5%</v>
      </c>
      <c r="X891" t="s">
        <v>321</v>
      </c>
      <c r="Y891" s="9" t="str">
        <f t="shared" ca="1" si="67"/>
        <v>Sin costo</v>
      </c>
      <c r="Z891" t="s">
        <v>327</v>
      </c>
      <c r="AA891" t="s">
        <v>329</v>
      </c>
      <c r="AB891" t="s">
        <v>334</v>
      </c>
      <c r="AC891" s="12" t="s">
        <v>339</v>
      </c>
      <c r="AE891" t="s">
        <v>268</v>
      </c>
      <c r="AG891" s="12" t="s">
        <v>268</v>
      </c>
      <c r="AH891" t="s">
        <v>92</v>
      </c>
      <c r="AI891" s="12" t="s">
        <v>268</v>
      </c>
      <c r="AJ891" t="s">
        <v>92</v>
      </c>
      <c r="AK891" t="s">
        <v>92</v>
      </c>
      <c r="AL891" t="s">
        <v>92</v>
      </c>
      <c r="AM891" s="12" t="s">
        <v>268</v>
      </c>
      <c r="AN891" s="12" t="s">
        <v>268</v>
      </c>
      <c r="AO891" s="12" t="s">
        <v>268</v>
      </c>
      <c r="AP891" s="12" t="s">
        <v>268</v>
      </c>
      <c r="AQ891" s="12" t="s">
        <v>268</v>
      </c>
      <c r="AR891" s="28" t="str">
        <f t="shared" ca="1" si="68"/>
        <v/>
      </c>
      <c r="AS891" s="28" t="str">
        <f t="shared" ca="1" si="69"/>
        <v/>
      </c>
    </row>
    <row r="892" spans="2:45" ht="27.6" customHeight="1">
      <c r="B892">
        <f t="shared" ca="1" si="65"/>
        <v>0</v>
      </c>
      <c r="C892" t="s">
        <v>85</v>
      </c>
      <c r="D892" t="s">
        <v>92</v>
      </c>
      <c r="E892" t="s">
        <v>92</v>
      </c>
      <c r="F892" t="s">
        <v>92</v>
      </c>
      <c r="G892" t="s">
        <v>92</v>
      </c>
      <c r="H892" t="s">
        <v>92</v>
      </c>
      <c r="I892" s="12" t="s">
        <v>268</v>
      </c>
      <c r="J892" t="s">
        <v>278</v>
      </c>
      <c r="L892" t="s">
        <v>92</v>
      </c>
      <c r="N892" s="14">
        <v>1</v>
      </c>
      <c r="P892" s="12" t="s">
        <v>268</v>
      </c>
      <c r="W892" s="9" t="str">
        <f t="shared" ca="1" si="66"/>
        <v>18.5%</v>
      </c>
      <c r="X892" t="s">
        <v>321</v>
      </c>
      <c r="Y892" s="9" t="str">
        <f t="shared" ca="1" si="67"/>
        <v>Sin costo</v>
      </c>
      <c r="Z892" t="s">
        <v>327</v>
      </c>
      <c r="AA892" t="s">
        <v>329</v>
      </c>
      <c r="AB892" t="s">
        <v>334</v>
      </c>
      <c r="AC892" s="12" t="s">
        <v>339</v>
      </c>
      <c r="AE892" t="s">
        <v>268</v>
      </c>
      <c r="AG892" s="12" t="s">
        <v>268</v>
      </c>
      <c r="AH892" t="s">
        <v>92</v>
      </c>
      <c r="AI892" s="12" t="s">
        <v>268</v>
      </c>
      <c r="AJ892" t="s">
        <v>92</v>
      </c>
      <c r="AK892" t="s">
        <v>92</v>
      </c>
      <c r="AL892" t="s">
        <v>92</v>
      </c>
      <c r="AM892" s="12" t="s">
        <v>268</v>
      </c>
      <c r="AN892" s="12" t="s">
        <v>268</v>
      </c>
      <c r="AO892" s="12" t="s">
        <v>268</v>
      </c>
      <c r="AP892" s="12" t="s">
        <v>268</v>
      </c>
      <c r="AQ892" s="12" t="s">
        <v>268</v>
      </c>
      <c r="AR892" s="28" t="str">
        <f t="shared" ca="1" si="68"/>
        <v/>
      </c>
      <c r="AS892" s="28" t="str">
        <f t="shared" ca="1" si="69"/>
        <v/>
      </c>
    </row>
    <row r="893" spans="2:45" ht="27.6" customHeight="1">
      <c r="B893">
        <f t="shared" ca="1" si="65"/>
        <v>0</v>
      </c>
      <c r="C893" t="s">
        <v>85</v>
      </c>
      <c r="D893" t="s">
        <v>92</v>
      </c>
      <c r="E893" t="s">
        <v>92</v>
      </c>
      <c r="F893" t="s">
        <v>92</v>
      </c>
      <c r="G893" t="s">
        <v>92</v>
      </c>
      <c r="H893" t="s">
        <v>92</v>
      </c>
      <c r="I893" s="12" t="s">
        <v>268</v>
      </c>
      <c r="J893" t="s">
        <v>278</v>
      </c>
      <c r="L893" t="s">
        <v>92</v>
      </c>
      <c r="N893" s="14">
        <v>1</v>
      </c>
      <c r="P893" s="12" t="s">
        <v>268</v>
      </c>
      <c r="W893" s="9" t="str">
        <f t="shared" ca="1" si="66"/>
        <v>18.5%</v>
      </c>
      <c r="X893" t="s">
        <v>321</v>
      </c>
      <c r="Y893" s="9" t="str">
        <f t="shared" ca="1" si="67"/>
        <v>Sin costo</v>
      </c>
      <c r="Z893" t="s">
        <v>327</v>
      </c>
      <c r="AA893" t="s">
        <v>329</v>
      </c>
      <c r="AB893" t="s">
        <v>334</v>
      </c>
      <c r="AC893" s="12" t="s">
        <v>339</v>
      </c>
      <c r="AE893" t="s">
        <v>268</v>
      </c>
      <c r="AG893" s="12" t="s">
        <v>268</v>
      </c>
      <c r="AH893" t="s">
        <v>92</v>
      </c>
      <c r="AI893" s="12" t="s">
        <v>268</v>
      </c>
      <c r="AJ893" t="s">
        <v>92</v>
      </c>
      <c r="AK893" t="s">
        <v>92</v>
      </c>
      <c r="AL893" t="s">
        <v>92</v>
      </c>
      <c r="AM893" s="12" t="s">
        <v>268</v>
      </c>
      <c r="AN893" s="12" t="s">
        <v>268</v>
      </c>
      <c r="AO893" s="12" t="s">
        <v>268</v>
      </c>
      <c r="AP893" s="12" t="s">
        <v>268</v>
      </c>
      <c r="AQ893" s="12" t="s">
        <v>268</v>
      </c>
      <c r="AR893" s="28" t="str">
        <f t="shared" ca="1" si="68"/>
        <v/>
      </c>
      <c r="AS893" s="28" t="str">
        <f t="shared" ca="1" si="69"/>
        <v/>
      </c>
    </row>
    <row r="894" spans="2:45" ht="27.6" customHeight="1">
      <c r="B894">
        <f t="shared" ca="1" si="65"/>
        <v>0</v>
      </c>
      <c r="C894" t="s">
        <v>85</v>
      </c>
      <c r="D894" t="s">
        <v>92</v>
      </c>
      <c r="E894" t="s">
        <v>92</v>
      </c>
      <c r="F894" t="s">
        <v>92</v>
      </c>
      <c r="G894" t="s">
        <v>92</v>
      </c>
      <c r="H894" t="s">
        <v>92</v>
      </c>
      <c r="I894" s="12" t="s">
        <v>268</v>
      </c>
      <c r="J894" t="s">
        <v>278</v>
      </c>
      <c r="L894" t="s">
        <v>92</v>
      </c>
      <c r="N894" s="14">
        <v>1</v>
      </c>
      <c r="P894" s="12" t="s">
        <v>268</v>
      </c>
      <c r="W894" s="9" t="str">
        <f t="shared" ca="1" si="66"/>
        <v>18.5%</v>
      </c>
      <c r="X894" t="s">
        <v>321</v>
      </c>
      <c r="Y894" s="9" t="str">
        <f t="shared" ca="1" si="67"/>
        <v>Sin costo</v>
      </c>
      <c r="Z894" t="s">
        <v>327</v>
      </c>
      <c r="AA894" t="s">
        <v>329</v>
      </c>
      <c r="AB894" t="s">
        <v>334</v>
      </c>
      <c r="AC894" s="12" t="s">
        <v>339</v>
      </c>
      <c r="AE894" t="s">
        <v>268</v>
      </c>
      <c r="AG894" s="12" t="s">
        <v>268</v>
      </c>
      <c r="AH894" t="s">
        <v>92</v>
      </c>
      <c r="AI894" s="12" t="s">
        <v>268</v>
      </c>
      <c r="AJ894" t="s">
        <v>92</v>
      </c>
      <c r="AK894" t="s">
        <v>92</v>
      </c>
      <c r="AL894" t="s">
        <v>92</v>
      </c>
      <c r="AM894" s="12" t="s">
        <v>268</v>
      </c>
      <c r="AN894" s="12" t="s">
        <v>268</v>
      </c>
      <c r="AO894" s="12" t="s">
        <v>268</v>
      </c>
      <c r="AP894" s="12" t="s">
        <v>268</v>
      </c>
      <c r="AQ894" s="12" t="s">
        <v>268</v>
      </c>
      <c r="AR894" s="28" t="str">
        <f t="shared" ca="1" si="68"/>
        <v/>
      </c>
      <c r="AS894" s="28" t="str">
        <f t="shared" ca="1" si="69"/>
        <v/>
      </c>
    </row>
    <row r="895" spans="2:45" ht="27.6" customHeight="1">
      <c r="B895">
        <f t="shared" ca="1" si="65"/>
        <v>0</v>
      </c>
      <c r="C895" t="s">
        <v>85</v>
      </c>
      <c r="D895" t="s">
        <v>92</v>
      </c>
      <c r="E895" t="s">
        <v>92</v>
      </c>
      <c r="F895" t="s">
        <v>92</v>
      </c>
      <c r="G895" t="s">
        <v>92</v>
      </c>
      <c r="H895" t="s">
        <v>92</v>
      </c>
      <c r="I895" s="12" t="s">
        <v>268</v>
      </c>
      <c r="J895" t="s">
        <v>278</v>
      </c>
      <c r="L895" t="s">
        <v>92</v>
      </c>
      <c r="N895" s="14">
        <v>1</v>
      </c>
      <c r="P895" s="12" t="s">
        <v>268</v>
      </c>
      <c r="W895" s="9" t="str">
        <f t="shared" ca="1" si="66"/>
        <v>18.5%</v>
      </c>
      <c r="X895" t="s">
        <v>321</v>
      </c>
      <c r="Y895" s="9" t="str">
        <f t="shared" ca="1" si="67"/>
        <v>Sin costo</v>
      </c>
      <c r="Z895" t="s">
        <v>327</v>
      </c>
      <c r="AA895" t="s">
        <v>329</v>
      </c>
      <c r="AB895" t="s">
        <v>334</v>
      </c>
      <c r="AC895" s="12" t="s">
        <v>339</v>
      </c>
      <c r="AE895" t="s">
        <v>268</v>
      </c>
      <c r="AG895" s="12" t="s">
        <v>268</v>
      </c>
      <c r="AH895" t="s">
        <v>92</v>
      </c>
      <c r="AI895" s="12" t="s">
        <v>268</v>
      </c>
      <c r="AJ895" t="s">
        <v>92</v>
      </c>
      <c r="AK895" t="s">
        <v>92</v>
      </c>
      <c r="AL895" t="s">
        <v>92</v>
      </c>
      <c r="AM895" s="12" t="s">
        <v>268</v>
      </c>
      <c r="AN895" s="12" t="s">
        <v>268</v>
      </c>
      <c r="AO895" s="12" t="s">
        <v>268</v>
      </c>
      <c r="AP895" s="12" t="s">
        <v>268</v>
      </c>
      <c r="AQ895" s="12" t="s">
        <v>268</v>
      </c>
      <c r="AR895" s="28" t="str">
        <f t="shared" ca="1" si="68"/>
        <v/>
      </c>
      <c r="AS895" s="28" t="str">
        <f t="shared" ca="1" si="69"/>
        <v/>
      </c>
    </row>
    <row r="896" spans="2:45" ht="27.6" customHeight="1">
      <c r="B896">
        <f t="shared" ca="1" si="65"/>
        <v>0</v>
      </c>
      <c r="C896" t="s">
        <v>85</v>
      </c>
      <c r="D896" t="s">
        <v>92</v>
      </c>
      <c r="E896" t="s">
        <v>92</v>
      </c>
      <c r="F896" t="s">
        <v>92</v>
      </c>
      <c r="G896" t="s">
        <v>92</v>
      </c>
      <c r="H896" t="s">
        <v>92</v>
      </c>
      <c r="I896" s="12" t="s">
        <v>268</v>
      </c>
      <c r="J896" t="s">
        <v>278</v>
      </c>
      <c r="L896" t="s">
        <v>92</v>
      </c>
      <c r="N896" s="14">
        <v>1</v>
      </c>
      <c r="P896" s="12" t="s">
        <v>268</v>
      </c>
      <c r="W896" s="9" t="str">
        <f t="shared" ca="1" si="66"/>
        <v>18.5%</v>
      </c>
      <c r="X896" t="s">
        <v>321</v>
      </c>
      <c r="Y896" s="9" t="str">
        <f t="shared" ca="1" si="67"/>
        <v>Sin costo</v>
      </c>
      <c r="Z896" t="s">
        <v>327</v>
      </c>
      <c r="AA896" t="s">
        <v>329</v>
      </c>
      <c r="AB896" t="s">
        <v>334</v>
      </c>
      <c r="AC896" s="12" t="s">
        <v>339</v>
      </c>
      <c r="AE896" t="s">
        <v>268</v>
      </c>
      <c r="AG896" s="12" t="s">
        <v>268</v>
      </c>
      <c r="AH896" t="s">
        <v>92</v>
      </c>
      <c r="AI896" s="12" t="s">
        <v>268</v>
      </c>
      <c r="AJ896" t="s">
        <v>92</v>
      </c>
      <c r="AK896" t="s">
        <v>92</v>
      </c>
      <c r="AL896" t="s">
        <v>92</v>
      </c>
      <c r="AM896" s="12" t="s">
        <v>268</v>
      </c>
      <c r="AN896" s="12" t="s">
        <v>268</v>
      </c>
      <c r="AO896" s="12" t="s">
        <v>268</v>
      </c>
      <c r="AP896" s="12" t="s">
        <v>268</v>
      </c>
      <c r="AQ896" s="12" t="s">
        <v>268</v>
      </c>
      <c r="AR896" s="28" t="str">
        <f t="shared" ca="1" si="68"/>
        <v/>
      </c>
      <c r="AS896" s="28" t="str">
        <f t="shared" ca="1" si="69"/>
        <v/>
      </c>
    </row>
    <row r="897" spans="2:45" ht="27.6" customHeight="1">
      <c r="B897">
        <f t="shared" ca="1" si="65"/>
        <v>0</v>
      </c>
      <c r="C897" t="s">
        <v>85</v>
      </c>
      <c r="D897" t="s">
        <v>92</v>
      </c>
      <c r="E897" t="s">
        <v>92</v>
      </c>
      <c r="F897" t="s">
        <v>92</v>
      </c>
      <c r="G897" t="s">
        <v>92</v>
      </c>
      <c r="H897" t="s">
        <v>92</v>
      </c>
      <c r="I897" s="12" t="s">
        <v>268</v>
      </c>
      <c r="J897" t="s">
        <v>278</v>
      </c>
      <c r="L897" t="s">
        <v>92</v>
      </c>
      <c r="N897" s="14">
        <v>1</v>
      </c>
      <c r="P897" s="12" t="s">
        <v>268</v>
      </c>
      <c r="W897" s="9" t="str">
        <f t="shared" ca="1" si="66"/>
        <v>18.5%</v>
      </c>
      <c r="X897" t="s">
        <v>321</v>
      </c>
      <c r="Y897" s="9" t="str">
        <f t="shared" ca="1" si="67"/>
        <v>Sin costo</v>
      </c>
      <c r="Z897" t="s">
        <v>327</v>
      </c>
      <c r="AA897" t="s">
        <v>329</v>
      </c>
      <c r="AB897" t="s">
        <v>334</v>
      </c>
      <c r="AC897" s="12" t="s">
        <v>339</v>
      </c>
      <c r="AE897" t="s">
        <v>268</v>
      </c>
      <c r="AG897" s="12" t="s">
        <v>268</v>
      </c>
      <c r="AH897" t="s">
        <v>92</v>
      </c>
      <c r="AI897" s="12" t="s">
        <v>268</v>
      </c>
      <c r="AJ897" t="s">
        <v>92</v>
      </c>
      <c r="AK897" t="s">
        <v>92</v>
      </c>
      <c r="AL897" t="s">
        <v>92</v>
      </c>
      <c r="AM897" s="12" t="s">
        <v>268</v>
      </c>
      <c r="AN897" s="12" t="s">
        <v>268</v>
      </c>
      <c r="AO897" s="12" t="s">
        <v>268</v>
      </c>
      <c r="AP897" s="12" t="s">
        <v>268</v>
      </c>
      <c r="AQ897" s="12" t="s">
        <v>268</v>
      </c>
      <c r="AR897" s="28" t="str">
        <f t="shared" ca="1" si="68"/>
        <v/>
      </c>
      <c r="AS897" s="28" t="str">
        <f t="shared" ca="1" si="69"/>
        <v/>
      </c>
    </row>
    <row r="898" spans="2:45" ht="27.6" customHeight="1">
      <c r="B898">
        <f t="shared" ca="1" si="65"/>
        <v>0</v>
      </c>
      <c r="C898" t="s">
        <v>85</v>
      </c>
      <c r="D898" t="s">
        <v>92</v>
      </c>
      <c r="E898" t="s">
        <v>92</v>
      </c>
      <c r="F898" t="s">
        <v>92</v>
      </c>
      <c r="G898" t="s">
        <v>92</v>
      </c>
      <c r="H898" t="s">
        <v>92</v>
      </c>
      <c r="I898" s="12" t="s">
        <v>268</v>
      </c>
      <c r="J898" t="s">
        <v>278</v>
      </c>
      <c r="L898" t="s">
        <v>92</v>
      </c>
      <c r="N898" s="14">
        <v>1</v>
      </c>
      <c r="P898" s="12" t="s">
        <v>268</v>
      </c>
      <c r="W898" s="9" t="str">
        <f t="shared" ca="1" si="66"/>
        <v>18.5%</v>
      </c>
      <c r="X898" t="s">
        <v>321</v>
      </c>
      <c r="Y898" s="9" t="str">
        <f t="shared" ca="1" si="67"/>
        <v>Sin costo</v>
      </c>
      <c r="Z898" t="s">
        <v>327</v>
      </c>
      <c r="AA898" t="s">
        <v>329</v>
      </c>
      <c r="AB898" t="s">
        <v>334</v>
      </c>
      <c r="AC898" s="12" t="s">
        <v>339</v>
      </c>
      <c r="AE898" t="s">
        <v>268</v>
      </c>
      <c r="AG898" s="12" t="s">
        <v>268</v>
      </c>
      <c r="AH898" t="s">
        <v>92</v>
      </c>
      <c r="AI898" s="12" t="s">
        <v>268</v>
      </c>
      <c r="AJ898" t="s">
        <v>92</v>
      </c>
      <c r="AK898" t="s">
        <v>92</v>
      </c>
      <c r="AL898" t="s">
        <v>92</v>
      </c>
      <c r="AM898" s="12" t="s">
        <v>268</v>
      </c>
      <c r="AN898" s="12" t="s">
        <v>268</v>
      </c>
      <c r="AO898" s="12" t="s">
        <v>268</v>
      </c>
      <c r="AP898" s="12" t="s">
        <v>268</v>
      </c>
      <c r="AQ898" s="12" t="s">
        <v>268</v>
      </c>
      <c r="AR898" s="28" t="str">
        <f t="shared" ca="1" si="68"/>
        <v/>
      </c>
      <c r="AS898" s="28" t="str">
        <f t="shared" ca="1" si="69"/>
        <v/>
      </c>
    </row>
    <row r="899" spans="2:45" ht="27.6" customHeight="1">
      <c r="B899">
        <f t="shared" ca="1" si="65"/>
        <v>0</v>
      </c>
      <c r="C899" t="s">
        <v>85</v>
      </c>
      <c r="D899" t="s">
        <v>92</v>
      </c>
      <c r="E899" t="s">
        <v>92</v>
      </c>
      <c r="F899" t="s">
        <v>92</v>
      </c>
      <c r="G899" t="s">
        <v>92</v>
      </c>
      <c r="H899" t="s">
        <v>92</v>
      </c>
      <c r="I899" s="12" t="s">
        <v>268</v>
      </c>
      <c r="J899" t="s">
        <v>278</v>
      </c>
      <c r="L899" t="s">
        <v>92</v>
      </c>
      <c r="N899" s="14">
        <v>1</v>
      </c>
      <c r="P899" s="12" t="s">
        <v>268</v>
      </c>
      <c r="W899" s="9" t="str">
        <f t="shared" ca="1" si="66"/>
        <v>18.5%</v>
      </c>
      <c r="X899" t="s">
        <v>321</v>
      </c>
      <c r="Y899" s="9" t="str">
        <f t="shared" ca="1" si="67"/>
        <v>Sin costo</v>
      </c>
      <c r="Z899" t="s">
        <v>327</v>
      </c>
      <c r="AA899" t="s">
        <v>329</v>
      </c>
      <c r="AB899" t="s">
        <v>334</v>
      </c>
      <c r="AC899" s="12" t="s">
        <v>339</v>
      </c>
      <c r="AE899" t="s">
        <v>268</v>
      </c>
      <c r="AG899" s="12" t="s">
        <v>268</v>
      </c>
      <c r="AH899" t="s">
        <v>92</v>
      </c>
      <c r="AI899" s="12" t="s">
        <v>268</v>
      </c>
      <c r="AJ899" t="s">
        <v>92</v>
      </c>
      <c r="AK899" t="s">
        <v>92</v>
      </c>
      <c r="AL899" t="s">
        <v>92</v>
      </c>
      <c r="AM899" s="12" t="s">
        <v>268</v>
      </c>
      <c r="AN899" s="12" t="s">
        <v>268</v>
      </c>
      <c r="AO899" s="12" t="s">
        <v>268</v>
      </c>
      <c r="AP899" s="12" t="s">
        <v>268</v>
      </c>
      <c r="AQ899" s="12" t="s">
        <v>268</v>
      </c>
      <c r="AR899" s="28" t="str">
        <f t="shared" ca="1" si="68"/>
        <v/>
      </c>
      <c r="AS899" s="28" t="str">
        <f t="shared" ca="1" si="69"/>
        <v/>
      </c>
    </row>
    <row r="900" spans="2:45" ht="27.6" customHeight="1">
      <c r="B900">
        <f t="shared" ca="1" si="65"/>
        <v>0</v>
      </c>
      <c r="C900" t="s">
        <v>85</v>
      </c>
      <c r="D900" t="s">
        <v>92</v>
      </c>
      <c r="E900" t="s">
        <v>92</v>
      </c>
      <c r="F900" t="s">
        <v>92</v>
      </c>
      <c r="G900" t="s">
        <v>92</v>
      </c>
      <c r="H900" t="s">
        <v>92</v>
      </c>
      <c r="I900" s="12" t="s">
        <v>268</v>
      </c>
      <c r="J900" t="s">
        <v>278</v>
      </c>
      <c r="L900" t="s">
        <v>92</v>
      </c>
      <c r="N900" s="14">
        <v>1</v>
      </c>
      <c r="P900" s="12" t="s">
        <v>268</v>
      </c>
      <c r="W900" s="9" t="str">
        <f t="shared" ca="1" si="66"/>
        <v>18.5%</v>
      </c>
      <c r="X900" t="s">
        <v>321</v>
      </c>
      <c r="Y900" s="9" t="str">
        <f t="shared" ca="1" si="67"/>
        <v>Sin costo</v>
      </c>
      <c r="Z900" t="s">
        <v>327</v>
      </c>
      <c r="AA900" t="s">
        <v>329</v>
      </c>
      <c r="AB900" t="s">
        <v>334</v>
      </c>
      <c r="AC900" s="12" t="s">
        <v>339</v>
      </c>
      <c r="AE900" t="s">
        <v>268</v>
      </c>
      <c r="AG900" s="12" t="s">
        <v>268</v>
      </c>
      <c r="AH900" t="s">
        <v>92</v>
      </c>
      <c r="AI900" s="12" t="s">
        <v>268</v>
      </c>
      <c r="AJ900" t="s">
        <v>92</v>
      </c>
      <c r="AK900" t="s">
        <v>92</v>
      </c>
      <c r="AL900" t="s">
        <v>92</v>
      </c>
      <c r="AM900" s="12" t="s">
        <v>268</v>
      </c>
      <c r="AN900" s="12" t="s">
        <v>268</v>
      </c>
      <c r="AO900" s="12" t="s">
        <v>268</v>
      </c>
      <c r="AP900" s="12" t="s">
        <v>268</v>
      </c>
      <c r="AQ900" s="12" t="s">
        <v>268</v>
      </c>
      <c r="AR900" s="28" t="str">
        <f t="shared" ca="1" si="68"/>
        <v/>
      </c>
      <c r="AS900" s="28" t="str">
        <f t="shared" ca="1" si="69"/>
        <v/>
      </c>
    </row>
    <row r="901" spans="2:45" ht="27.6" customHeight="1">
      <c r="B901">
        <f t="shared" ca="1" si="65"/>
        <v>0</v>
      </c>
      <c r="C901" t="s">
        <v>85</v>
      </c>
      <c r="D901" t="s">
        <v>92</v>
      </c>
      <c r="E901" t="s">
        <v>92</v>
      </c>
      <c r="F901" t="s">
        <v>92</v>
      </c>
      <c r="G901" t="s">
        <v>92</v>
      </c>
      <c r="H901" t="s">
        <v>92</v>
      </c>
      <c r="I901" s="12" t="s">
        <v>268</v>
      </c>
      <c r="J901" t="s">
        <v>278</v>
      </c>
      <c r="L901" t="s">
        <v>92</v>
      </c>
      <c r="N901" s="14">
        <v>1</v>
      </c>
      <c r="P901" s="12" t="s">
        <v>268</v>
      </c>
      <c r="W901" s="9" t="str">
        <f t="shared" ca="1" si="66"/>
        <v>18.5%</v>
      </c>
      <c r="X901" t="s">
        <v>321</v>
      </c>
      <c r="Y901" s="9" t="str">
        <f t="shared" ca="1" si="67"/>
        <v>Sin costo</v>
      </c>
      <c r="Z901" t="s">
        <v>327</v>
      </c>
      <c r="AA901" t="s">
        <v>329</v>
      </c>
      <c r="AB901" t="s">
        <v>334</v>
      </c>
      <c r="AC901" s="12" t="s">
        <v>339</v>
      </c>
      <c r="AE901" t="s">
        <v>268</v>
      </c>
      <c r="AG901" s="12" t="s">
        <v>268</v>
      </c>
      <c r="AH901" t="s">
        <v>92</v>
      </c>
      <c r="AI901" s="12" t="s">
        <v>268</v>
      </c>
      <c r="AJ901" t="s">
        <v>92</v>
      </c>
      <c r="AK901" t="s">
        <v>92</v>
      </c>
      <c r="AL901" t="s">
        <v>92</v>
      </c>
      <c r="AM901" s="12" t="s">
        <v>268</v>
      </c>
      <c r="AN901" s="12" t="s">
        <v>268</v>
      </c>
      <c r="AO901" s="12" t="s">
        <v>268</v>
      </c>
      <c r="AP901" s="12" t="s">
        <v>268</v>
      </c>
      <c r="AQ901" s="12" t="s">
        <v>268</v>
      </c>
      <c r="AR901" s="28" t="str">
        <f t="shared" ca="1" si="68"/>
        <v/>
      </c>
      <c r="AS901" s="28" t="str">
        <f t="shared" ca="1" si="69"/>
        <v/>
      </c>
    </row>
    <row r="902" spans="2:45" ht="27.6" customHeight="1">
      <c r="B902">
        <f t="shared" ca="1" si="65"/>
        <v>0</v>
      </c>
      <c r="C902" t="s">
        <v>85</v>
      </c>
      <c r="D902" t="s">
        <v>92</v>
      </c>
      <c r="E902" t="s">
        <v>92</v>
      </c>
      <c r="F902" t="s">
        <v>92</v>
      </c>
      <c r="G902" t="s">
        <v>92</v>
      </c>
      <c r="H902" t="s">
        <v>92</v>
      </c>
      <c r="I902" s="12" t="s">
        <v>268</v>
      </c>
      <c r="J902" t="s">
        <v>278</v>
      </c>
      <c r="L902" t="s">
        <v>92</v>
      </c>
      <c r="N902" s="14">
        <v>1</v>
      </c>
      <c r="P902" s="12" t="s">
        <v>268</v>
      </c>
      <c r="W902" s="9" t="str">
        <f t="shared" ca="1" si="66"/>
        <v>18.5%</v>
      </c>
      <c r="X902" t="s">
        <v>321</v>
      </c>
      <c r="Y902" s="9" t="str">
        <f t="shared" ca="1" si="67"/>
        <v>Sin costo</v>
      </c>
      <c r="Z902" t="s">
        <v>327</v>
      </c>
      <c r="AA902" t="s">
        <v>329</v>
      </c>
      <c r="AB902" t="s">
        <v>334</v>
      </c>
      <c r="AC902" s="12" t="s">
        <v>339</v>
      </c>
      <c r="AE902" t="s">
        <v>268</v>
      </c>
      <c r="AG902" s="12" t="s">
        <v>268</v>
      </c>
      <c r="AH902" t="s">
        <v>92</v>
      </c>
      <c r="AI902" s="12" t="s">
        <v>268</v>
      </c>
      <c r="AJ902" t="s">
        <v>92</v>
      </c>
      <c r="AK902" t="s">
        <v>92</v>
      </c>
      <c r="AL902" t="s">
        <v>92</v>
      </c>
      <c r="AM902" s="12" t="s">
        <v>268</v>
      </c>
      <c r="AN902" s="12" t="s">
        <v>268</v>
      </c>
      <c r="AO902" s="12" t="s">
        <v>268</v>
      </c>
      <c r="AP902" s="12" t="s">
        <v>268</v>
      </c>
      <c r="AQ902" s="12" t="s">
        <v>268</v>
      </c>
      <c r="AR902" s="28" t="str">
        <f t="shared" ca="1" si="68"/>
        <v/>
      </c>
      <c r="AS902" s="28" t="str">
        <f t="shared" ca="1" si="69"/>
        <v/>
      </c>
    </row>
    <row r="903" spans="2:45" ht="27.6" customHeight="1">
      <c r="B903">
        <f t="shared" ref="B903:B966" ca="1" si="70">LEN(INDIRECT(ADDRESS(ROW() + (0),COLUMN() + (-1))))</f>
        <v>0</v>
      </c>
      <c r="C903" t="s">
        <v>85</v>
      </c>
      <c r="D903" t="s">
        <v>92</v>
      </c>
      <c r="E903" t="s">
        <v>92</v>
      </c>
      <c r="F903" t="s">
        <v>92</v>
      </c>
      <c r="G903" t="s">
        <v>92</v>
      </c>
      <c r="H903" t="s">
        <v>92</v>
      </c>
      <c r="I903" s="12" t="s">
        <v>268</v>
      </c>
      <c r="J903" t="s">
        <v>278</v>
      </c>
      <c r="L903" t="s">
        <v>92</v>
      </c>
      <c r="N903" s="14">
        <v>1</v>
      </c>
      <c r="P903" s="12" t="s">
        <v>268</v>
      </c>
      <c r="W903" s="9" t="str">
        <f t="shared" ref="W903:W966" ca="1" si="71">IF(INDIRECT(ADDRESS(ROW() + (0),COLUMN() + (1)))="Cuotas extra", IF(("21.5%")="", "-", "21.5%"), IF(INDIRECT(ADDRESS(ROW() + (0),COLUMN() + (1)))="Cuotas", IF(("18.5%")="", "-", "18.5%"), "-"))</f>
        <v>18.5%</v>
      </c>
      <c r="X903" t="s">
        <v>321</v>
      </c>
      <c r="Y903" s="9" t="str">
        <f t="shared" ref="Y903:Y966" ca="1" si="72">IF(INDIRECT(ADDRESS(ROW() + (0),COLUMN() + (-1)))="Cuotas extra", IF(("")="", "Sin costo", ""), IF(INDIRECT(ADDRESS(ROW() + (0),COLUMN() + (-1)))="Cuotas", IF(("")="", "Sin costo", ""), "-"))</f>
        <v>Sin costo</v>
      </c>
      <c r="Z903" t="s">
        <v>327</v>
      </c>
      <c r="AA903" t="s">
        <v>329</v>
      </c>
      <c r="AB903" t="s">
        <v>334</v>
      </c>
      <c r="AC903" s="12" t="s">
        <v>339</v>
      </c>
      <c r="AE903" t="s">
        <v>268</v>
      </c>
      <c r="AG903" s="12" t="s">
        <v>268</v>
      </c>
      <c r="AH903" t="s">
        <v>92</v>
      </c>
      <c r="AI903" s="12" t="s">
        <v>268</v>
      </c>
      <c r="AJ903" t="s">
        <v>92</v>
      </c>
      <c r="AK903" t="s">
        <v>92</v>
      </c>
      <c r="AL903" t="s">
        <v>92</v>
      </c>
      <c r="AM903" s="12" t="s">
        <v>268</v>
      </c>
      <c r="AN903" s="12" t="s">
        <v>268</v>
      </c>
      <c r="AO903" s="12" t="s">
        <v>268</v>
      </c>
      <c r="AP903" s="12" t="s">
        <v>268</v>
      </c>
      <c r="AQ903" s="12" t="s">
        <v>268</v>
      </c>
      <c r="AR903" s="28" t="str">
        <f t="shared" ref="AR903:AR966" ca="1" si="7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903" s="28" t="str">
        <f t="shared" ref="AS903:AS966" ca="1" si="74">IF(TRIM(INDIRECT("A"&amp;ROW())) &lt;&gt; "",FALSE,"")</f>
        <v/>
      </c>
    </row>
    <row r="904" spans="2:45" ht="27.6" customHeight="1">
      <c r="B904">
        <f t="shared" ca="1" si="70"/>
        <v>0</v>
      </c>
      <c r="C904" t="s">
        <v>85</v>
      </c>
      <c r="D904" t="s">
        <v>92</v>
      </c>
      <c r="E904" t="s">
        <v>92</v>
      </c>
      <c r="F904" t="s">
        <v>92</v>
      </c>
      <c r="G904" t="s">
        <v>92</v>
      </c>
      <c r="H904" t="s">
        <v>92</v>
      </c>
      <c r="I904" s="12" t="s">
        <v>268</v>
      </c>
      <c r="J904" t="s">
        <v>278</v>
      </c>
      <c r="L904" t="s">
        <v>92</v>
      </c>
      <c r="N904" s="14">
        <v>1</v>
      </c>
      <c r="P904" s="12" t="s">
        <v>268</v>
      </c>
      <c r="W904" s="9" t="str">
        <f t="shared" ca="1" si="71"/>
        <v>18.5%</v>
      </c>
      <c r="X904" t="s">
        <v>321</v>
      </c>
      <c r="Y904" s="9" t="str">
        <f t="shared" ca="1" si="72"/>
        <v>Sin costo</v>
      </c>
      <c r="Z904" t="s">
        <v>327</v>
      </c>
      <c r="AA904" t="s">
        <v>329</v>
      </c>
      <c r="AB904" t="s">
        <v>334</v>
      </c>
      <c r="AC904" s="12" t="s">
        <v>339</v>
      </c>
      <c r="AE904" t="s">
        <v>268</v>
      </c>
      <c r="AG904" s="12" t="s">
        <v>268</v>
      </c>
      <c r="AH904" t="s">
        <v>92</v>
      </c>
      <c r="AI904" s="12" t="s">
        <v>268</v>
      </c>
      <c r="AJ904" t="s">
        <v>92</v>
      </c>
      <c r="AK904" t="s">
        <v>92</v>
      </c>
      <c r="AL904" t="s">
        <v>92</v>
      </c>
      <c r="AM904" s="12" t="s">
        <v>268</v>
      </c>
      <c r="AN904" s="12" t="s">
        <v>268</v>
      </c>
      <c r="AO904" s="12" t="s">
        <v>268</v>
      </c>
      <c r="AP904" s="12" t="s">
        <v>268</v>
      </c>
      <c r="AQ904" s="12" t="s">
        <v>268</v>
      </c>
      <c r="AR904" s="28" t="str">
        <f t="shared" ca="1" si="73"/>
        <v/>
      </c>
      <c r="AS904" s="28" t="str">
        <f t="shared" ca="1" si="74"/>
        <v/>
      </c>
    </row>
    <row r="905" spans="2:45" ht="27.6" customHeight="1">
      <c r="B905">
        <f t="shared" ca="1" si="70"/>
        <v>0</v>
      </c>
      <c r="C905" t="s">
        <v>85</v>
      </c>
      <c r="D905" t="s">
        <v>92</v>
      </c>
      <c r="E905" t="s">
        <v>92</v>
      </c>
      <c r="F905" t="s">
        <v>92</v>
      </c>
      <c r="G905" t="s">
        <v>92</v>
      </c>
      <c r="H905" t="s">
        <v>92</v>
      </c>
      <c r="I905" s="12" t="s">
        <v>268</v>
      </c>
      <c r="J905" t="s">
        <v>278</v>
      </c>
      <c r="L905" t="s">
        <v>92</v>
      </c>
      <c r="N905" s="14">
        <v>1</v>
      </c>
      <c r="P905" s="12" t="s">
        <v>268</v>
      </c>
      <c r="W905" s="9" t="str">
        <f t="shared" ca="1" si="71"/>
        <v>18.5%</v>
      </c>
      <c r="X905" t="s">
        <v>321</v>
      </c>
      <c r="Y905" s="9" t="str">
        <f t="shared" ca="1" si="72"/>
        <v>Sin costo</v>
      </c>
      <c r="Z905" t="s">
        <v>327</v>
      </c>
      <c r="AA905" t="s">
        <v>329</v>
      </c>
      <c r="AB905" t="s">
        <v>334</v>
      </c>
      <c r="AC905" s="12" t="s">
        <v>339</v>
      </c>
      <c r="AE905" t="s">
        <v>268</v>
      </c>
      <c r="AG905" s="12" t="s">
        <v>268</v>
      </c>
      <c r="AH905" t="s">
        <v>92</v>
      </c>
      <c r="AI905" s="12" t="s">
        <v>268</v>
      </c>
      <c r="AJ905" t="s">
        <v>92</v>
      </c>
      <c r="AK905" t="s">
        <v>92</v>
      </c>
      <c r="AL905" t="s">
        <v>92</v>
      </c>
      <c r="AM905" s="12" t="s">
        <v>268</v>
      </c>
      <c r="AN905" s="12" t="s">
        <v>268</v>
      </c>
      <c r="AO905" s="12" t="s">
        <v>268</v>
      </c>
      <c r="AP905" s="12" t="s">
        <v>268</v>
      </c>
      <c r="AQ905" s="12" t="s">
        <v>268</v>
      </c>
      <c r="AR905" s="28" t="str">
        <f t="shared" ca="1" si="73"/>
        <v/>
      </c>
      <c r="AS905" s="28" t="str">
        <f t="shared" ca="1" si="74"/>
        <v/>
      </c>
    </row>
    <row r="906" spans="2:45" ht="27.6" customHeight="1">
      <c r="B906">
        <f t="shared" ca="1" si="70"/>
        <v>0</v>
      </c>
      <c r="C906" t="s">
        <v>85</v>
      </c>
      <c r="D906" t="s">
        <v>92</v>
      </c>
      <c r="E906" t="s">
        <v>92</v>
      </c>
      <c r="F906" t="s">
        <v>92</v>
      </c>
      <c r="G906" t="s">
        <v>92</v>
      </c>
      <c r="H906" t="s">
        <v>92</v>
      </c>
      <c r="I906" s="12" t="s">
        <v>268</v>
      </c>
      <c r="J906" t="s">
        <v>278</v>
      </c>
      <c r="L906" t="s">
        <v>92</v>
      </c>
      <c r="N906" s="14">
        <v>1</v>
      </c>
      <c r="P906" s="12" t="s">
        <v>268</v>
      </c>
      <c r="W906" s="9" t="str">
        <f t="shared" ca="1" si="71"/>
        <v>18.5%</v>
      </c>
      <c r="X906" t="s">
        <v>321</v>
      </c>
      <c r="Y906" s="9" t="str">
        <f t="shared" ca="1" si="72"/>
        <v>Sin costo</v>
      </c>
      <c r="Z906" t="s">
        <v>327</v>
      </c>
      <c r="AA906" t="s">
        <v>329</v>
      </c>
      <c r="AB906" t="s">
        <v>334</v>
      </c>
      <c r="AC906" s="12" t="s">
        <v>339</v>
      </c>
      <c r="AE906" t="s">
        <v>268</v>
      </c>
      <c r="AG906" s="12" t="s">
        <v>268</v>
      </c>
      <c r="AH906" t="s">
        <v>92</v>
      </c>
      <c r="AI906" s="12" t="s">
        <v>268</v>
      </c>
      <c r="AJ906" t="s">
        <v>92</v>
      </c>
      <c r="AK906" t="s">
        <v>92</v>
      </c>
      <c r="AL906" t="s">
        <v>92</v>
      </c>
      <c r="AM906" s="12" t="s">
        <v>268</v>
      </c>
      <c r="AN906" s="12" t="s">
        <v>268</v>
      </c>
      <c r="AO906" s="12" t="s">
        <v>268</v>
      </c>
      <c r="AP906" s="12" t="s">
        <v>268</v>
      </c>
      <c r="AQ906" s="12" t="s">
        <v>268</v>
      </c>
      <c r="AR906" s="28" t="str">
        <f t="shared" ca="1" si="73"/>
        <v/>
      </c>
      <c r="AS906" s="28" t="str">
        <f t="shared" ca="1" si="74"/>
        <v/>
      </c>
    </row>
    <row r="907" spans="2:45" ht="27.6" customHeight="1">
      <c r="B907">
        <f t="shared" ca="1" si="70"/>
        <v>0</v>
      </c>
      <c r="C907" t="s">
        <v>85</v>
      </c>
      <c r="D907" t="s">
        <v>92</v>
      </c>
      <c r="E907" t="s">
        <v>92</v>
      </c>
      <c r="F907" t="s">
        <v>92</v>
      </c>
      <c r="G907" t="s">
        <v>92</v>
      </c>
      <c r="H907" t="s">
        <v>92</v>
      </c>
      <c r="I907" s="12" t="s">
        <v>268</v>
      </c>
      <c r="J907" t="s">
        <v>278</v>
      </c>
      <c r="L907" t="s">
        <v>92</v>
      </c>
      <c r="N907" s="14">
        <v>1</v>
      </c>
      <c r="P907" s="12" t="s">
        <v>268</v>
      </c>
      <c r="W907" s="9" t="str">
        <f t="shared" ca="1" si="71"/>
        <v>18.5%</v>
      </c>
      <c r="X907" t="s">
        <v>321</v>
      </c>
      <c r="Y907" s="9" t="str">
        <f t="shared" ca="1" si="72"/>
        <v>Sin costo</v>
      </c>
      <c r="Z907" t="s">
        <v>327</v>
      </c>
      <c r="AA907" t="s">
        <v>329</v>
      </c>
      <c r="AB907" t="s">
        <v>334</v>
      </c>
      <c r="AC907" s="12" t="s">
        <v>339</v>
      </c>
      <c r="AE907" t="s">
        <v>268</v>
      </c>
      <c r="AG907" s="12" t="s">
        <v>268</v>
      </c>
      <c r="AH907" t="s">
        <v>92</v>
      </c>
      <c r="AI907" s="12" t="s">
        <v>268</v>
      </c>
      <c r="AJ907" t="s">
        <v>92</v>
      </c>
      <c r="AK907" t="s">
        <v>92</v>
      </c>
      <c r="AL907" t="s">
        <v>92</v>
      </c>
      <c r="AM907" s="12" t="s">
        <v>268</v>
      </c>
      <c r="AN907" s="12" t="s">
        <v>268</v>
      </c>
      <c r="AO907" s="12" t="s">
        <v>268</v>
      </c>
      <c r="AP907" s="12" t="s">
        <v>268</v>
      </c>
      <c r="AQ907" s="12" t="s">
        <v>268</v>
      </c>
      <c r="AR907" s="28" t="str">
        <f t="shared" ca="1" si="73"/>
        <v/>
      </c>
      <c r="AS907" s="28" t="str">
        <f t="shared" ca="1" si="74"/>
        <v/>
      </c>
    </row>
    <row r="908" spans="2:45" ht="27.6" customHeight="1">
      <c r="B908">
        <f t="shared" ca="1" si="70"/>
        <v>0</v>
      </c>
      <c r="C908" t="s">
        <v>85</v>
      </c>
      <c r="D908" t="s">
        <v>92</v>
      </c>
      <c r="E908" t="s">
        <v>92</v>
      </c>
      <c r="F908" t="s">
        <v>92</v>
      </c>
      <c r="G908" t="s">
        <v>92</v>
      </c>
      <c r="H908" t="s">
        <v>92</v>
      </c>
      <c r="I908" s="12" t="s">
        <v>268</v>
      </c>
      <c r="J908" t="s">
        <v>278</v>
      </c>
      <c r="L908" t="s">
        <v>92</v>
      </c>
      <c r="N908" s="14">
        <v>1</v>
      </c>
      <c r="P908" s="12" t="s">
        <v>268</v>
      </c>
      <c r="W908" s="9" t="str">
        <f t="shared" ca="1" si="71"/>
        <v>18.5%</v>
      </c>
      <c r="X908" t="s">
        <v>321</v>
      </c>
      <c r="Y908" s="9" t="str">
        <f t="shared" ca="1" si="72"/>
        <v>Sin costo</v>
      </c>
      <c r="Z908" t="s">
        <v>327</v>
      </c>
      <c r="AA908" t="s">
        <v>329</v>
      </c>
      <c r="AB908" t="s">
        <v>334</v>
      </c>
      <c r="AC908" s="12" t="s">
        <v>339</v>
      </c>
      <c r="AE908" t="s">
        <v>268</v>
      </c>
      <c r="AG908" s="12" t="s">
        <v>268</v>
      </c>
      <c r="AH908" t="s">
        <v>92</v>
      </c>
      <c r="AI908" s="12" t="s">
        <v>268</v>
      </c>
      <c r="AJ908" t="s">
        <v>92</v>
      </c>
      <c r="AK908" t="s">
        <v>92</v>
      </c>
      <c r="AL908" t="s">
        <v>92</v>
      </c>
      <c r="AM908" s="12" t="s">
        <v>268</v>
      </c>
      <c r="AN908" s="12" t="s">
        <v>268</v>
      </c>
      <c r="AO908" s="12" t="s">
        <v>268</v>
      </c>
      <c r="AP908" s="12" t="s">
        <v>268</v>
      </c>
      <c r="AQ908" s="12" t="s">
        <v>268</v>
      </c>
      <c r="AR908" s="28" t="str">
        <f t="shared" ca="1" si="73"/>
        <v/>
      </c>
      <c r="AS908" s="28" t="str">
        <f t="shared" ca="1" si="74"/>
        <v/>
      </c>
    </row>
    <row r="909" spans="2:45" ht="27.6" customHeight="1">
      <c r="B909">
        <f t="shared" ca="1" si="70"/>
        <v>0</v>
      </c>
      <c r="C909" t="s">
        <v>85</v>
      </c>
      <c r="D909" t="s">
        <v>92</v>
      </c>
      <c r="E909" t="s">
        <v>92</v>
      </c>
      <c r="F909" t="s">
        <v>92</v>
      </c>
      <c r="G909" t="s">
        <v>92</v>
      </c>
      <c r="H909" t="s">
        <v>92</v>
      </c>
      <c r="I909" s="12" t="s">
        <v>268</v>
      </c>
      <c r="J909" t="s">
        <v>278</v>
      </c>
      <c r="L909" t="s">
        <v>92</v>
      </c>
      <c r="N909" s="14">
        <v>1</v>
      </c>
      <c r="P909" s="12" t="s">
        <v>268</v>
      </c>
      <c r="W909" s="9" t="str">
        <f t="shared" ca="1" si="71"/>
        <v>18.5%</v>
      </c>
      <c r="X909" t="s">
        <v>321</v>
      </c>
      <c r="Y909" s="9" t="str">
        <f t="shared" ca="1" si="72"/>
        <v>Sin costo</v>
      </c>
      <c r="Z909" t="s">
        <v>327</v>
      </c>
      <c r="AA909" t="s">
        <v>329</v>
      </c>
      <c r="AB909" t="s">
        <v>334</v>
      </c>
      <c r="AC909" s="12" t="s">
        <v>339</v>
      </c>
      <c r="AE909" t="s">
        <v>268</v>
      </c>
      <c r="AG909" s="12" t="s">
        <v>268</v>
      </c>
      <c r="AH909" t="s">
        <v>92</v>
      </c>
      <c r="AI909" s="12" t="s">
        <v>268</v>
      </c>
      <c r="AJ909" t="s">
        <v>92</v>
      </c>
      <c r="AK909" t="s">
        <v>92</v>
      </c>
      <c r="AL909" t="s">
        <v>92</v>
      </c>
      <c r="AM909" s="12" t="s">
        <v>268</v>
      </c>
      <c r="AN909" s="12" t="s">
        <v>268</v>
      </c>
      <c r="AO909" s="12" t="s">
        <v>268</v>
      </c>
      <c r="AP909" s="12" t="s">
        <v>268</v>
      </c>
      <c r="AQ909" s="12" t="s">
        <v>268</v>
      </c>
      <c r="AR909" s="28" t="str">
        <f t="shared" ca="1" si="73"/>
        <v/>
      </c>
      <c r="AS909" s="28" t="str">
        <f t="shared" ca="1" si="74"/>
        <v/>
      </c>
    </row>
    <row r="910" spans="2:45" ht="27.6" customHeight="1">
      <c r="B910">
        <f t="shared" ca="1" si="70"/>
        <v>0</v>
      </c>
      <c r="C910" t="s">
        <v>85</v>
      </c>
      <c r="D910" t="s">
        <v>92</v>
      </c>
      <c r="E910" t="s">
        <v>92</v>
      </c>
      <c r="F910" t="s">
        <v>92</v>
      </c>
      <c r="G910" t="s">
        <v>92</v>
      </c>
      <c r="H910" t="s">
        <v>92</v>
      </c>
      <c r="I910" s="12" t="s">
        <v>268</v>
      </c>
      <c r="J910" t="s">
        <v>278</v>
      </c>
      <c r="L910" t="s">
        <v>92</v>
      </c>
      <c r="N910" s="14">
        <v>1</v>
      </c>
      <c r="P910" s="12" t="s">
        <v>268</v>
      </c>
      <c r="W910" s="9" t="str">
        <f t="shared" ca="1" si="71"/>
        <v>18.5%</v>
      </c>
      <c r="X910" t="s">
        <v>321</v>
      </c>
      <c r="Y910" s="9" t="str">
        <f t="shared" ca="1" si="72"/>
        <v>Sin costo</v>
      </c>
      <c r="Z910" t="s">
        <v>327</v>
      </c>
      <c r="AA910" t="s">
        <v>329</v>
      </c>
      <c r="AB910" t="s">
        <v>334</v>
      </c>
      <c r="AC910" s="12" t="s">
        <v>339</v>
      </c>
      <c r="AE910" t="s">
        <v>268</v>
      </c>
      <c r="AG910" s="12" t="s">
        <v>268</v>
      </c>
      <c r="AH910" t="s">
        <v>92</v>
      </c>
      <c r="AI910" s="12" t="s">
        <v>268</v>
      </c>
      <c r="AJ910" t="s">
        <v>92</v>
      </c>
      <c r="AK910" t="s">
        <v>92</v>
      </c>
      <c r="AL910" t="s">
        <v>92</v>
      </c>
      <c r="AM910" s="12" t="s">
        <v>268</v>
      </c>
      <c r="AN910" s="12" t="s">
        <v>268</v>
      </c>
      <c r="AO910" s="12" t="s">
        <v>268</v>
      </c>
      <c r="AP910" s="12" t="s">
        <v>268</v>
      </c>
      <c r="AQ910" s="12" t="s">
        <v>268</v>
      </c>
      <c r="AR910" s="28" t="str">
        <f t="shared" ca="1" si="73"/>
        <v/>
      </c>
      <c r="AS910" s="28" t="str">
        <f t="shared" ca="1" si="74"/>
        <v/>
      </c>
    </row>
    <row r="911" spans="2:45" ht="27.6" customHeight="1">
      <c r="B911">
        <f t="shared" ca="1" si="70"/>
        <v>0</v>
      </c>
      <c r="C911" t="s">
        <v>85</v>
      </c>
      <c r="D911" t="s">
        <v>92</v>
      </c>
      <c r="E911" t="s">
        <v>92</v>
      </c>
      <c r="F911" t="s">
        <v>92</v>
      </c>
      <c r="G911" t="s">
        <v>92</v>
      </c>
      <c r="H911" t="s">
        <v>92</v>
      </c>
      <c r="I911" s="12" t="s">
        <v>268</v>
      </c>
      <c r="J911" t="s">
        <v>278</v>
      </c>
      <c r="L911" t="s">
        <v>92</v>
      </c>
      <c r="N911" s="14">
        <v>1</v>
      </c>
      <c r="P911" s="12" t="s">
        <v>268</v>
      </c>
      <c r="W911" s="9" t="str">
        <f t="shared" ca="1" si="71"/>
        <v>18.5%</v>
      </c>
      <c r="X911" t="s">
        <v>321</v>
      </c>
      <c r="Y911" s="9" t="str">
        <f t="shared" ca="1" si="72"/>
        <v>Sin costo</v>
      </c>
      <c r="Z911" t="s">
        <v>327</v>
      </c>
      <c r="AA911" t="s">
        <v>329</v>
      </c>
      <c r="AB911" t="s">
        <v>334</v>
      </c>
      <c r="AC911" s="12" t="s">
        <v>339</v>
      </c>
      <c r="AE911" t="s">
        <v>268</v>
      </c>
      <c r="AG911" s="12" t="s">
        <v>268</v>
      </c>
      <c r="AH911" t="s">
        <v>92</v>
      </c>
      <c r="AI911" s="12" t="s">
        <v>268</v>
      </c>
      <c r="AJ911" t="s">
        <v>92</v>
      </c>
      <c r="AK911" t="s">
        <v>92</v>
      </c>
      <c r="AL911" t="s">
        <v>92</v>
      </c>
      <c r="AM911" s="12" t="s">
        <v>268</v>
      </c>
      <c r="AN911" s="12" t="s">
        <v>268</v>
      </c>
      <c r="AO911" s="12" t="s">
        <v>268</v>
      </c>
      <c r="AP911" s="12" t="s">
        <v>268</v>
      </c>
      <c r="AQ911" s="12" t="s">
        <v>268</v>
      </c>
      <c r="AR911" s="28" t="str">
        <f t="shared" ca="1" si="73"/>
        <v/>
      </c>
      <c r="AS911" s="28" t="str">
        <f t="shared" ca="1" si="74"/>
        <v/>
      </c>
    </row>
    <row r="912" spans="2:45" ht="27.6" customHeight="1">
      <c r="B912">
        <f t="shared" ca="1" si="70"/>
        <v>0</v>
      </c>
      <c r="C912" t="s">
        <v>85</v>
      </c>
      <c r="D912" t="s">
        <v>92</v>
      </c>
      <c r="E912" t="s">
        <v>92</v>
      </c>
      <c r="F912" t="s">
        <v>92</v>
      </c>
      <c r="G912" t="s">
        <v>92</v>
      </c>
      <c r="H912" t="s">
        <v>92</v>
      </c>
      <c r="I912" s="12" t="s">
        <v>268</v>
      </c>
      <c r="J912" t="s">
        <v>278</v>
      </c>
      <c r="L912" t="s">
        <v>92</v>
      </c>
      <c r="N912" s="14">
        <v>1</v>
      </c>
      <c r="P912" s="12" t="s">
        <v>268</v>
      </c>
      <c r="W912" s="9" t="str">
        <f t="shared" ca="1" si="71"/>
        <v>18.5%</v>
      </c>
      <c r="X912" t="s">
        <v>321</v>
      </c>
      <c r="Y912" s="9" t="str">
        <f t="shared" ca="1" si="72"/>
        <v>Sin costo</v>
      </c>
      <c r="Z912" t="s">
        <v>327</v>
      </c>
      <c r="AA912" t="s">
        <v>329</v>
      </c>
      <c r="AB912" t="s">
        <v>334</v>
      </c>
      <c r="AC912" s="12" t="s">
        <v>339</v>
      </c>
      <c r="AE912" t="s">
        <v>268</v>
      </c>
      <c r="AG912" s="12" t="s">
        <v>268</v>
      </c>
      <c r="AH912" t="s">
        <v>92</v>
      </c>
      <c r="AI912" s="12" t="s">
        <v>268</v>
      </c>
      <c r="AJ912" t="s">
        <v>92</v>
      </c>
      <c r="AK912" t="s">
        <v>92</v>
      </c>
      <c r="AL912" t="s">
        <v>92</v>
      </c>
      <c r="AM912" s="12" t="s">
        <v>268</v>
      </c>
      <c r="AN912" s="12" t="s">
        <v>268</v>
      </c>
      <c r="AO912" s="12" t="s">
        <v>268</v>
      </c>
      <c r="AP912" s="12" t="s">
        <v>268</v>
      </c>
      <c r="AQ912" s="12" t="s">
        <v>268</v>
      </c>
      <c r="AR912" s="28" t="str">
        <f t="shared" ca="1" si="73"/>
        <v/>
      </c>
      <c r="AS912" s="28" t="str">
        <f t="shared" ca="1" si="74"/>
        <v/>
      </c>
    </row>
    <row r="913" spans="2:45" ht="27.6" customHeight="1">
      <c r="B913">
        <f t="shared" ca="1" si="70"/>
        <v>0</v>
      </c>
      <c r="C913" t="s">
        <v>85</v>
      </c>
      <c r="D913" t="s">
        <v>92</v>
      </c>
      <c r="E913" t="s">
        <v>92</v>
      </c>
      <c r="F913" t="s">
        <v>92</v>
      </c>
      <c r="G913" t="s">
        <v>92</v>
      </c>
      <c r="H913" t="s">
        <v>92</v>
      </c>
      <c r="I913" s="12" t="s">
        <v>268</v>
      </c>
      <c r="J913" t="s">
        <v>278</v>
      </c>
      <c r="L913" t="s">
        <v>92</v>
      </c>
      <c r="N913" s="14">
        <v>1</v>
      </c>
      <c r="P913" s="12" t="s">
        <v>268</v>
      </c>
      <c r="W913" s="9" t="str">
        <f t="shared" ca="1" si="71"/>
        <v>18.5%</v>
      </c>
      <c r="X913" t="s">
        <v>321</v>
      </c>
      <c r="Y913" s="9" t="str">
        <f t="shared" ca="1" si="72"/>
        <v>Sin costo</v>
      </c>
      <c r="Z913" t="s">
        <v>327</v>
      </c>
      <c r="AA913" t="s">
        <v>329</v>
      </c>
      <c r="AB913" t="s">
        <v>334</v>
      </c>
      <c r="AC913" s="12" t="s">
        <v>339</v>
      </c>
      <c r="AE913" t="s">
        <v>268</v>
      </c>
      <c r="AG913" s="12" t="s">
        <v>268</v>
      </c>
      <c r="AH913" t="s">
        <v>92</v>
      </c>
      <c r="AI913" s="12" t="s">
        <v>268</v>
      </c>
      <c r="AJ913" t="s">
        <v>92</v>
      </c>
      <c r="AK913" t="s">
        <v>92</v>
      </c>
      <c r="AL913" t="s">
        <v>92</v>
      </c>
      <c r="AM913" s="12" t="s">
        <v>268</v>
      </c>
      <c r="AN913" s="12" t="s">
        <v>268</v>
      </c>
      <c r="AO913" s="12" t="s">
        <v>268</v>
      </c>
      <c r="AP913" s="12" t="s">
        <v>268</v>
      </c>
      <c r="AQ913" s="12" t="s">
        <v>268</v>
      </c>
      <c r="AR913" s="28" t="str">
        <f t="shared" ca="1" si="73"/>
        <v/>
      </c>
      <c r="AS913" s="28" t="str">
        <f t="shared" ca="1" si="74"/>
        <v/>
      </c>
    </row>
    <row r="914" spans="2:45" ht="27.6" customHeight="1">
      <c r="B914">
        <f t="shared" ca="1" si="70"/>
        <v>0</v>
      </c>
      <c r="C914" t="s">
        <v>85</v>
      </c>
      <c r="D914" t="s">
        <v>92</v>
      </c>
      <c r="E914" t="s">
        <v>92</v>
      </c>
      <c r="F914" t="s">
        <v>92</v>
      </c>
      <c r="G914" t="s">
        <v>92</v>
      </c>
      <c r="H914" t="s">
        <v>92</v>
      </c>
      <c r="I914" s="12" t="s">
        <v>268</v>
      </c>
      <c r="J914" t="s">
        <v>278</v>
      </c>
      <c r="L914" t="s">
        <v>92</v>
      </c>
      <c r="N914" s="14">
        <v>1</v>
      </c>
      <c r="P914" s="12" t="s">
        <v>268</v>
      </c>
      <c r="W914" s="9" t="str">
        <f t="shared" ca="1" si="71"/>
        <v>18.5%</v>
      </c>
      <c r="X914" t="s">
        <v>321</v>
      </c>
      <c r="Y914" s="9" t="str">
        <f t="shared" ca="1" si="72"/>
        <v>Sin costo</v>
      </c>
      <c r="Z914" t="s">
        <v>327</v>
      </c>
      <c r="AA914" t="s">
        <v>329</v>
      </c>
      <c r="AB914" t="s">
        <v>334</v>
      </c>
      <c r="AC914" s="12" t="s">
        <v>339</v>
      </c>
      <c r="AE914" t="s">
        <v>268</v>
      </c>
      <c r="AG914" s="12" t="s">
        <v>268</v>
      </c>
      <c r="AH914" t="s">
        <v>92</v>
      </c>
      <c r="AI914" s="12" t="s">
        <v>268</v>
      </c>
      <c r="AJ914" t="s">
        <v>92</v>
      </c>
      <c r="AK914" t="s">
        <v>92</v>
      </c>
      <c r="AL914" t="s">
        <v>92</v>
      </c>
      <c r="AM914" s="12" t="s">
        <v>268</v>
      </c>
      <c r="AN914" s="12" t="s">
        <v>268</v>
      </c>
      <c r="AO914" s="12" t="s">
        <v>268</v>
      </c>
      <c r="AP914" s="12" t="s">
        <v>268</v>
      </c>
      <c r="AQ914" s="12" t="s">
        <v>268</v>
      </c>
      <c r="AR914" s="28" t="str">
        <f t="shared" ca="1" si="73"/>
        <v/>
      </c>
      <c r="AS914" s="28" t="str">
        <f t="shared" ca="1" si="74"/>
        <v/>
      </c>
    </row>
    <row r="915" spans="2:45" ht="27.6" customHeight="1">
      <c r="B915">
        <f t="shared" ca="1" si="70"/>
        <v>0</v>
      </c>
      <c r="C915" t="s">
        <v>85</v>
      </c>
      <c r="D915" t="s">
        <v>92</v>
      </c>
      <c r="E915" t="s">
        <v>92</v>
      </c>
      <c r="F915" t="s">
        <v>92</v>
      </c>
      <c r="G915" t="s">
        <v>92</v>
      </c>
      <c r="H915" t="s">
        <v>92</v>
      </c>
      <c r="I915" s="12" t="s">
        <v>268</v>
      </c>
      <c r="J915" t="s">
        <v>278</v>
      </c>
      <c r="L915" t="s">
        <v>92</v>
      </c>
      <c r="N915" s="14">
        <v>1</v>
      </c>
      <c r="P915" s="12" t="s">
        <v>268</v>
      </c>
      <c r="W915" s="9" t="str">
        <f t="shared" ca="1" si="71"/>
        <v>18.5%</v>
      </c>
      <c r="X915" t="s">
        <v>321</v>
      </c>
      <c r="Y915" s="9" t="str">
        <f t="shared" ca="1" si="72"/>
        <v>Sin costo</v>
      </c>
      <c r="Z915" t="s">
        <v>327</v>
      </c>
      <c r="AA915" t="s">
        <v>329</v>
      </c>
      <c r="AB915" t="s">
        <v>334</v>
      </c>
      <c r="AC915" s="12" t="s">
        <v>339</v>
      </c>
      <c r="AE915" t="s">
        <v>268</v>
      </c>
      <c r="AG915" s="12" t="s">
        <v>268</v>
      </c>
      <c r="AH915" t="s">
        <v>92</v>
      </c>
      <c r="AI915" s="12" t="s">
        <v>268</v>
      </c>
      <c r="AJ915" t="s">
        <v>92</v>
      </c>
      <c r="AK915" t="s">
        <v>92</v>
      </c>
      <c r="AL915" t="s">
        <v>92</v>
      </c>
      <c r="AM915" s="12" t="s">
        <v>268</v>
      </c>
      <c r="AN915" s="12" t="s">
        <v>268</v>
      </c>
      <c r="AO915" s="12" t="s">
        <v>268</v>
      </c>
      <c r="AP915" s="12" t="s">
        <v>268</v>
      </c>
      <c r="AQ915" s="12" t="s">
        <v>268</v>
      </c>
      <c r="AR915" s="28" t="str">
        <f t="shared" ca="1" si="73"/>
        <v/>
      </c>
      <c r="AS915" s="28" t="str">
        <f t="shared" ca="1" si="74"/>
        <v/>
      </c>
    </row>
    <row r="916" spans="2:45" ht="27.6" customHeight="1">
      <c r="B916">
        <f t="shared" ca="1" si="70"/>
        <v>0</v>
      </c>
      <c r="C916" t="s">
        <v>85</v>
      </c>
      <c r="D916" t="s">
        <v>92</v>
      </c>
      <c r="E916" t="s">
        <v>92</v>
      </c>
      <c r="F916" t="s">
        <v>92</v>
      </c>
      <c r="G916" t="s">
        <v>92</v>
      </c>
      <c r="H916" t="s">
        <v>92</v>
      </c>
      <c r="I916" s="12" t="s">
        <v>268</v>
      </c>
      <c r="J916" t="s">
        <v>278</v>
      </c>
      <c r="L916" t="s">
        <v>92</v>
      </c>
      <c r="N916" s="14">
        <v>1</v>
      </c>
      <c r="P916" s="12" t="s">
        <v>268</v>
      </c>
      <c r="W916" s="9" t="str">
        <f t="shared" ca="1" si="71"/>
        <v>18.5%</v>
      </c>
      <c r="X916" t="s">
        <v>321</v>
      </c>
      <c r="Y916" s="9" t="str">
        <f t="shared" ca="1" si="72"/>
        <v>Sin costo</v>
      </c>
      <c r="Z916" t="s">
        <v>327</v>
      </c>
      <c r="AA916" t="s">
        <v>329</v>
      </c>
      <c r="AB916" t="s">
        <v>334</v>
      </c>
      <c r="AC916" s="12" t="s">
        <v>339</v>
      </c>
      <c r="AE916" t="s">
        <v>268</v>
      </c>
      <c r="AG916" s="12" t="s">
        <v>268</v>
      </c>
      <c r="AH916" t="s">
        <v>92</v>
      </c>
      <c r="AI916" s="12" t="s">
        <v>268</v>
      </c>
      <c r="AJ916" t="s">
        <v>92</v>
      </c>
      <c r="AK916" t="s">
        <v>92</v>
      </c>
      <c r="AL916" t="s">
        <v>92</v>
      </c>
      <c r="AM916" s="12" t="s">
        <v>268</v>
      </c>
      <c r="AN916" s="12" t="s">
        <v>268</v>
      </c>
      <c r="AO916" s="12" t="s">
        <v>268</v>
      </c>
      <c r="AP916" s="12" t="s">
        <v>268</v>
      </c>
      <c r="AQ916" s="12" t="s">
        <v>268</v>
      </c>
      <c r="AR916" s="28" t="str">
        <f t="shared" ca="1" si="73"/>
        <v/>
      </c>
      <c r="AS916" s="28" t="str">
        <f t="shared" ca="1" si="74"/>
        <v/>
      </c>
    </row>
    <row r="917" spans="2:45" ht="27.6" customHeight="1">
      <c r="B917">
        <f t="shared" ca="1" si="70"/>
        <v>0</v>
      </c>
      <c r="C917" t="s">
        <v>85</v>
      </c>
      <c r="D917" t="s">
        <v>92</v>
      </c>
      <c r="E917" t="s">
        <v>92</v>
      </c>
      <c r="F917" t="s">
        <v>92</v>
      </c>
      <c r="G917" t="s">
        <v>92</v>
      </c>
      <c r="H917" t="s">
        <v>92</v>
      </c>
      <c r="I917" s="12" t="s">
        <v>268</v>
      </c>
      <c r="J917" t="s">
        <v>278</v>
      </c>
      <c r="L917" t="s">
        <v>92</v>
      </c>
      <c r="N917" s="14">
        <v>1</v>
      </c>
      <c r="P917" s="12" t="s">
        <v>268</v>
      </c>
      <c r="W917" s="9" t="str">
        <f t="shared" ca="1" si="71"/>
        <v>18.5%</v>
      </c>
      <c r="X917" t="s">
        <v>321</v>
      </c>
      <c r="Y917" s="9" t="str">
        <f t="shared" ca="1" si="72"/>
        <v>Sin costo</v>
      </c>
      <c r="Z917" t="s">
        <v>327</v>
      </c>
      <c r="AA917" t="s">
        <v>329</v>
      </c>
      <c r="AB917" t="s">
        <v>334</v>
      </c>
      <c r="AC917" s="12" t="s">
        <v>339</v>
      </c>
      <c r="AE917" t="s">
        <v>268</v>
      </c>
      <c r="AG917" s="12" t="s">
        <v>268</v>
      </c>
      <c r="AH917" t="s">
        <v>92</v>
      </c>
      <c r="AI917" s="12" t="s">
        <v>268</v>
      </c>
      <c r="AJ917" t="s">
        <v>92</v>
      </c>
      <c r="AK917" t="s">
        <v>92</v>
      </c>
      <c r="AL917" t="s">
        <v>92</v>
      </c>
      <c r="AM917" s="12" t="s">
        <v>268</v>
      </c>
      <c r="AN917" s="12" t="s">
        <v>268</v>
      </c>
      <c r="AO917" s="12" t="s">
        <v>268</v>
      </c>
      <c r="AP917" s="12" t="s">
        <v>268</v>
      </c>
      <c r="AQ917" s="12" t="s">
        <v>268</v>
      </c>
      <c r="AR917" s="28" t="str">
        <f t="shared" ca="1" si="73"/>
        <v/>
      </c>
      <c r="AS917" s="28" t="str">
        <f t="shared" ca="1" si="74"/>
        <v/>
      </c>
    </row>
    <row r="918" spans="2:45" ht="27.6" customHeight="1">
      <c r="B918">
        <f t="shared" ca="1" si="70"/>
        <v>0</v>
      </c>
      <c r="C918" t="s">
        <v>85</v>
      </c>
      <c r="D918" t="s">
        <v>92</v>
      </c>
      <c r="E918" t="s">
        <v>92</v>
      </c>
      <c r="F918" t="s">
        <v>92</v>
      </c>
      <c r="G918" t="s">
        <v>92</v>
      </c>
      <c r="H918" t="s">
        <v>92</v>
      </c>
      <c r="I918" s="12" t="s">
        <v>268</v>
      </c>
      <c r="J918" t="s">
        <v>278</v>
      </c>
      <c r="L918" t="s">
        <v>92</v>
      </c>
      <c r="N918" s="14">
        <v>1</v>
      </c>
      <c r="P918" s="12" t="s">
        <v>268</v>
      </c>
      <c r="W918" s="9" t="str">
        <f t="shared" ca="1" si="71"/>
        <v>18.5%</v>
      </c>
      <c r="X918" t="s">
        <v>321</v>
      </c>
      <c r="Y918" s="9" t="str">
        <f t="shared" ca="1" si="72"/>
        <v>Sin costo</v>
      </c>
      <c r="Z918" t="s">
        <v>327</v>
      </c>
      <c r="AA918" t="s">
        <v>329</v>
      </c>
      <c r="AB918" t="s">
        <v>334</v>
      </c>
      <c r="AC918" s="12" t="s">
        <v>339</v>
      </c>
      <c r="AE918" t="s">
        <v>268</v>
      </c>
      <c r="AG918" s="12" t="s">
        <v>268</v>
      </c>
      <c r="AH918" t="s">
        <v>92</v>
      </c>
      <c r="AI918" s="12" t="s">
        <v>268</v>
      </c>
      <c r="AJ918" t="s">
        <v>92</v>
      </c>
      <c r="AK918" t="s">
        <v>92</v>
      </c>
      <c r="AL918" t="s">
        <v>92</v>
      </c>
      <c r="AM918" s="12" t="s">
        <v>268</v>
      </c>
      <c r="AN918" s="12" t="s">
        <v>268</v>
      </c>
      <c r="AO918" s="12" t="s">
        <v>268</v>
      </c>
      <c r="AP918" s="12" t="s">
        <v>268</v>
      </c>
      <c r="AQ918" s="12" t="s">
        <v>268</v>
      </c>
      <c r="AR918" s="28" t="str">
        <f t="shared" ca="1" si="73"/>
        <v/>
      </c>
      <c r="AS918" s="28" t="str">
        <f t="shared" ca="1" si="74"/>
        <v/>
      </c>
    </row>
    <row r="919" spans="2:45" ht="27.6" customHeight="1">
      <c r="B919">
        <f t="shared" ca="1" si="70"/>
        <v>0</v>
      </c>
      <c r="C919" t="s">
        <v>85</v>
      </c>
      <c r="D919" t="s">
        <v>92</v>
      </c>
      <c r="E919" t="s">
        <v>92</v>
      </c>
      <c r="F919" t="s">
        <v>92</v>
      </c>
      <c r="G919" t="s">
        <v>92</v>
      </c>
      <c r="H919" t="s">
        <v>92</v>
      </c>
      <c r="I919" s="12" t="s">
        <v>268</v>
      </c>
      <c r="J919" t="s">
        <v>278</v>
      </c>
      <c r="L919" t="s">
        <v>92</v>
      </c>
      <c r="N919" s="14">
        <v>1</v>
      </c>
      <c r="P919" s="12" t="s">
        <v>268</v>
      </c>
      <c r="W919" s="9" t="str">
        <f t="shared" ca="1" si="71"/>
        <v>18.5%</v>
      </c>
      <c r="X919" t="s">
        <v>321</v>
      </c>
      <c r="Y919" s="9" t="str">
        <f t="shared" ca="1" si="72"/>
        <v>Sin costo</v>
      </c>
      <c r="Z919" t="s">
        <v>327</v>
      </c>
      <c r="AA919" t="s">
        <v>329</v>
      </c>
      <c r="AB919" t="s">
        <v>334</v>
      </c>
      <c r="AC919" s="12" t="s">
        <v>339</v>
      </c>
      <c r="AE919" t="s">
        <v>268</v>
      </c>
      <c r="AG919" s="12" t="s">
        <v>268</v>
      </c>
      <c r="AH919" t="s">
        <v>92</v>
      </c>
      <c r="AI919" s="12" t="s">
        <v>268</v>
      </c>
      <c r="AJ919" t="s">
        <v>92</v>
      </c>
      <c r="AK919" t="s">
        <v>92</v>
      </c>
      <c r="AL919" t="s">
        <v>92</v>
      </c>
      <c r="AM919" s="12" t="s">
        <v>268</v>
      </c>
      <c r="AN919" s="12" t="s">
        <v>268</v>
      </c>
      <c r="AO919" s="12" t="s">
        <v>268</v>
      </c>
      <c r="AP919" s="12" t="s">
        <v>268</v>
      </c>
      <c r="AQ919" s="12" t="s">
        <v>268</v>
      </c>
      <c r="AR919" s="28" t="str">
        <f t="shared" ca="1" si="73"/>
        <v/>
      </c>
      <c r="AS919" s="28" t="str">
        <f t="shared" ca="1" si="74"/>
        <v/>
      </c>
    </row>
    <row r="920" spans="2:45" ht="27.6" customHeight="1">
      <c r="B920">
        <f t="shared" ca="1" si="70"/>
        <v>0</v>
      </c>
      <c r="C920" t="s">
        <v>85</v>
      </c>
      <c r="D920" t="s">
        <v>92</v>
      </c>
      <c r="E920" t="s">
        <v>92</v>
      </c>
      <c r="F920" t="s">
        <v>92</v>
      </c>
      <c r="G920" t="s">
        <v>92</v>
      </c>
      <c r="H920" t="s">
        <v>92</v>
      </c>
      <c r="I920" s="12" t="s">
        <v>268</v>
      </c>
      <c r="J920" t="s">
        <v>278</v>
      </c>
      <c r="L920" t="s">
        <v>92</v>
      </c>
      <c r="N920" s="14">
        <v>1</v>
      </c>
      <c r="P920" s="12" t="s">
        <v>268</v>
      </c>
      <c r="W920" s="9" t="str">
        <f t="shared" ca="1" si="71"/>
        <v>18.5%</v>
      </c>
      <c r="X920" t="s">
        <v>321</v>
      </c>
      <c r="Y920" s="9" t="str">
        <f t="shared" ca="1" si="72"/>
        <v>Sin costo</v>
      </c>
      <c r="Z920" t="s">
        <v>327</v>
      </c>
      <c r="AA920" t="s">
        <v>329</v>
      </c>
      <c r="AB920" t="s">
        <v>334</v>
      </c>
      <c r="AC920" s="12" t="s">
        <v>339</v>
      </c>
      <c r="AE920" t="s">
        <v>268</v>
      </c>
      <c r="AG920" s="12" t="s">
        <v>268</v>
      </c>
      <c r="AH920" t="s">
        <v>92</v>
      </c>
      <c r="AI920" s="12" t="s">
        <v>268</v>
      </c>
      <c r="AJ920" t="s">
        <v>92</v>
      </c>
      <c r="AK920" t="s">
        <v>92</v>
      </c>
      <c r="AL920" t="s">
        <v>92</v>
      </c>
      <c r="AM920" s="12" t="s">
        <v>268</v>
      </c>
      <c r="AN920" s="12" t="s">
        <v>268</v>
      </c>
      <c r="AO920" s="12" t="s">
        <v>268</v>
      </c>
      <c r="AP920" s="12" t="s">
        <v>268</v>
      </c>
      <c r="AQ920" s="12" t="s">
        <v>268</v>
      </c>
      <c r="AR920" s="28" t="str">
        <f t="shared" ca="1" si="73"/>
        <v/>
      </c>
      <c r="AS920" s="28" t="str">
        <f t="shared" ca="1" si="74"/>
        <v/>
      </c>
    </row>
    <row r="921" spans="2:45" ht="27.6" customHeight="1">
      <c r="B921">
        <f t="shared" ca="1" si="70"/>
        <v>0</v>
      </c>
      <c r="C921" t="s">
        <v>85</v>
      </c>
      <c r="D921" t="s">
        <v>92</v>
      </c>
      <c r="E921" t="s">
        <v>92</v>
      </c>
      <c r="F921" t="s">
        <v>92</v>
      </c>
      <c r="G921" t="s">
        <v>92</v>
      </c>
      <c r="H921" t="s">
        <v>92</v>
      </c>
      <c r="I921" s="12" t="s">
        <v>268</v>
      </c>
      <c r="J921" t="s">
        <v>278</v>
      </c>
      <c r="L921" t="s">
        <v>92</v>
      </c>
      <c r="N921" s="14">
        <v>1</v>
      </c>
      <c r="P921" s="12" t="s">
        <v>268</v>
      </c>
      <c r="W921" s="9" t="str">
        <f t="shared" ca="1" si="71"/>
        <v>18.5%</v>
      </c>
      <c r="X921" t="s">
        <v>321</v>
      </c>
      <c r="Y921" s="9" t="str">
        <f t="shared" ca="1" si="72"/>
        <v>Sin costo</v>
      </c>
      <c r="Z921" t="s">
        <v>327</v>
      </c>
      <c r="AA921" t="s">
        <v>329</v>
      </c>
      <c r="AB921" t="s">
        <v>334</v>
      </c>
      <c r="AC921" s="12" t="s">
        <v>339</v>
      </c>
      <c r="AE921" t="s">
        <v>268</v>
      </c>
      <c r="AG921" s="12" t="s">
        <v>268</v>
      </c>
      <c r="AH921" t="s">
        <v>92</v>
      </c>
      <c r="AI921" s="12" t="s">
        <v>268</v>
      </c>
      <c r="AJ921" t="s">
        <v>92</v>
      </c>
      <c r="AK921" t="s">
        <v>92</v>
      </c>
      <c r="AL921" t="s">
        <v>92</v>
      </c>
      <c r="AM921" s="12" t="s">
        <v>268</v>
      </c>
      <c r="AN921" s="12" t="s">
        <v>268</v>
      </c>
      <c r="AO921" s="12" t="s">
        <v>268</v>
      </c>
      <c r="AP921" s="12" t="s">
        <v>268</v>
      </c>
      <c r="AQ921" s="12" t="s">
        <v>268</v>
      </c>
      <c r="AR921" s="28" t="str">
        <f t="shared" ca="1" si="73"/>
        <v/>
      </c>
      <c r="AS921" s="28" t="str">
        <f t="shared" ca="1" si="74"/>
        <v/>
      </c>
    </row>
    <row r="922" spans="2:45" ht="27.6" customHeight="1">
      <c r="B922">
        <f t="shared" ca="1" si="70"/>
        <v>0</v>
      </c>
      <c r="C922" t="s">
        <v>85</v>
      </c>
      <c r="D922" t="s">
        <v>92</v>
      </c>
      <c r="E922" t="s">
        <v>92</v>
      </c>
      <c r="F922" t="s">
        <v>92</v>
      </c>
      <c r="G922" t="s">
        <v>92</v>
      </c>
      <c r="H922" t="s">
        <v>92</v>
      </c>
      <c r="I922" s="12" t="s">
        <v>268</v>
      </c>
      <c r="J922" t="s">
        <v>278</v>
      </c>
      <c r="L922" t="s">
        <v>92</v>
      </c>
      <c r="N922" s="14">
        <v>1</v>
      </c>
      <c r="P922" s="12" t="s">
        <v>268</v>
      </c>
      <c r="W922" s="9" t="str">
        <f t="shared" ca="1" si="71"/>
        <v>18.5%</v>
      </c>
      <c r="X922" t="s">
        <v>321</v>
      </c>
      <c r="Y922" s="9" t="str">
        <f t="shared" ca="1" si="72"/>
        <v>Sin costo</v>
      </c>
      <c r="Z922" t="s">
        <v>327</v>
      </c>
      <c r="AA922" t="s">
        <v>329</v>
      </c>
      <c r="AB922" t="s">
        <v>334</v>
      </c>
      <c r="AC922" s="12" t="s">
        <v>339</v>
      </c>
      <c r="AE922" t="s">
        <v>268</v>
      </c>
      <c r="AG922" s="12" t="s">
        <v>268</v>
      </c>
      <c r="AH922" t="s">
        <v>92</v>
      </c>
      <c r="AI922" s="12" t="s">
        <v>268</v>
      </c>
      <c r="AJ922" t="s">
        <v>92</v>
      </c>
      <c r="AK922" t="s">
        <v>92</v>
      </c>
      <c r="AL922" t="s">
        <v>92</v>
      </c>
      <c r="AM922" s="12" t="s">
        <v>268</v>
      </c>
      <c r="AN922" s="12" t="s">
        <v>268</v>
      </c>
      <c r="AO922" s="12" t="s">
        <v>268</v>
      </c>
      <c r="AP922" s="12" t="s">
        <v>268</v>
      </c>
      <c r="AQ922" s="12" t="s">
        <v>268</v>
      </c>
      <c r="AR922" s="28" t="str">
        <f t="shared" ca="1" si="73"/>
        <v/>
      </c>
      <c r="AS922" s="28" t="str">
        <f t="shared" ca="1" si="74"/>
        <v/>
      </c>
    </row>
    <row r="923" spans="2:45" ht="27.6" customHeight="1">
      <c r="B923">
        <f t="shared" ca="1" si="70"/>
        <v>0</v>
      </c>
      <c r="C923" t="s">
        <v>85</v>
      </c>
      <c r="D923" t="s">
        <v>92</v>
      </c>
      <c r="E923" t="s">
        <v>92</v>
      </c>
      <c r="F923" t="s">
        <v>92</v>
      </c>
      <c r="G923" t="s">
        <v>92</v>
      </c>
      <c r="H923" t="s">
        <v>92</v>
      </c>
      <c r="I923" s="12" t="s">
        <v>268</v>
      </c>
      <c r="J923" t="s">
        <v>278</v>
      </c>
      <c r="L923" t="s">
        <v>92</v>
      </c>
      <c r="N923" s="14">
        <v>1</v>
      </c>
      <c r="P923" s="12" t="s">
        <v>268</v>
      </c>
      <c r="W923" s="9" t="str">
        <f t="shared" ca="1" si="71"/>
        <v>18.5%</v>
      </c>
      <c r="X923" t="s">
        <v>321</v>
      </c>
      <c r="Y923" s="9" t="str">
        <f t="shared" ca="1" si="72"/>
        <v>Sin costo</v>
      </c>
      <c r="Z923" t="s">
        <v>327</v>
      </c>
      <c r="AA923" t="s">
        <v>329</v>
      </c>
      <c r="AB923" t="s">
        <v>334</v>
      </c>
      <c r="AC923" s="12" t="s">
        <v>339</v>
      </c>
      <c r="AE923" t="s">
        <v>268</v>
      </c>
      <c r="AG923" s="12" t="s">
        <v>268</v>
      </c>
      <c r="AH923" t="s">
        <v>92</v>
      </c>
      <c r="AI923" s="12" t="s">
        <v>268</v>
      </c>
      <c r="AJ923" t="s">
        <v>92</v>
      </c>
      <c r="AK923" t="s">
        <v>92</v>
      </c>
      <c r="AL923" t="s">
        <v>92</v>
      </c>
      <c r="AM923" s="12" t="s">
        <v>268</v>
      </c>
      <c r="AN923" s="12" t="s">
        <v>268</v>
      </c>
      <c r="AO923" s="12" t="s">
        <v>268</v>
      </c>
      <c r="AP923" s="12" t="s">
        <v>268</v>
      </c>
      <c r="AQ923" s="12" t="s">
        <v>268</v>
      </c>
      <c r="AR923" s="28" t="str">
        <f t="shared" ca="1" si="73"/>
        <v/>
      </c>
      <c r="AS923" s="28" t="str">
        <f t="shared" ca="1" si="74"/>
        <v/>
      </c>
    </row>
    <row r="924" spans="2:45" ht="27.6" customHeight="1">
      <c r="B924">
        <f t="shared" ca="1" si="70"/>
        <v>0</v>
      </c>
      <c r="C924" t="s">
        <v>85</v>
      </c>
      <c r="D924" t="s">
        <v>92</v>
      </c>
      <c r="E924" t="s">
        <v>92</v>
      </c>
      <c r="F924" t="s">
        <v>92</v>
      </c>
      <c r="G924" t="s">
        <v>92</v>
      </c>
      <c r="H924" t="s">
        <v>92</v>
      </c>
      <c r="I924" s="12" t="s">
        <v>268</v>
      </c>
      <c r="J924" t="s">
        <v>278</v>
      </c>
      <c r="L924" t="s">
        <v>92</v>
      </c>
      <c r="N924" s="14">
        <v>1</v>
      </c>
      <c r="P924" s="12" t="s">
        <v>268</v>
      </c>
      <c r="W924" s="9" t="str">
        <f t="shared" ca="1" si="71"/>
        <v>18.5%</v>
      </c>
      <c r="X924" t="s">
        <v>321</v>
      </c>
      <c r="Y924" s="9" t="str">
        <f t="shared" ca="1" si="72"/>
        <v>Sin costo</v>
      </c>
      <c r="Z924" t="s">
        <v>327</v>
      </c>
      <c r="AA924" t="s">
        <v>329</v>
      </c>
      <c r="AB924" t="s">
        <v>334</v>
      </c>
      <c r="AC924" s="12" t="s">
        <v>339</v>
      </c>
      <c r="AE924" t="s">
        <v>268</v>
      </c>
      <c r="AG924" s="12" t="s">
        <v>268</v>
      </c>
      <c r="AH924" t="s">
        <v>92</v>
      </c>
      <c r="AI924" s="12" t="s">
        <v>268</v>
      </c>
      <c r="AJ924" t="s">
        <v>92</v>
      </c>
      <c r="AK924" t="s">
        <v>92</v>
      </c>
      <c r="AL924" t="s">
        <v>92</v>
      </c>
      <c r="AM924" s="12" t="s">
        <v>268</v>
      </c>
      <c r="AN924" s="12" t="s">
        <v>268</v>
      </c>
      <c r="AO924" s="12" t="s">
        <v>268</v>
      </c>
      <c r="AP924" s="12" t="s">
        <v>268</v>
      </c>
      <c r="AQ924" s="12" t="s">
        <v>268</v>
      </c>
      <c r="AR924" s="28" t="str">
        <f t="shared" ca="1" si="73"/>
        <v/>
      </c>
      <c r="AS924" s="28" t="str">
        <f t="shared" ca="1" si="74"/>
        <v/>
      </c>
    </row>
    <row r="925" spans="2:45" ht="27.6" customHeight="1">
      <c r="B925">
        <f t="shared" ca="1" si="70"/>
        <v>0</v>
      </c>
      <c r="C925" t="s">
        <v>85</v>
      </c>
      <c r="D925" t="s">
        <v>92</v>
      </c>
      <c r="E925" t="s">
        <v>92</v>
      </c>
      <c r="F925" t="s">
        <v>92</v>
      </c>
      <c r="G925" t="s">
        <v>92</v>
      </c>
      <c r="H925" t="s">
        <v>92</v>
      </c>
      <c r="I925" s="12" t="s">
        <v>268</v>
      </c>
      <c r="J925" t="s">
        <v>278</v>
      </c>
      <c r="L925" t="s">
        <v>92</v>
      </c>
      <c r="N925" s="14">
        <v>1</v>
      </c>
      <c r="P925" s="12" t="s">
        <v>268</v>
      </c>
      <c r="W925" s="9" t="str">
        <f t="shared" ca="1" si="71"/>
        <v>18.5%</v>
      </c>
      <c r="X925" t="s">
        <v>321</v>
      </c>
      <c r="Y925" s="9" t="str">
        <f t="shared" ca="1" si="72"/>
        <v>Sin costo</v>
      </c>
      <c r="Z925" t="s">
        <v>327</v>
      </c>
      <c r="AA925" t="s">
        <v>329</v>
      </c>
      <c r="AB925" t="s">
        <v>334</v>
      </c>
      <c r="AC925" s="12" t="s">
        <v>339</v>
      </c>
      <c r="AE925" t="s">
        <v>268</v>
      </c>
      <c r="AG925" s="12" t="s">
        <v>268</v>
      </c>
      <c r="AH925" t="s">
        <v>92</v>
      </c>
      <c r="AI925" s="12" t="s">
        <v>268</v>
      </c>
      <c r="AJ925" t="s">
        <v>92</v>
      </c>
      <c r="AK925" t="s">
        <v>92</v>
      </c>
      <c r="AL925" t="s">
        <v>92</v>
      </c>
      <c r="AM925" s="12" t="s">
        <v>268</v>
      </c>
      <c r="AN925" s="12" t="s">
        <v>268</v>
      </c>
      <c r="AO925" s="12" t="s">
        <v>268</v>
      </c>
      <c r="AP925" s="12" t="s">
        <v>268</v>
      </c>
      <c r="AQ925" s="12" t="s">
        <v>268</v>
      </c>
      <c r="AR925" s="28" t="str">
        <f t="shared" ca="1" si="73"/>
        <v/>
      </c>
      <c r="AS925" s="28" t="str">
        <f t="shared" ca="1" si="74"/>
        <v/>
      </c>
    </row>
    <row r="926" spans="2:45" ht="27.6" customHeight="1">
      <c r="B926">
        <f t="shared" ca="1" si="70"/>
        <v>0</v>
      </c>
      <c r="C926" t="s">
        <v>85</v>
      </c>
      <c r="D926" t="s">
        <v>92</v>
      </c>
      <c r="E926" t="s">
        <v>92</v>
      </c>
      <c r="F926" t="s">
        <v>92</v>
      </c>
      <c r="G926" t="s">
        <v>92</v>
      </c>
      <c r="H926" t="s">
        <v>92</v>
      </c>
      <c r="I926" s="12" t="s">
        <v>268</v>
      </c>
      <c r="J926" t="s">
        <v>278</v>
      </c>
      <c r="L926" t="s">
        <v>92</v>
      </c>
      <c r="N926" s="14">
        <v>1</v>
      </c>
      <c r="P926" s="12" t="s">
        <v>268</v>
      </c>
      <c r="W926" s="9" t="str">
        <f t="shared" ca="1" si="71"/>
        <v>18.5%</v>
      </c>
      <c r="X926" t="s">
        <v>321</v>
      </c>
      <c r="Y926" s="9" t="str">
        <f t="shared" ca="1" si="72"/>
        <v>Sin costo</v>
      </c>
      <c r="Z926" t="s">
        <v>327</v>
      </c>
      <c r="AA926" t="s">
        <v>329</v>
      </c>
      <c r="AB926" t="s">
        <v>334</v>
      </c>
      <c r="AC926" s="12" t="s">
        <v>339</v>
      </c>
      <c r="AE926" t="s">
        <v>268</v>
      </c>
      <c r="AG926" s="12" t="s">
        <v>268</v>
      </c>
      <c r="AH926" t="s">
        <v>92</v>
      </c>
      <c r="AI926" s="12" t="s">
        <v>268</v>
      </c>
      <c r="AJ926" t="s">
        <v>92</v>
      </c>
      <c r="AK926" t="s">
        <v>92</v>
      </c>
      <c r="AL926" t="s">
        <v>92</v>
      </c>
      <c r="AM926" s="12" t="s">
        <v>268</v>
      </c>
      <c r="AN926" s="12" t="s">
        <v>268</v>
      </c>
      <c r="AO926" s="12" t="s">
        <v>268</v>
      </c>
      <c r="AP926" s="12" t="s">
        <v>268</v>
      </c>
      <c r="AQ926" s="12" t="s">
        <v>268</v>
      </c>
      <c r="AR926" s="28" t="str">
        <f t="shared" ca="1" si="73"/>
        <v/>
      </c>
      <c r="AS926" s="28" t="str">
        <f t="shared" ca="1" si="74"/>
        <v/>
      </c>
    </row>
    <row r="927" spans="2:45" ht="27.6" customHeight="1">
      <c r="B927">
        <f t="shared" ca="1" si="70"/>
        <v>0</v>
      </c>
      <c r="C927" t="s">
        <v>85</v>
      </c>
      <c r="D927" t="s">
        <v>92</v>
      </c>
      <c r="E927" t="s">
        <v>92</v>
      </c>
      <c r="F927" t="s">
        <v>92</v>
      </c>
      <c r="G927" t="s">
        <v>92</v>
      </c>
      <c r="H927" t="s">
        <v>92</v>
      </c>
      <c r="I927" s="12" t="s">
        <v>268</v>
      </c>
      <c r="J927" t="s">
        <v>278</v>
      </c>
      <c r="L927" t="s">
        <v>92</v>
      </c>
      <c r="N927" s="14">
        <v>1</v>
      </c>
      <c r="P927" s="12" t="s">
        <v>268</v>
      </c>
      <c r="W927" s="9" t="str">
        <f t="shared" ca="1" si="71"/>
        <v>18.5%</v>
      </c>
      <c r="X927" t="s">
        <v>321</v>
      </c>
      <c r="Y927" s="9" t="str">
        <f t="shared" ca="1" si="72"/>
        <v>Sin costo</v>
      </c>
      <c r="Z927" t="s">
        <v>327</v>
      </c>
      <c r="AA927" t="s">
        <v>329</v>
      </c>
      <c r="AB927" t="s">
        <v>334</v>
      </c>
      <c r="AC927" s="12" t="s">
        <v>339</v>
      </c>
      <c r="AE927" t="s">
        <v>268</v>
      </c>
      <c r="AG927" s="12" t="s">
        <v>268</v>
      </c>
      <c r="AH927" t="s">
        <v>92</v>
      </c>
      <c r="AI927" s="12" t="s">
        <v>268</v>
      </c>
      <c r="AJ927" t="s">
        <v>92</v>
      </c>
      <c r="AK927" t="s">
        <v>92</v>
      </c>
      <c r="AL927" t="s">
        <v>92</v>
      </c>
      <c r="AM927" s="12" t="s">
        <v>268</v>
      </c>
      <c r="AN927" s="12" t="s">
        <v>268</v>
      </c>
      <c r="AO927" s="12" t="s">
        <v>268</v>
      </c>
      <c r="AP927" s="12" t="s">
        <v>268</v>
      </c>
      <c r="AQ927" s="12" t="s">
        <v>268</v>
      </c>
      <c r="AR927" s="28" t="str">
        <f t="shared" ca="1" si="73"/>
        <v/>
      </c>
      <c r="AS927" s="28" t="str">
        <f t="shared" ca="1" si="74"/>
        <v/>
      </c>
    </row>
    <row r="928" spans="2:45" ht="27.6" customHeight="1">
      <c r="B928">
        <f t="shared" ca="1" si="70"/>
        <v>0</v>
      </c>
      <c r="C928" t="s">
        <v>85</v>
      </c>
      <c r="D928" t="s">
        <v>92</v>
      </c>
      <c r="E928" t="s">
        <v>92</v>
      </c>
      <c r="F928" t="s">
        <v>92</v>
      </c>
      <c r="G928" t="s">
        <v>92</v>
      </c>
      <c r="H928" t="s">
        <v>92</v>
      </c>
      <c r="I928" s="12" t="s">
        <v>268</v>
      </c>
      <c r="J928" t="s">
        <v>278</v>
      </c>
      <c r="L928" t="s">
        <v>92</v>
      </c>
      <c r="N928" s="14">
        <v>1</v>
      </c>
      <c r="P928" s="12" t="s">
        <v>268</v>
      </c>
      <c r="W928" s="9" t="str">
        <f t="shared" ca="1" si="71"/>
        <v>18.5%</v>
      </c>
      <c r="X928" t="s">
        <v>321</v>
      </c>
      <c r="Y928" s="9" t="str">
        <f t="shared" ca="1" si="72"/>
        <v>Sin costo</v>
      </c>
      <c r="Z928" t="s">
        <v>327</v>
      </c>
      <c r="AA928" t="s">
        <v>329</v>
      </c>
      <c r="AB928" t="s">
        <v>334</v>
      </c>
      <c r="AC928" s="12" t="s">
        <v>339</v>
      </c>
      <c r="AE928" t="s">
        <v>268</v>
      </c>
      <c r="AG928" s="12" t="s">
        <v>268</v>
      </c>
      <c r="AH928" t="s">
        <v>92</v>
      </c>
      <c r="AI928" s="12" t="s">
        <v>268</v>
      </c>
      <c r="AJ928" t="s">
        <v>92</v>
      </c>
      <c r="AK928" t="s">
        <v>92</v>
      </c>
      <c r="AL928" t="s">
        <v>92</v>
      </c>
      <c r="AM928" s="12" t="s">
        <v>268</v>
      </c>
      <c r="AN928" s="12" t="s">
        <v>268</v>
      </c>
      <c r="AO928" s="12" t="s">
        <v>268</v>
      </c>
      <c r="AP928" s="12" t="s">
        <v>268</v>
      </c>
      <c r="AQ928" s="12" t="s">
        <v>268</v>
      </c>
      <c r="AR928" s="28" t="str">
        <f t="shared" ca="1" si="73"/>
        <v/>
      </c>
      <c r="AS928" s="28" t="str">
        <f t="shared" ca="1" si="74"/>
        <v/>
      </c>
    </row>
    <row r="929" spans="2:45" ht="27.6" customHeight="1">
      <c r="B929">
        <f t="shared" ca="1" si="70"/>
        <v>0</v>
      </c>
      <c r="C929" t="s">
        <v>85</v>
      </c>
      <c r="D929" t="s">
        <v>92</v>
      </c>
      <c r="E929" t="s">
        <v>92</v>
      </c>
      <c r="F929" t="s">
        <v>92</v>
      </c>
      <c r="G929" t="s">
        <v>92</v>
      </c>
      <c r="H929" t="s">
        <v>92</v>
      </c>
      <c r="I929" s="12" t="s">
        <v>268</v>
      </c>
      <c r="J929" t="s">
        <v>278</v>
      </c>
      <c r="L929" t="s">
        <v>92</v>
      </c>
      <c r="N929" s="14">
        <v>1</v>
      </c>
      <c r="P929" s="12" t="s">
        <v>268</v>
      </c>
      <c r="W929" s="9" t="str">
        <f t="shared" ca="1" si="71"/>
        <v>18.5%</v>
      </c>
      <c r="X929" t="s">
        <v>321</v>
      </c>
      <c r="Y929" s="9" t="str">
        <f t="shared" ca="1" si="72"/>
        <v>Sin costo</v>
      </c>
      <c r="Z929" t="s">
        <v>327</v>
      </c>
      <c r="AA929" t="s">
        <v>329</v>
      </c>
      <c r="AB929" t="s">
        <v>334</v>
      </c>
      <c r="AC929" s="12" t="s">
        <v>339</v>
      </c>
      <c r="AE929" t="s">
        <v>268</v>
      </c>
      <c r="AG929" s="12" t="s">
        <v>268</v>
      </c>
      <c r="AH929" t="s">
        <v>92</v>
      </c>
      <c r="AI929" s="12" t="s">
        <v>268</v>
      </c>
      <c r="AJ929" t="s">
        <v>92</v>
      </c>
      <c r="AK929" t="s">
        <v>92</v>
      </c>
      <c r="AL929" t="s">
        <v>92</v>
      </c>
      <c r="AM929" s="12" t="s">
        <v>268</v>
      </c>
      <c r="AN929" s="12" t="s">
        <v>268</v>
      </c>
      <c r="AO929" s="12" t="s">
        <v>268</v>
      </c>
      <c r="AP929" s="12" t="s">
        <v>268</v>
      </c>
      <c r="AQ929" s="12" t="s">
        <v>268</v>
      </c>
      <c r="AR929" s="28" t="str">
        <f t="shared" ca="1" si="73"/>
        <v/>
      </c>
      <c r="AS929" s="28" t="str">
        <f t="shared" ca="1" si="74"/>
        <v/>
      </c>
    </row>
    <row r="930" spans="2:45" ht="27.6" customHeight="1">
      <c r="B930">
        <f t="shared" ca="1" si="70"/>
        <v>0</v>
      </c>
      <c r="C930" t="s">
        <v>85</v>
      </c>
      <c r="D930" t="s">
        <v>92</v>
      </c>
      <c r="E930" t="s">
        <v>92</v>
      </c>
      <c r="F930" t="s">
        <v>92</v>
      </c>
      <c r="G930" t="s">
        <v>92</v>
      </c>
      <c r="H930" t="s">
        <v>92</v>
      </c>
      <c r="I930" s="12" t="s">
        <v>268</v>
      </c>
      <c r="J930" t="s">
        <v>278</v>
      </c>
      <c r="L930" t="s">
        <v>92</v>
      </c>
      <c r="N930" s="14">
        <v>1</v>
      </c>
      <c r="P930" s="12" t="s">
        <v>268</v>
      </c>
      <c r="W930" s="9" t="str">
        <f t="shared" ca="1" si="71"/>
        <v>18.5%</v>
      </c>
      <c r="X930" t="s">
        <v>321</v>
      </c>
      <c r="Y930" s="9" t="str">
        <f t="shared" ca="1" si="72"/>
        <v>Sin costo</v>
      </c>
      <c r="Z930" t="s">
        <v>327</v>
      </c>
      <c r="AA930" t="s">
        <v>329</v>
      </c>
      <c r="AB930" t="s">
        <v>334</v>
      </c>
      <c r="AC930" s="12" t="s">
        <v>339</v>
      </c>
      <c r="AE930" t="s">
        <v>268</v>
      </c>
      <c r="AG930" s="12" t="s">
        <v>268</v>
      </c>
      <c r="AH930" t="s">
        <v>92</v>
      </c>
      <c r="AI930" s="12" t="s">
        <v>268</v>
      </c>
      <c r="AJ930" t="s">
        <v>92</v>
      </c>
      <c r="AK930" t="s">
        <v>92</v>
      </c>
      <c r="AL930" t="s">
        <v>92</v>
      </c>
      <c r="AM930" s="12" t="s">
        <v>268</v>
      </c>
      <c r="AN930" s="12" t="s">
        <v>268</v>
      </c>
      <c r="AO930" s="12" t="s">
        <v>268</v>
      </c>
      <c r="AP930" s="12" t="s">
        <v>268</v>
      </c>
      <c r="AQ930" s="12" t="s">
        <v>268</v>
      </c>
      <c r="AR930" s="28" t="str">
        <f t="shared" ca="1" si="73"/>
        <v/>
      </c>
      <c r="AS930" s="28" t="str">
        <f t="shared" ca="1" si="74"/>
        <v/>
      </c>
    </row>
    <row r="931" spans="2:45" ht="27.6" customHeight="1">
      <c r="B931">
        <f t="shared" ca="1" si="70"/>
        <v>0</v>
      </c>
      <c r="C931" t="s">
        <v>85</v>
      </c>
      <c r="D931" t="s">
        <v>92</v>
      </c>
      <c r="E931" t="s">
        <v>92</v>
      </c>
      <c r="F931" t="s">
        <v>92</v>
      </c>
      <c r="G931" t="s">
        <v>92</v>
      </c>
      <c r="H931" t="s">
        <v>92</v>
      </c>
      <c r="I931" s="12" t="s">
        <v>268</v>
      </c>
      <c r="J931" t="s">
        <v>278</v>
      </c>
      <c r="L931" t="s">
        <v>92</v>
      </c>
      <c r="N931" s="14">
        <v>1</v>
      </c>
      <c r="P931" s="12" t="s">
        <v>268</v>
      </c>
      <c r="W931" s="9" t="str">
        <f t="shared" ca="1" si="71"/>
        <v>18.5%</v>
      </c>
      <c r="X931" t="s">
        <v>321</v>
      </c>
      <c r="Y931" s="9" t="str">
        <f t="shared" ca="1" si="72"/>
        <v>Sin costo</v>
      </c>
      <c r="Z931" t="s">
        <v>327</v>
      </c>
      <c r="AA931" t="s">
        <v>329</v>
      </c>
      <c r="AB931" t="s">
        <v>334</v>
      </c>
      <c r="AC931" s="12" t="s">
        <v>339</v>
      </c>
      <c r="AE931" t="s">
        <v>268</v>
      </c>
      <c r="AG931" s="12" t="s">
        <v>268</v>
      </c>
      <c r="AH931" t="s">
        <v>92</v>
      </c>
      <c r="AI931" s="12" t="s">
        <v>268</v>
      </c>
      <c r="AJ931" t="s">
        <v>92</v>
      </c>
      <c r="AK931" t="s">
        <v>92</v>
      </c>
      <c r="AL931" t="s">
        <v>92</v>
      </c>
      <c r="AM931" s="12" t="s">
        <v>268</v>
      </c>
      <c r="AN931" s="12" t="s">
        <v>268</v>
      </c>
      <c r="AO931" s="12" t="s">
        <v>268</v>
      </c>
      <c r="AP931" s="12" t="s">
        <v>268</v>
      </c>
      <c r="AQ931" s="12" t="s">
        <v>268</v>
      </c>
      <c r="AR931" s="28" t="str">
        <f t="shared" ca="1" si="73"/>
        <v/>
      </c>
      <c r="AS931" s="28" t="str">
        <f t="shared" ca="1" si="74"/>
        <v/>
      </c>
    </row>
    <row r="932" spans="2:45" ht="27.6" customHeight="1">
      <c r="B932">
        <f t="shared" ca="1" si="70"/>
        <v>0</v>
      </c>
      <c r="C932" t="s">
        <v>85</v>
      </c>
      <c r="D932" t="s">
        <v>92</v>
      </c>
      <c r="E932" t="s">
        <v>92</v>
      </c>
      <c r="F932" t="s">
        <v>92</v>
      </c>
      <c r="G932" t="s">
        <v>92</v>
      </c>
      <c r="H932" t="s">
        <v>92</v>
      </c>
      <c r="I932" s="12" t="s">
        <v>268</v>
      </c>
      <c r="J932" t="s">
        <v>278</v>
      </c>
      <c r="L932" t="s">
        <v>92</v>
      </c>
      <c r="N932" s="14">
        <v>1</v>
      </c>
      <c r="P932" s="12" t="s">
        <v>268</v>
      </c>
      <c r="W932" s="9" t="str">
        <f t="shared" ca="1" si="71"/>
        <v>18.5%</v>
      </c>
      <c r="X932" t="s">
        <v>321</v>
      </c>
      <c r="Y932" s="9" t="str">
        <f t="shared" ca="1" si="72"/>
        <v>Sin costo</v>
      </c>
      <c r="Z932" t="s">
        <v>327</v>
      </c>
      <c r="AA932" t="s">
        <v>329</v>
      </c>
      <c r="AB932" t="s">
        <v>334</v>
      </c>
      <c r="AC932" s="12" t="s">
        <v>339</v>
      </c>
      <c r="AE932" t="s">
        <v>268</v>
      </c>
      <c r="AG932" s="12" t="s">
        <v>268</v>
      </c>
      <c r="AH932" t="s">
        <v>92</v>
      </c>
      <c r="AI932" s="12" t="s">
        <v>268</v>
      </c>
      <c r="AJ932" t="s">
        <v>92</v>
      </c>
      <c r="AK932" t="s">
        <v>92</v>
      </c>
      <c r="AL932" t="s">
        <v>92</v>
      </c>
      <c r="AM932" s="12" t="s">
        <v>268</v>
      </c>
      <c r="AN932" s="12" t="s">
        <v>268</v>
      </c>
      <c r="AO932" s="12" t="s">
        <v>268</v>
      </c>
      <c r="AP932" s="12" t="s">
        <v>268</v>
      </c>
      <c r="AQ932" s="12" t="s">
        <v>268</v>
      </c>
      <c r="AR932" s="28" t="str">
        <f t="shared" ca="1" si="73"/>
        <v/>
      </c>
      <c r="AS932" s="28" t="str">
        <f t="shared" ca="1" si="74"/>
        <v/>
      </c>
    </row>
    <row r="933" spans="2:45" ht="27.6" customHeight="1">
      <c r="B933">
        <f t="shared" ca="1" si="70"/>
        <v>0</v>
      </c>
      <c r="C933" t="s">
        <v>85</v>
      </c>
      <c r="D933" t="s">
        <v>92</v>
      </c>
      <c r="E933" t="s">
        <v>92</v>
      </c>
      <c r="F933" t="s">
        <v>92</v>
      </c>
      <c r="G933" t="s">
        <v>92</v>
      </c>
      <c r="H933" t="s">
        <v>92</v>
      </c>
      <c r="I933" s="12" t="s">
        <v>268</v>
      </c>
      <c r="J933" t="s">
        <v>278</v>
      </c>
      <c r="L933" t="s">
        <v>92</v>
      </c>
      <c r="N933" s="14">
        <v>1</v>
      </c>
      <c r="P933" s="12" t="s">
        <v>268</v>
      </c>
      <c r="W933" s="9" t="str">
        <f t="shared" ca="1" si="71"/>
        <v>18.5%</v>
      </c>
      <c r="X933" t="s">
        <v>321</v>
      </c>
      <c r="Y933" s="9" t="str">
        <f t="shared" ca="1" si="72"/>
        <v>Sin costo</v>
      </c>
      <c r="Z933" t="s">
        <v>327</v>
      </c>
      <c r="AA933" t="s">
        <v>329</v>
      </c>
      <c r="AB933" t="s">
        <v>334</v>
      </c>
      <c r="AC933" s="12" t="s">
        <v>339</v>
      </c>
      <c r="AE933" t="s">
        <v>268</v>
      </c>
      <c r="AG933" s="12" t="s">
        <v>268</v>
      </c>
      <c r="AH933" t="s">
        <v>92</v>
      </c>
      <c r="AI933" s="12" t="s">
        <v>268</v>
      </c>
      <c r="AJ933" t="s">
        <v>92</v>
      </c>
      <c r="AK933" t="s">
        <v>92</v>
      </c>
      <c r="AL933" t="s">
        <v>92</v>
      </c>
      <c r="AM933" s="12" t="s">
        <v>268</v>
      </c>
      <c r="AN933" s="12" t="s">
        <v>268</v>
      </c>
      <c r="AO933" s="12" t="s">
        <v>268</v>
      </c>
      <c r="AP933" s="12" t="s">
        <v>268</v>
      </c>
      <c r="AQ933" s="12" t="s">
        <v>268</v>
      </c>
      <c r="AR933" s="28" t="str">
        <f t="shared" ca="1" si="73"/>
        <v/>
      </c>
      <c r="AS933" s="28" t="str">
        <f t="shared" ca="1" si="74"/>
        <v/>
      </c>
    </row>
    <row r="934" spans="2:45" ht="27.6" customHeight="1">
      <c r="B934">
        <f t="shared" ca="1" si="70"/>
        <v>0</v>
      </c>
      <c r="C934" t="s">
        <v>85</v>
      </c>
      <c r="D934" t="s">
        <v>92</v>
      </c>
      <c r="E934" t="s">
        <v>92</v>
      </c>
      <c r="F934" t="s">
        <v>92</v>
      </c>
      <c r="G934" t="s">
        <v>92</v>
      </c>
      <c r="H934" t="s">
        <v>92</v>
      </c>
      <c r="I934" s="12" t="s">
        <v>268</v>
      </c>
      <c r="J934" t="s">
        <v>278</v>
      </c>
      <c r="L934" t="s">
        <v>92</v>
      </c>
      <c r="N934" s="14">
        <v>1</v>
      </c>
      <c r="P934" s="12" t="s">
        <v>268</v>
      </c>
      <c r="W934" s="9" t="str">
        <f t="shared" ca="1" si="71"/>
        <v>18.5%</v>
      </c>
      <c r="X934" t="s">
        <v>321</v>
      </c>
      <c r="Y934" s="9" t="str">
        <f t="shared" ca="1" si="72"/>
        <v>Sin costo</v>
      </c>
      <c r="Z934" t="s">
        <v>327</v>
      </c>
      <c r="AA934" t="s">
        <v>329</v>
      </c>
      <c r="AB934" t="s">
        <v>334</v>
      </c>
      <c r="AC934" s="12" t="s">
        <v>339</v>
      </c>
      <c r="AE934" t="s">
        <v>268</v>
      </c>
      <c r="AG934" s="12" t="s">
        <v>268</v>
      </c>
      <c r="AH934" t="s">
        <v>92</v>
      </c>
      <c r="AI934" s="12" t="s">
        <v>268</v>
      </c>
      <c r="AJ934" t="s">
        <v>92</v>
      </c>
      <c r="AK934" t="s">
        <v>92</v>
      </c>
      <c r="AL934" t="s">
        <v>92</v>
      </c>
      <c r="AM934" s="12" t="s">
        <v>268</v>
      </c>
      <c r="AN934" s="12" t="s">
        <v>268</v>
      </c>
      <c r="AO934" s="12" t="s">
        <v>268</v>
      </c>
      <c r="AP934" s="12" t="s">
        <v>268</v>
      </c>
      <c r="AQ934" s="12" t="s">
        <v>268</v>
      </c>
      <c r="AR934" s="28" t="str">
        <f t="shared" ca="1" si="73"/>
        <v/>
      </c>
      <c r="AS934" s="28" t="str">
        <f t="shared" ca="1" si="74"/>
        <v/>
      </c>
    </row>
    <row r="935" spans="2:45" ht="27.6" customHeight="1">
      <c r="B935">
        <f t="shared" ca="1" si="70"/>
        <v>0</v>
      </c>
      <c r="C935" t="s">
        <v>85</v>
      </c>
      <c r="D935" t="s">
        <v>92</v>
      </c>
      <c r="E935" t="s">
        <v>92</v>
      </c>
      <c r="F935" t="s">
        <v>92</v>
      </c>
      <c r="G935" t="s">
        <v>92</v>
      </c>
      <c r="H935" t="s">
        <v>92</v>
      </c>
      <c r="I935" s="12" t="s">
        <v>268</v>
      </c>
      <c r="J935" t="s">
        <v>278</v>
      </c>
      <c r="L935" t="s">
        <v>92</v>
      </c>
      <c r="N935" s="14">
        <v>1</v>
      </c>
      <c r="P935" s="12" t="s">
        <v>268</v>
      </c>
      <c r="W935" s="9" t="str">
        <f t="shared" ca="1" si="71"/>
        <v>18.5%</v>
      </c>
      <c r="X935" t="s">
        <v>321</v>
      </c>
      <c r="Y935" s="9" t="str">
        <f t="shared" ca="1" si="72"/>
        <v>Sin costo</v>
      </c>
      <c r="Z935" t="s">
        <v>327</v>
      </c>
      <c r="AA935" t="s">
        <v>329</v>
      </c>
      <c r="AB935" t="s">
        <v>334</v>
      </c>
      <c r="AC935" s="12" t="s">
        <v>339</v>
      </c>
      <c r="AE935" t="s">
        <v>268</v>
      </c>
      <c r="AG935" s="12" t="s">
        <v>268</v>
      </c>
      <c r="AH935" t="s">
        <v>92</v>
      </c>
      <c r="AI935" s="12" t="s">
        <v>268</v>
      </c>
      <c r="AJ935" t="s">
        <v>92</v>
      </c>
      <c r="AK935" t="s">
        <v>92</v>
      </c>
      <c r="AL935" t="s">
        <v>92</v>
      </c>
      <c r="AM935" s="12" t="s">
        <v>268</v>
      </c>
      <c r="AN935" s="12" t="s">
        <v>268</v>
      </c>
      <c r="AO935" s="12" t="s">
        <v>268</v>
      </c>
      <c r="AP935" s="12" t="s">
        <v>268</v>
      </c>
      <c r="AQ935" s="12" t="s">
        <v>268</v>
      </c>
      <c r="AR935" s="28" t="str">
        <f t="shared" ca="1" si="73"/>
        <v/>
      </c>
      <c r="AS935" s="28" t="str">
        <f t="shared" ca="1" si="74"/>
        <v/>
      </c>
    </row>
    <row r="936" spans="2:45" ht="27.6" customHeight="1">
      <c r="B936">
        <f t="shared" ca="1" si="70"/>
        <v>0</v>
      </c>
      <c r="C936" t="s">
        <v>85</v>
      </c>
      <c r="D936" t="s">
        <v>92</v>
      </c>
      <c r="E936" t="s">
        <v>92</v>
      </c>
      <c r="F936" t="s">
        <v>92</v>
      </c>
      <c r="G936" t="s">
        <v>92</v>
      </c>
      <c r="H936" t="s">
        <v>92</v>
      </c>
      <c r="I936" s="12" t="s">
        <v>268</v>
      </c>
      <c r="J936" t="s">
        <v>278</v>
      </c>
      <c r="L936" t="s">
        <v>92</v>
      </c>
      <c r="N936" s="14">
        <v>1</v>
      </c>
      <c r="P936" s="12" t="s">
        <v>268</v>
      </c>
      <c r="W936" s="9" t="str">
        <f t="shared" ca="1" si="71"/>
        <v>18.5%</v>
      </c>
      <c r="X936" t="s">
        <v>321</v>
      </c>
      <c r="Y936" s="9" t="str">
        <f t="shared" ca="1" si="72"/>
        <v>Sin costo</v>
      </c>
      <c r="Z936" t="s">
        <v>327</v>
      </c>
      <c r="AA936" t="s">
        <v>329</v>
      </c>
      <c r="AB936" t="s">
        <v>334</v>
      </c>
      <c r="AC936" s="12" t="s">
        <v>339</v>
      </c>
      <c r="AE936" t="s">
        <v>268</v>
      </c>
      <c r="AG936" s="12" t="s">
        <v>268</v>
      </c>
      <c r="AH936" t="s">
        <v>92</v>
      </c>
      <c r="AI936" s="12" t="s">
        <v>268</v>
      </c>
      <c r="AJ936" t="s">
        <v>92</v>
      </c>
      <c r="AK936" t="s">
        <v>92</v>
      </c>
      <c r="AL936" t="s">
        <v>92</v>
      </c>
      <c r="AM936" s="12" t="s">
        <v>268</v>
      </c>
      <c r="AN936" s="12" t="s">
        <v>268</v>
      </c>
      <c r="AO936" s="12" t="s">
        <v>268</v>
      </c>
      <c r="AP936" s="12" t="s">
        <v>268</v>
      </c>
      <c r="AQ936" s="12" t="s">
        <v>268</v>
      </c>
      <c r="AR936" s="28" t="str">
        <f t="shared" ca="1" si="73"/>
        <v/>
      </c>
      <c r="AS936" s="28" t="str">
        <f t="shared" ca="1" si="74"/>
        <v/>
      </c>
    </row>
    <row r="937" spans="2:45" ht="27.6" customHeight="1">
      <c r="B937">
        <f t="shared" ca="1" si="70"/>
        <v>0</v>
      </c>
      <c r="C937" t="s">
        <v>85</v>
      </c>
      <c r="D937" t="s">
        <v>92</v>
      </c>
      <c r="E937" t="s">
        <v>92</v>
      </c>
      <c r="F937" t="s">
        <v>92</v>
      </c>
      <c r="G937" t="s">
        <v>92</v>
      </c>
      <c r="H937" t="s">
        <v>92</v>
      </c>
      <c r="I937" s="12" t="s">
        <v>268</v>
      </c>
      <c r="J937" t="s">
        <v>278</v>
      </c>
      <c r="L937" t="s">
        <v>92</v>
      </c>
      <c r="N937" s="14">
        <v>1</v>
      </c>
      <c r="P937" s="12" t="s">
        <v>268</v>
      </c>
      <c r="W937" s="9" t="str">
        <f t="shared" ca="1" si="71"/>
        <v>18.5%</v>
      </c>
      <c r="X937" t="s">
        <v>321</v>
      </c>
      <c r="Y937" s="9" t="str">
        <f t="shared" ca="1" si="72"/>
        <v>Sin costo</v>
      </c>
      <c r="Z937" t="s">
        <v>327</v>
      </c>
      <c r="AA937" t="s">
        <v>329</v>
      </c>
      <c r="AB937" t="s">
        <v>334</v>
      </c>
      <c r="AC937" s="12" t="s">
        <v>339</v>
      </c>
      <c r="AE937" t="s">
        <v>268</v>
      </c>
      <c r="AG937" s="12" t="s">
        <v>268</v>
      </c>
      <c r="AH937" t="s">
        <v>92</v>
      </c>
      <c r="AI937" s="12" t="s">
        <v>268</v>
      </c>
      <c r="AJ937" t="s">
        <v>92</v>
      </c>
      <c r="AK937" t="s">
        <v>92</v>
      </c>
      <c r="AL937" t="s">
        <v>92</v>
      </c>
      <c r="AM937" s="12" t="s">
        <v>268</v>
      </c>
      <c r="AN937" s="12" t="s">
        <v>268</v>
      </c>
      <c r="AO937" s="12" t="s">
        <v>268</v>
      </c>
      <c r="AP937" s="12" t="s">
        <v>268</v>
      </c>
      <c r="AQ937" s="12" t="s">
        <v>268</v>
      </c>
      <c r="AR937" s="28" t="str">
        <f t="shared" ca="1" si="73"/>
        <v/>
      </c>
      <c r="AS937" s="28" t="str">
        <f t="shared" ca="1" si="74"/>
        <v/>
      </c>
    </row>
    <row r="938" spans="2:45" ht="27.6" customHeight="1">
      <c r="B938">
        <f t="shared" ca="1" si="70"/>
        <v>0</v>
      </c>
      <c r="C938" t="s">
        <v>85</v>
      </c>
      <c r="D938" t="s">
        <v>92</v>
      </c>
      <c r="E938" t="s">
        <v>92</v>
      </c>
      <c r="F938" t="s">
        <v>92</v>
      </c>
      <c r="G938" t="s">
        <v>92</v>
      </c>
      <c r="H938" t="s">
        <v>92</v>
      </c>
      <c r="I938" s="12" t="s">
        <v>268</v>
      </c>
      <c r="J938" t="s">
        <v>278</v>
      </c>
      <c r="L938" t="s">
        <v>92</v>
      </c>
      <c r="N938" s="14">
        <v>1</v>
      </c>
      <c r="P938" s="12" t="s">
        <v>268</v>
      </c>
      <c r="W938" s="9" t="str">
        <f t="shared" ca="1" si="71"/>
        <v>18.5%</v>
      </c>
      <c r="X938" t="s">
        <v>321</v>
      </c>
      <c r="Y938" s="9" t="str">
        <f t="shared" ca="1" si="72"/>
        <v>Sin costo</v>
      </c>
      <c r="Z938" t="s">
        <v>327</v>
      </c>
      <c r="AA938" t="s">
        <v>329</v>
      </c>
      <c r="AB938" t="s">
        <v>334</v>
      </c>
      <c r="AC938" s="12" t="s">
        <v>339</v>
      </c>
      <c r="AE938" t="s">
        <v>268</v>
      </c>
      <c r="AG938" s="12" t="s">
        <v>268</v>
      </c>
      <c r="AH938" t="s">
        <v>92</v>
      </c>
      <c r="AI938" s="12" t="s">
        <v>268</v>
      </c>
      <c r="AJ938" t="s">
        <v>92</v>
      </c>
      <c r="AK938" t="s">
        <v>92</v>
      </c>
      <c r="AL938" t="s">
        <v>92</v>
      </c>
      <c r="AM938" s="12" t="s">
        <v>268</v>
      </c>
      <c r="AN938" s="12" t="s">
        <v>268</v>
      </c>
      <c r="AO938" s="12" t="s">
        <v>268</v>
      </c>
      <c r="AP938" s="12" t="s">
        <v>268</v>
      </c>
      <c r="AQ938" s="12" t="s">
        <v>268</v>
      </c>
      <c r="AR938" s="28" t="str">
        <f t="shared" ca="1" si="73"/>
        <v/>
      </c>
      <c r="AS938" s="28" t="str">
        <f t="shared" ca="1" si="74"/>
        <v/>
      </c>
    </row>
    <row r="939" spans="2:45" ht="27.6" customHeight="1">
      <c r="B939">
        <f t="shared" ca="1" si="70"/>
        <v>0</v>
      </c>
      <c r="C939" t="s">
        <v>85</v>
      </c>
      <c r="D939" t="s">
        <v>92</v>
      </c>
      <c r="E939" t="s">
        <v>92</v>
      </c>
      <c r="F939" t="s">
        <v>92</v>
      </c>
      <c r="G939" t="s">
        <v>92</v>
      </c>
      <c r="H939" t="s">
        <v>92</v>
      </c>
      <c r="I939" s="12" t="s">
        <v>268</v>
      </c>
      <c r="J939" t="s">
        <v>278</v>
      </c>
      <c r="L939" t="s">
        <v>92</v>
      </c>
      <c r="N939" s="14">
        <v>1</v>
      </c>
      <c r="P939" s="12" t="s">
        <v>268</v>
      </c>
      <c r="W939" s="9" t="str">
        <f t="shared" ca="1" si="71"/>
        <v>18.5%</v>
      </c>
      <c r="X939" t="s">
        <v>321</v>
      </c>
      <c r="Y939" s="9" t="str">
        <f t="shared" ca="1" si="72"/>
        <v>Sin costo</v>
      </c>
      <c r="Z939" t="s">
        <v>327</v>
      </c>
      <c r="AA939" t="s">
        <v>329</v>
      </c>
      <c r="AB939" t="s">
        <v>334</v>
      </c>
      <c r="AC939" s="12" t="s">
        <v>339</v>
      </c>
      <c r="AE939" t="s">
        <v>268</v>
      </c>
      <c r="AG939" s="12" t="s">
        <v>268</v>
      </c>
      <c r="AH939" t="s">
        <v>92</v>
      </c>
      <c r="AI939" s="12" t="s">
        <v>268</v>
      </c>
      <c r="AJ939" t="s">
        <v>92</v>
      </c>
      <c r="AK939" t="s">
        <v>92</v>
      </c>
      <c r="AL939" t="s">
        <v>92</v>
      </c>
      <c r="AM939" s="12" t="s">
        <v>268</v>
      </c>
      <c r="AN939" s="12" t="s">
        <v>268</v>
      </c>
      <c r="AO939" s="12" t="s">
        <v>268</v>
      </c>
      <c r="AP939" s="12" t="s">
        <v>268</v>
      </c>
      <c r="AQ939" s="12" t="s">
        <v>268</v>
      </c>
      <c r="AR939" s="28" t="str">
        <f t="shared" ca="1" si="73"/>
        <v/>
      </c>
      <c r="AS939" s="28" t="str">
        <f t="shared" ca="1" si="74"/>
        <v/>
      </c>
    </row>
    <row r="940" spans="2:45" ht="27.6" customHeight="1">
      <c r="B940">
        <f t="shared" ca="1" si="70"/>
        <v>0</v>
      </c>
      <c r="C940" t="s">
        <v>85</v>
      </c>
      <c r="D940" t="s">
        <v>92</v>
      </c>
      <c r="E940" t="s">
        <v>92</v>
      </c>
      <c r="F940" t="s">
        <v>92</v>
      </c>
      <c r="G940" t="s">
        <v>92</v>
      </c>
      <c r="H940" t="s">
        <v>92</v>
      </c>
      <c r="I940" s="12" t="s">
        <v>268</v>
      </c>
      <c r="J940" t="s">
        <v>278</v>
      </c>
      <c r="L940" t="s">
        <v>92</v>
      </c>
      <c r="N940" s="14">
        <v>1</v>
      </c>
      <c r="P940" s="12" t="s">
        <v>268</v>
      </c>
      <c r="W940" s="9" t="str">
        <f t="shared" ca="1" si="71"/>
        <v>18.5%</v>
      </c>
      <c r="X940" t="s">
        <v>321</v>
      </c>
      <c r="Y940" s="9" t="str">
        <f t="shared" ca="1" si="72"/>
        <v>Sin costo</v>
      </c>
      <c r="Z940" t="s">
        <v>327</v>
      </c>
      <c r="AA940" t="s">
        <v>329</v>
      </c>
      <c r="AB940" t="s">
        <v>334</v>
      </c>
      <c r="AC940" s="12" t="s">
        <v>339</v>
      </c>
      <c r="AE940" t="s">
        <v>268</v>
      </c>
      <c r="AG940" s="12" t="s">
        <v>268</v>
      </c>
      <c r="AH940" t="s">
        <v>92</v>
      </c>
      <c r="AI940" s="12" t="s">
        <v>268</v>
      </c>
      <c r="AJ940" t="s">
        <v>92</v>
      </c>
      <c r="AK940" t="s">
        <v>92</v>
      </c>
      <c r="AL940" t="s">
        <v>92</v>
      </c>
      <c r="AM940" s="12" t="s">
        <v>268</v>
      </c>
      <c r="AN940" s="12" t="s">
        <v>268</v>
      </c>
      <c r="AO940" s="12" t="s">
        <v>268</v>
      </c>
      <c r="AP940" s="12" t="s">
        <v>268</v>
      </c>
      <c r="AQ940" s="12" t="s">
        <v>268</v>
      </c>
      <c r="AR940" s="28" t="str">
        <f t="shared" ca="1" si="73"/>
        <v/>
      </c>
      <c r="AS940" s="28" t="str">
        <f t="shared" ca="1" si="74"/>
        <v/>
      </c>
    </row>
    <row r="941" spans="2:45" ht="27.6" customHeight="1">
      <c r="B941">
        <f t="shared" ca="1" si="70"/>
        <v>0</v>
      </c>
      <c r="C941" t="s">
        <v>85</v>
      </c>
      <c r="D941" t="s">
        <v>92</v>
      </c>
      <c r="E941" t="s">
        <v>92</v>
      </c>
      <c r="F941" t="s">
        <v>92</v>
      </c>
      <c r="G941" t="s">
        <v>92</v>
      </c>
      <c r="H941" t="s">
        <v>92</v>
      </c>
      <c r="I941" s="12" t="s">
        <v>268</v>
      </c>
      <c r="J941" t="s">
        <v>278</v>
      </c>
      <c r="L941" t="s">
        <v>92</v>
      </c>
      <c r="N941" s="14">
        <v>1</v>
      </c>
      <c r="P941" s="12" t="s">
        <v>268</v>
      </c>
      <c r="W941" s="9" t="str">
        <f t="shared" ca="1" si="71"/>
        <v>18.5%</v>
      </c>
      <c r="X941" t="s">
        <v>321</v>
      </c>
      <c r="Y941" s="9" t="str">
        <f t="shared" ca="1" si="72"/>
        <v>Sin costo</v>
      </c>
      <c r="Z941" t="s">
        <v>327</v>
      </c>
      <c r="AA941" t="s">
        <v>329</v>
      </c>
      <c r="AB941" t="s">
        <v>334</v>
      </c>
      <c r="AC941" s="12" t="s">
        <v>339</v>
      </c>
      <c r="AE941" t="s">
        <v>268</v>
      </c>
      <c r="AG941" s="12" t="s">
        <v>268</v>
      </c>
      <c r="AH941" t="s">
        <v>92</v>
      </c>
      <c r="AI941" s="12" t="s">
        <v>268</v>
      </c>
      <c r="AJ941" t="s">
        <v>92</v>
      </c>
      <c r="AK941" t="s">
        <v>92</v>
      </c>
      <c r="AL941" t="s">
        <v>92</v>
      </c>
      <c r="AM941" s="12" t="s">
        <v>268</v>
      </c>
      <c r="AN941" s="12" t="s">
        <v>268</v>
      </c>
      <c r="AO941" s="12" t="s">
        <v>268</v>
      </c>
      <c r="AP941" s="12" t="s">
        <v>268</v>
      </c>
      <c r="AQ941" s="12" t="s">
        <v>268</v>
      </c>
      <c r="AR941" s="28" t="str">
        <f t="shared" ca="1" si="73"/>
        <v/>
      </c>
      <c r="AS941" s="28" t="str">
        <f t="shared" ca="1" si="74"/>
        <v/>
      </c>
    </row>
    <row r="942" spans="2:45" ht="27.6" customHeight="1">
      <c r="B942">
        <f t="shared" ca="1" si="70"/>
        <v>0</v>
      </c>
      <c r="C942" t="s">
        <v>85</v>
      </c>
      <c r="D942" t="s">
        <v>92</v>
      </c>
      <c r="E942" t="s">
        <v>92</v>
      </c>
      <c r="F942" t="s">
        <v>92</v>
      </c>
      <c r="G942" t="s">
        <v>92</v>
      </c>
      <c r="H942" t="s">
        <v>92</v>
      </c>
      <c r="I942" s="12" t="s">
        <v>268</v>
      </c>
      <c r="J942" t="s">
        <v>278</v>
      </c>
      <c r="L942" t="s">
        <v>92</v>
      </c>
      <c r="N942" s="14">
        <v>1</v>
      </c>
      <c r="P942" s="12" t="s">
        <v>268</v>
      </c>
      <c r="W942" s="9" t="str">
        <f t="shared" ca="1" si="71"/>
        <v>18.5%</v>
      </c>
      <c r="X942" t="s">
        <v>321</v>
      </c>
      <c r="Y942" s="9" t="str">
        <f t="shared" ca="1" si="72"/>
        <v>Sin costo</v>
      </c>
      <c r="Z942" t="s">
        <v>327</v>
      </c>
      <c r="AA942" t="s">
        <v>329</v>
      </c>
      <c r="AB942" t="s">
        <v>334</v>
      </c>
      <c r="AC942" s="12" t="s">
        <v>339</v>
      </c>
      <c r="AE942" t="s">
        <v>268</v>
      </c>
      <c r="AG942" s="12" t="s">
        <v>268</v>
      </c>
      <c r="AH942" t="s">
        <v>92</v>
      </c>
      <c r="AI942" s="12" t="s">
        <v>268</v>
      </c>
      <c r="AJ942" t="s">
        <v>92</v>
      </c>
      <c r="AK942" t="s">
        <v>92</v>
      </c>
      <c r="AL942" t="s">
        <v>92</v>
      </c>
      <c r="AM942" s="12" t="s">
        <v>268</v>
      </c>
      <c r="AN942" s="12" t="s">
        <v>268</v>
      </c>
      <c r="AO942" s="12" t="s">
        <v>268</v>
      </c>
      <c r="AP942" s="12" t="s">
        <v>268</v>
      </c>
      <c r="AQ942" s="12" t="s">
        <v>268</v>
      </c>
      <c r="AR942" s="28" t="str">
        <f t="shared" ca="1" si="73"/>
        <v/>
      </c>
      <c r="AS942" s="28" t="str">
        <f t="shared" ca="1" si="74"/>
        <v/>
      </c>
    </row>
    <row r="943" spans="2:45" ht="27.6" customHeight="1">
      <c r="B943">
        <f t="shared" ca="1" si="70"/>
        <v>0</v>
      </c>
      <c r="C943" t="s">
        <v>85</v>
      </c>
      <c r="D943" t="s">
        <v>92</v>
      </c>
      <c r="E943" t="s">
        <v>92</v>
      </c>
      <c r="F943" t="s">
        <v>92</v>
      </c>
      <c r="G943" t="s">
        <v>92</v>
      </c>
      <c r="H943" t="s">
        <v>92</v>
      </c>
      <c r="I943" s="12" t="s">
        <v>268</v>
      </c>
      <c r="J943" t="s">
        <v>278</v>
      </c>
      <c r="L943" t="s">
        <v>92</v>
      </c>
      <c r="N943" s="14">
        <v>1</v>
      </c>
      <c r="P943" s="12" t="s">
        <v>268</v>
      </c>
      <c r="W943" s="9" t="str">
        <f t="shared" ca="1" si="71"/>
        <v>18.5%</v>
      </c>
      <c r="X943" t="s">
        <v>321</v>
      </c>
      <c r="Y943" s="9" t="str">
        <f t="shared" ca="1" si="72"/>
        <v>Sin costo</v>
      </c>
      <c r="Z943" t="s">
        <v>327</v>
      </c>
      <c r="AA943" t="s">
        <v>329</v>
      </c>
      <c r="AB943" t="s">
        <v>334</v>
      </c>
      <c r="AC943" s="12" t="s">
        <v>339</v>
      </c>
      <c r="AE943" t="s">
        <v>268</v>
      </c>
      <c r="AG943" s="12" t="s">
        <v>268</v>
      </c>
      <c r="AH943" t="s">
        <v>92</v>
      </c>
      <c r="AI943" s="12" t="s">
        <v>268</v>
      </c>
      <c r="AJ943" t="s">
        <v>92</v>
      </c>
      <c r="AK943" t="s">
        <v>92</v>
      </c>
      <c r="AL943" t="s">
        <v>92</v>
      </c>
      <c r="AM943" s="12" t="s">
        <v>268</v>
      </c>
      <c r="AN943" s="12" t="s">
        <v>268</v>
      </c>
      <c r="AO943" s="12" t="s">
        <v>268</v>
      </c>
      <c r="AP943" s="12" t="s">
        <v>268</v>
      </c>
      <c r="AQ943" s="12" t="s">
        <v>268</v>
      </c>
      <c r="AR943" s="28" t="str">
        <f t="shared" ca="1" si="73"/>
        <v/>
      </c>
      <c r="AS943" s="28" t="str">
        <f t="shared" ca="1" si="74"/>
        <v/>
      </c>
    </row>
    <row r="944" spans="2:45" ht="27.6" customHeight="1">
      <c r="B944">
        <f t="shared" ca="1" si="70"/>
        <v>0</v>
      </c>
      <c r="C944" t="s">
        <v>85</v>
      </c>
      <c r="D944" t="s">
        <v>92</v>
      </c>
      <c r="E944" t="s">
        <v>92</v>
      </c>
      <c r="F944" t="s">
        <v>92</v>
      </c>
      <c r="G944" t="s">
        <v>92</v>
      </c>
      <c r="H944" t="s">
        <v>92</v>
      </c>
      <c r="I944" s="12" t="s">
        <v>268</v>
      </c>
      <c r="J944" t="s">
        <v>278</v>
      </c>
      <c r="L944" t="s">
        <v>92</v>
      </c>
      <c r="N944" s="14">
        <v>1</v>
      </c>
      <c r="P944" s="12" t="s">
        <v>268</v>
      </c>
      <c r="W944" s="9" t="str">
        <f t="shared" ca="1" si="71"/>
        <v>18.5%</v>
      </c>
      <c r="X944" t="s">
        <v>321</v>
      </c>
      <c r="Y944" s="9" t="str">
        <f t="shared" ca="1" si="72"/>
        <v>Sin costo</v>
      </c>
      <c r="Z944" t="s">
        <v>327</v>
      </c>
      <c r="AA944" t="s">
        <v>329</v>
      </c>
      <c r="AB944" t="s">
        <v>334</v>
      </c>
      <c r="AC944" s="12" t="s">
        <v>339</v>
      </c>
      <c r="AE944" t="s">
        <v>268</v>
      </c>
      <c r="AG944" s="12" t="s">
        <v>268</v>
      </c>
      <c r="AH944" t="s">
        <v>92</v>
      </c>
      <c r="AI944" s="12" t="s">
        <v>268</v>
      </c>
      <c r="AJ944" t="s">
        <v>92</v>
      </c>
      <c r="AK944" t="s">
        <v>92</v>
      </c>
      <c r="AL944" t="s">
        <v>92</v>
      </c>
      <c r="AM944" s="12" t="s">
        <v>268</v>
      </c>
      <c r="AN944" s="12" t="s">
        <v>268</v>
      </c>
      <c r="AO944" s="12" t="s">
        <v>268</v>
      </c>
      <c r="AP944" s="12" t="s">
        <v>268</v>
      </c>
      <c r="AQ944" s="12" t="s">
        <v>268</v>
      </c>
      <c r="AR944" s="28" t="str">
        <f t="shared" ca="1" si="73"/>
        <v/>
      </c>
      <c r="AS944" s="28" t="str">
        <f t="shared" ca="1" si="74"/>
        <v/>
      </c>
    </row>
    <row r="945" spans="2:45" ht="27.6" customHeight="1">
      <c r="B945">
        <f t="shared" ca="1" si="70"/>
        <v>0</v>
      </c>
      <c r="C945" t="s">
        <v>85</v>
      </c>
      <c r="D945" t="s">
        <v>92</v>
      </c>
      <c r="E945" t="s">
        <v>92</v>
      </c>
      <c r="F945" t="s">
        <v>92</v>
      </c>
      <c r="G945" t="s">
        <v>92</v>
      </c>
      <c r="H945" t="s">
        <v>92</v>
      </c>
      <c r="I945" s="12" t="s">
        <v>268</v>
      </c>
      <c r="J945" t="s">
        <v>278</v>
      </c>
      <c r="L945" t="s">
        <v>92</v>
      </c>
      <c r="N945" s="14">
        <v>1</v>
      </c>
      <c r="P945" s="12" t="s">
        <v>268</v>
      </c>
      <c r="W945" s="9" t="str">
        <f t="shared" ca="1" si="71"/>
        <v>18.5%</v>
      </c>
      <c r="X945" t="s">
        <v>321</v>
      </c>
      <c r="Y945" s="9" t="str">
        <f t="shared" ca="1" si="72"/>
        <v>Sin costo</v>
      </c>
      <c r="Z945" t="s">
        <v>327</v>
      </c>
      <c r="AA945" t="s">
        <v>329</v>
      </c>
      <c r="AB945" t="s">
        <v>334</v>
      </c>
      <c r="AC945" s="12" t="s">
        <v>339</v>
      </c>
      <c r="AE945" t="s">
        <v>268</v>
      </c>
      <c r="AG945" s="12" t="s">
        <v>268</v>
      </c>
      <c r="AH945" t="s">
        <v>92</v>
      </c>
      <c r="AI945" s="12" t="s">
        <v>268</v>
      </c>
      <c r="AJ945" t="s">
        <v>92</v>
      </c>
      <c r="AK945" t="s">
        <v>92</v>
      </c>
      <c r="AL945" t="s">
        <v>92</v>
      </c>
      <c r="AM945" s="12" t="s">
        <v>268</v>
      </c>
      <c r="AN945" s="12" t="s">
        <v>268</v>
      </c>
      <c r="AO945" s="12" t="s">
        <v>268</v>
      </c>
      <c r="AP945" s="12" t="s">
        <v>268</v>
      </c>
      <c r="AQ945" s="12" t="s">
        <v>268</v>
      </c>
      <c r="AR945" s="28" t="str">
        <f t="shared" ca="1" si="73"/>
        <v/>
      </c>
      <c r="AS945" s="28" t="str">
        <f t="shared" ca="1" si="74"/>
        <v/>
      </c>
    </row>
    <row r="946" spans="2:45" ht="27.6" customHeight="1">
      <c r="B946">
        <f t="shared" ca="1" si="70"/>
        <v>0</v>
      </c>
      <c r="C946" t="s">
        <v>85</v>
      </c>
      <c r="D946" t="s">
        <v>92</v>
      </c>
      <c r="E946" t="s">
        <v>92</v>
      </c>
      <c r="F946" t="s">
        <v>92</v>
      </c>
      <c r="G946" t="s">
        <v>92</v>
      </c>
      <c r="H946" t="s">
        <v>92</v>
      </c>
      <c r="I946" s="12" t="s">
        <v>268</v>
      </c>
      <c r="J946" t="s">
        <v>278</v>
      </c>
      <c r="L946" t="s">
        <v>92</v>
      </c>
      <c r="N946" s="14">
        <v>1</v>
      </c>
      <c r="P946" s="12" t="s">
        <v>268</v>
      </c>
      <c r="W946" s="9" t="str">
        <f t="shared" ca="1" si="71"/>
        <v>18.5%</v>
      </c>
      <c r="X946" t="s">
        <v>321</v>
      </c>
      <c r="Y946" s="9" t="str">
        <f t="shared" ca="1" si="72"/>
        <v>Sin costo</v>
      </c>
      <c r="Z946" t="s">
        <v>327</v>
      </c>
      <c r="AA946" t="s">
        <v>329</v>
      </c>
      <c r="AB946" t="s">
        <v>334</v>
      </c>
      <c r="AC946" s="12" t="s">
        <v>339</v>
      </c>
      <c r="AE946" t="s">
        <v>268</v>
      </c>
      <c r="AG946" s="12" t="s">
        <v>268</v>
      </c>
      <c r="AH946" t="s">
        <v>92</v>
      </c>
      <c r="AI946" s="12" t="s">
        <v>268</v>
      </c>
      <c r="AJ946" t="s">
        <v>92</v>
      </c>
      <c r="AK946" t="s">
        <v>92</v>
      </c>
      <c r="AL946" t="s">
        <v>92</v>
      </c>
      <c r="AM946" s="12" t="s">
        <v>268</v>
      </c>
      <c r="AN946" s="12" t="s">
        <v>268</v>
      </c>
      <c r="AO946" s="12" t="s">
        <v>268</v>
      </c>
      <c r="AP946" s="12" t="s">
        <v>268</v>
      </c>
      <c r="AQ946" s="12" t="s">
        <v>268</v>
      </c>
      <c r="AR946" s="28" t="str">
        <f t="shared" ca="1" si="73"/>
        <v/>
      </c>
      <c r="AS946" s="28" t="str">
        <f t="shared" ca="1" si="74"/>
        <v/>
      </c>
    </row>
    <row r="947" spans="2:45" ht="27.6" customHeight="1">
      <c r="B947">
        <f t="shared" ca="1" si="70"/>
        <v>0</v>
      </c>
      <c r="C947" t="s">
        <v>85</v>
      </c>
      <c r="D947" t="s">
        <v>92</v>
      </c>
      <c r="E947" t="s">
        <v>92</v>
      </c>
      <c r="F947" t="s">
        <v>92</v>
      </c>
      <c r="G947" t="s">
        <v>92</v>
      </c>
      <c r="H947" t="s">
        <v>92</v>
      </c>
      <c r="I947" s="12" t="s">
        <v>268</v>
      </c>
      <c r="J947" t="s">
        <v>278</v>
      </c>
      <c r="L947" t="s">
        <v>92</v>
      </c>
      <c r="N947" s="14">
        <v>1</v>
      </c>
      <c r="P947" s="12" t="s">
        <v>268</v>
      </c>
      <c r="W947" s="9" t="str">
        <f t="shared" ca="1" si="71"/>
        <v>18.5%</v>
      </c>
      <c r="X947" t="s">
        <v>321</v>
      </c>
      <c r="Y947" s="9" t="str">
        <f t="shared" ca="1" si="72"/>
        <v>Sin costo</v>
      </c>
      <c r="Z947" t="s">
        <v>327</v>
      </c>
      <c r="AA947" t="s">
        <v>329</v>
      </c>
      <c r="AB947" t="s">
        <v>334</v>
      </c>
      <c r="AC947" s="12" t="s">
        <v>339</v>
      </c>
      <c r="AE947" t="s">
        <v>268</v>
      </c>
      <c r="AG947" s="12" t="s">
        <v>268</v>
      </c>
      <c r="AH947" t="s">
        <v>92</v>
      </c>
      <c r="AI947" s="12" t="s">
        <v>268</v>
      </c>
      <c r="AJ947" t="s">
        <v>92</v>
      </c>
      <c r="AK947" t="s">
        <v>92</v>
      </c>
      <c r="AL947" t="s">
        <v>92</v>
      </c>
      <c r="AM947" s="12" t="s">
        <v>268</v>
      </c>
      <c r="AN947" s="12" t="s">
        <v>268</v>
      </c>
      <c r="AO947" s="12" t="s">
        <v>268</v>
      </c>
      <c r="AP947" s="12" t="s">
        <v>268</v>
      </c>
      <c r="AQ947" s="12" t="s">
        <v>268</v>
      </c>
      <c r="AR947" s="28" t="str">
        <f t="shared" ca="1" si="73"/>
        <v/>
      </c>
      <c r="AS947" s="28" t="str">
        <f t="shared" ca="1" si="74"/>
        <v/>
      </c>
    </row>
    <row r="948" spans="2:45" ht="27.6" customHeight="1">
      <c r="B948">
        <f t="shared" ca="1" si="70"/>
        <v>0</v>
      </c>
      <c r="C948" t="s">
        <v>85</v>
      </c>
      <c r="D948" t="s">
        <v>92</v>
      </c>
      <c r="E948" t="s">
        <v>92</v>
      </c>
      <c r="F948" t="s">
        <v>92</v>
      </c>
      <c r="G948" t="s">
        <v>92</v>
      </c>
      <c r="H948" t="s">
        <v>92</v>
      </c>
      <c r="I948" s="12" t="s">
        <v>268</v>
      </c>
      <c r="J948" t="s">
        <v>278</v>
      </c>
      <c r="L948" t="s">
        <v>92</v>
      </c>
      <c r="N948" s="14">
        <v>1</v>
      </c>
      <c r="P948" s="12" t="s">
        <v>268</v>
      </c>
      <c r="W948" s="9" t="str">
        <f t="shared" ca="1" si="71"/>
        <v>18.5%</v>
      </c>
      <c r="X948" t="s">
        <v>321</v>
      </c>
      <c r="Y948" s="9" t="str">
        <f t="shared" ca="1" si="72"/>
        <v>Sin costo</v>
      </c>
      <c r="Z948" t="s">
        <v>327</v>
      </c>
      <c r="AA948" t="s">
        <v>329</v>
      </c>
      <c r="AB948" t="s">
        <v>334</v>
      </c>
      <c r="AC948" s="12" t="s">
        <v>339</v>
      </c>
      <c r="AE948" t="s">
        <v>268</v>
      </c>
      <c r="AG948" s="12" t="s">
        <v>268</v>
      </c>
      <c r="AH948" t="s">
        <v>92</v>
      </c>
      <c r="AI948" s="12" t="s">
        <v>268</v>
      </c>
      <c r="AJ948" t="s">
        <v>92</v>
      </c>
      <c r="AK948" t="s">
        <v>92</v>
      </c>
      <c r="AL948" t="s">
        <v>92</v>
      </c>
      <c r="AM948" s="12" t="s">
        <v>268</v>
      </c>
      <c r="AN948" s="12" t="s">
        <v>268</v>
      </c>
      <c r="AO948" s="12" t="s">
        <v>268</v>
      </c>
      <c r="AP948" s="12" t="s">
        <v>268</v>
      </c>
      <c r="AQ948" s="12" t="s">
        <v>268</v>
      </c>
      <c r="AR948" s="28" t="str">
        <f t="shared" ca="1" si="73"/>
        <v/>
      </c>
      <c r="AS948" s="28" t="str">
        <f t="shared" ca="1" si="74"/>
        <v/>
      </c>
    </row>
    <row r="949" spans="2:45" ht="27.6" customHeight="1">
      <c r="B949">
        <f t="shared" ca="1" si="70"/>
        <v>0</v>
      </c>
      <c r="C949" t="s">
        <v>85</v>
      </c>
      <c r="D949" t="s">
        <v>92</v>
      </c>
      <c r="E949" t="s">
        <v>92</v>
      </c>
      <c r="F949" t="s">
        <v>92</v>
      </c>
      <c r="G949" t="s">
        <v>92</v>
      </c>
      <c r="H949" t="s">
        <v>92</v>
      </c>
      <c r="I949" s="12" t="s">
        <v>268</v>
      </c>
      <c r="J949" t="s">
        <v>278</v>
      </c>
      <c r="L949" t="s">
        <v>92</v>
      </c>
      <c r="N949" s="14">
        <v>1</v>
      </c>
      <c r="P949" s="12" t="s">
        <v>268</v>
      </c>
      <c r="W949" s="9" t="str">
        <f t="shared" ca="1" si="71"/>
        <v>18.5%</v>
      </c>
      <c r="X949" t="s">
        <v>321</v>
      </c>
      <c r="Y949" s="9" t="str">
        <f t="shared" ca="1" si="72"/>
        <v>Sin costo</v>
      </c>
      <c r="Z949" t="s">
        <v>327</v>
      </c>
      <c r="AA949" t="s">
        <v>329</v>
      </c>
      <c r="AB949" t="s">
        <v>334</v>
      </c>
      <c r="AC949" s="12" t="s">
        <v>339</v>
      </c>
      <c r="AE949" t="s">
        <v>268</v>
      </c>
      <c r="AG949" s="12" t="s">
        <v>268</v>
      </c>
      <c r="AH949" t="s">
        <v>92</v>
      </c>
      <c r="AI949" s="12" t="s">
        <v>268</v>
      </c>
      <c r="AJ949" t="s">
        <v>92</v>
      </c>
      <c r="AK949" t="s">
        <v>92</v>
      </c>
      <c r="AL949" t="s">
        <v>92</v>
      </c>
      <c r="AM949" s="12" t="s">
        <v>268</v>
      </c>
      <c r="AN949" s="12" t="s">
        <v>268</v>
      </c>
      <c r="AO949" s="12" t="s">
        <v>268</v>
      </c>
      <c r="AP949" s="12" t="s">
        <v>268</v>
      </c>
      <c r="AQ949" s="12" t="s">
        <v>268</v>
      </c>
      <c r="AR949" s="28" t="str">
        <f t="shared" ca="1" si="73"/>
        <v/>
      </c>
      <c r="AS949" s="28" t="str">
        <f t="shared" ca="1" si="74"/>
        <v/>
      </c>
    </row>
    <row r="950" spans="2:45" ht="27.6" customHeight="1">
      <c r="B950">
        <f t="shared" ca="1" si="70"/>
        <v>0</v>
      </c>
      <c r="C950" t="s">
        <v>85</v>
      </c>
      <c r="D950" t="s">
        <v>92</v>
      </c>
      <c r="E950" t="s">
        <v>92</v>
      </c>
      <c r="F950" t="s">
        <v>92</v>
      </c>
      <c r="G950" t="s">
        <v>92</v>
      </c>
      <c r="H950" t="s">
        <v>92</v>
      </c>
      <c r="I950" s="12" t="s">
        <v>268</v>
      </c>
      <c r="J950" t="s">
        <v>278</v>
      </c>
      <c r="L950" t="s">
        <v>92</v>
      </c>
      <c r="N950" s="14">
        <v>1</v>
      </c>
      <c r="P950" s="12" t="s">
        <v>268</v>
      </c>
      <c r="W950" s="9" t="str">
        <f t="shared" ca="1" si="71"/>
        <v>18.5%</v>
      </c>
      <c r="X950" t="s">
        <v>321</v>
      </c>
      <c r="Y950" s="9" t="str">
        <f t="shared" ca="1" si="72"/>
        <v>Sin costo</v>
      </c>
      <c r="Z950" t="s">
        <v>327</v>
      </c>
      <c r="AA950" t="s">
        <v>329</v>
      </c>
      <c r="AB950" t="s">
        <v>334</v>
      </c>
      <c r="AC950" s="12" t="s">
        <v>339</v>
      </c>
      <c r="AE950" t="s">
        <v>268</v>
      </c>
      <c r="AG950" s="12" t="s">
        <v>268</v>
      </c>
      <c r="AH950" t="s">
        <v>92</v>
      </c>
      <c r="AI950" s="12" t="s">
        <v>268</v>
      </c>
      <c r="AJ950" t="s">
        <v>92</v>
      </c>
      <c r="AK950" t="s">
        <v>92</v>
      </c>
      <c r="AL950" t="s">
        <v>92</v>
      </c>
      <c r="AM950" s="12" t="s">
        <v>268</v>
      </c>
      <c r="AN950" s="12" t="s">
        <v>268</v>
      </c>
      <c r="AO950" s="12" t="s">
        <v>268</v>
      </c>
      <c r="AP950" s="12" t="s">
        <v>268</v>
      </c>
      <c r="AQ950" s="12" t="s">
        <v>268</v>
      </c>
      <c r="AR950" s="28" t="str">
        <f t="shared" ca="1" si="73"/>
        <v/>
      </c>
      <c r="AS950" s="28" t="str">
        <f t="shared" ca="1" si="74"/>
        <v/>
      </c>
    </row>
    <row r="951" spans="2:45" ht="27.6" customHeight="1">
      <c r="B951">
        <f t="shared" ca="1" si="70"/>
        <v>0</v>
      </c>
      <c r="C951" t="s">
        <v>85</v>
      </c>
      <c r="D951" t="s">
        <v>92</v>
      </c>
      <c r="E951" t="s">
        <v>92</v>
      </c>
      <c r="F951" t="s">
        <v>92</v>
      </c>
      <c r="G951" t="s">
        <v>92</v>
      </c>
      <c r="H951" t="s">
        <v>92</v>
      </c>
      <c r="I951" s="12" t="s">
        <v>268</v>
      </c>
      <c r="J951" t="s">
        <v>278</v>
      </c>
      <c r="L951" t="s">
        <v>92</v>
      </c>
      <c r="N951" s="14">
        <v>1</v>
      </c>
      <c r="P951" s="12" t="s">
        <v>268</v>
      </c>
      <c r="W951" s="9" t="str">
        <f t="shared" ca="1" si="71"/>
        <v>18.5%</v>
      </c>
      <c r="X951" t="s">
        <v>321</v>
      </c>
      <c r="Y951" s="9" t="str">
        <f t="shared" ca="1" si="72"/>
        <v>Sin costo</v>
      </c>
      <c r="Z951" t="s">
        <v>327</v>
      </c>
      <c r="AA951" t="s">
        <v>329</v>
      </c>
      <c r="AB951" t="s">
        <v>334</v>
      </c>
      <c r="AC951" s="12" t="s">
        <v>339</v>
      </c>
      <c r="AE951" t="s">
        <v>268</v>
      </c>
      <c r="AG951" s="12" t="s">
        <v>268</v>
      </c>
      <c r="AH951" t="s">
        <v>92</v>
      </c>
      <c r="AI951" s="12" t="s">
        <v>268</v>
      </c>
      <c r="AJ951" t="s">
        <v>92</v>
      </c>
      <c r="AK951" t="s">
        <v>92</v>
      </c>
      <c r="AL951" t="s">
        <v>92</v>
      </c>
      <c r="AM951" s="12" t="s">
        <v>268</v>
      </c>
      <c r="AN951" s="12" t="s">
        <v>268</v>
      </c>
      <c r="AO951" s="12" t="s">
        <v>268</v>
      </c>
      <c r="AP951" s="12" t="s">
        <v>268</v>
      </c>
      <c r="AQ951" s="12" t="s">
        <v>268</v>
      </c>
      <c r="AR951" s="28" t="str">
        <f t="shared" ca="1" si="73"/>
        <v/>
      </c>
      <c r="AS951" s="28" t="str">
        <f t="shared" ca="1" si="74"/>
        <v/>
      </c>
    </row>
    <row r="952" spans="2:45" ht="27.6" customHeight="1">
      <c r="B952">
        <f t="shared" ca="1" si="70"/>
        <v>0</v>
      </c>
      <c r="C952" t="s">
        <v>85</v>
      </c>
      <c r="D952" t="s">
        <v>92</v>
      </c>
      <c r="E952" t="s">
        <v>92</v>
      </c>
      <c r="F952" t="s">
        <v>92</v>
      </c>
      <c r="G952" t="s">
        <v>92</v>
      </c>
      <c r="H952" t="s">
        <v>92</v>
      </c>
      <c r="I952" s="12" t="s">
        <v>268</v>
      </c>
      <c r="J952" t="s">
        <v>278</v>
      </c>
      <c r="L952" t="s">
        <v>92</v>
      </c>
      <c r="N952" s="14">
        <v>1</v>
      </c>
      <c r="P952" s="12" t="s">
        <v>268</v>
      </c>
      <c r="W952" s="9" t="str">
        <f t="shared" ca="1" si="71"/>
        <v>18.5%</v>
      </c>
      <c r="X952" t="s">
        <v>321</v>
      </c>
      <c r="Y952" s="9" t="str">
        <f t="shared" ca="1" si="72"/>
        <v>Sin costo</v>
      </c>
      <c r="Z952" t="s">
        <v>327</v>
      </c>
      <c r="AA952" t="s">
        <v>329</v>
      </c>
      <c r="AB952" t="s">
        <v>334</v>
      </c>
      <c r="AC952" s="12" t="s">
        <v>339</v>
      </c>
      <c r="AE952" t="s">
        <v>268</v>
      </c>
      <c r="AG952" s="12" t="s">
        <v>268</v>
      </c>
      <c r="AH952" t="s">
        <v>92</v>
      </c>
      <c r="AI952" s="12" t="s">
        <v>268</v>
      </c>
      <c r="AJ952" t="s">
        <v>92</v>
      </c>
      <c r="AK952" t="s">
        <v>92</v>
      </c>
      <c r="AL952" t="s">
        <v>92</v>
      </c>
      <c r="AM952" s="12" t="s">
        <v>268</v>
      </c>
      <c r="AN952" s="12" t="s">
        <v>268</v>
      </c>
      <c r="AO952" s="12" t="s">
        <v>268</v>
      </c>
      <c r="AP952" s="12" t="s">
        <v>268</v>
      </c>
      <c r="AQ952" s="12" t="s">
        <v>268</v>
      </c>
      <c r="AR952" s="28" t="str">
        <f t="shared" ca="1" si="73"/>
        <v/>
      </c>
      <c r="AS952" s="28" t="str">
        <f t="shared" ca="1" si="74"/>
        <v/>
      </c>
    </row>
    <row r="953" spans="2:45" ht="27.6" customHeight="1">
      <c r="B953">
        <f t="shared" ca="1" si="70"/>
        <v>0</v>
      </c>
      <c r="C953" t="s">
        <v>85</v>
      </c>
      <c r="D953" t="s">
        <v>92</v>
      </c>
      <c r="E953" t="s">
        <v>92</v>
      </c>
      <c r="F953" t="s">
        <v>92</v>
      </c>
      <c r="G953" t="s">
        <v>92</v>
      </c>
      <c r="H953" t="s">
        <v>92</v>
      </c>
      <c r="I953" s="12" t="s">
        <v>268</v>
      </c>
      <c r="J953" t="s">
        <v>278</v>
      </c>
      <c r="L953" t="s">
        <v>92</v>
      </c>
      <c r="N953" s="14">
        <v>1</v>
      </c>
      <c r="P953" s="12" t="s">
        <v>268</v>
      </c>
      <c r="W953" s="9" t="str">
        <f t="shared" ca="1" si="71"/>
        <v>18.5%</v>
      </c>
      <c r="X953" t="s">
        <v>321</v>
      </c>
      <c r="Y953" s="9" t="str">
        <f t="shared" ca="1" si="72"/>
        <v>Sin costo</v>
      </c>
      <c r="Z953" t="s">
        <v>327</v>
      </c>
      <c r="AA953" t="s">
        <v>329</v>
      </c>
      <c r="AB953" t="s">
        <v>334</v>
      </c>
      <c r="AC953" s="12" t="s">
        <v>339</v>
      </c>
      <c r="AE953" t="s">
        <v>268</v>
      </c>
      <c r="AG953" s="12" t="s">
        <v>268</v>
      </c>
      <c r="AH953" t="s">
        <v>92</v>
      </c>
      <c r="AI953" s="12" t="s">
        <v>268</v>
      </c>
      <c r="AJ953" t="s">
        <v>92</v>
      </c>
      <c r="AK953" t="s">
        <v>92</v>
      </c>
      <c r="AL953" t="s">
        <v>92</v>
      </c>
      <c r="AM953" s="12" t="s">
        <v>268</v>
      </c>
      <c r="AN953" s="12" t="s">
        <v>268</v>
      </c>
      <c r="AO953" s="12" t="s">
        <v>268</v>
      </c>
      <c r="AP953" s="12" t="s">
        <v>268</v>
      </c>
      <c r="AQ953" s="12" t="s">
        <v>268</v>
      </c>
      <c r="AR953" s="28" t="str">
        <f t="shared" ca="1" si="73"/>
        <v/>
      </c>
      <c r="AS953" s="28" t="str">
        <f t="shared" ca="1" si="74"/>
        <v/>
      </c>
    </row>
    <row r="954" spans="2:45" ht="27.6" customHeight="1">
      <c r="B954">
        <f t="shared" ca="1" si="70"/>
        <v>0</v>
      </c>
      <c r="C954" t="s">
        <v>85</v>
      </c>
      <c r="D954" t="s">
        <v>92</v>
      </c>
      <c r="E954" t="s">
        <v>92</v>
      </c>
      <c r="F954" t="s">
        <v>92</v>
      </c>
      <c r="G954" t="s">
        <v>92</v>
      </c>
      <c r="H954" t="s">
        <v>92</v>
      </c>
      <c r="I954" s="12" t="s">
        <v>268</v>
      </c>
      <c r="J954" t="s">
        <v>278</v>
      </c>
      <c r="L954" t="s">
        <v>92</v>
      </c>
      <c r="N954" s="14">
        <v>1</v>
      </c>
      <c r="P954" s="12" t="s">
        <v>268</v>
      </c>
      <c r="W954" s="9" t="str">
        <f t="shared" ca="1" si="71"/>
        <v>18.5%</v>
      </c>
      <c r="X954" t="s">
        <v>321</v>
      </c>
      <c r="Y954" s="9" t="str">
        <f t="shared" ca="1" si="72"/>
        <v>Sin costo</v>
      </c>
      <c r="Z954" t="s">
        <v>327</v>
      </c>
      <c r="AA954" t="s">
        <v>329</v>
      </c>
      <c r="AB954" t="s">
        <v>334</v>
      </c>
      <c r="AC954" s="12" t="s">
        <v>339</v>
      </c>
      <c r="AE954" t="s">
        <v>268</v>
      </c>
      <c r="AG954" s="12" t="s">
        <v>268</v>
      </c>
      <c r="AH954" t="s">
        <v>92</v>
      </c>
      <c r="AI954" s="12" t="s">
        <v>268</v>
      </c>
      <c r="AJ954" t="s">
        <v>92</v>
      </c>
      <c r="AK954" t="s">
        <v>92</v>
      </c>
      <c r="AL954" t="s">
        <v>92</v>
      </c>
      <c r="AM954" s="12" t="s">
        <v>268</v>
      </c>
      <c r="AN954" s="12" t="s">
        <v>268</v>
      </c>
      <c r="AO954" s="12" t="s">
        <v>268</v>
      </c>
      <c r="AP954" s="12" t="s">
        <v>268</v>
      </c>
      <c r="AQ954" s="12" t="s">
        <v>268</v>
      </c>
      <c r="AR954" s="28" t="str">
        <f t="shared" ca="1" si="73"/>
        <v/>
      </c>
      <c r="AS954" s="28" t="str">
        <f t="shared" ca="1" si="74"/>
        <v/>
      </c>
    </row>
    <row r="955" spans="2:45" ht="27.6" customHeight="1">
      <c r="B955">
        <f t="shared" ca="1" si="70"/>
        <v>0</v>
      </c>
      <c r="C955" t="s">
        <v>85</v>
      </c>
      <c r="D955" t="s">
        <v>92</v>
      </c>
      <c r="E955" t="s">
        <v>92</v>
      </c>
      <c r="F955" t="s">
        <v>92</v>
      </c>
      <c r="G955" t="s">
        <v>92</v>
      </c>
      <c r="H955" t="s">
        <v>92</v>
      </c>
      <c r="I955" s="12" t="s">
        <v>268</v>
      </c>
      <c r="J955" t="s">
        <v>278</v>
      </c>
      <c r="L955" t="s">
        <v>92</v>
      </c>
      <c r="N955" s="14">
        <v>1</v>
      </c>
      <c r="P955" s="12" t="s">
        <v>268</v>
      </c>
      <c r="W955" s="9" t="str">
        <f t="shared" ca="1" si="71"/>
        <v>18.5%</v>
      </c>
      <c r="X955" t="s">
        <v>321</v>
      </c>
      <c r="Y955" s="9" t="str">
        <f t="shared" ca="1" si="72"/>
        <v>Sin costo</v>
      </c>
      <c r="Z955" t="s">
        <v>327</v>
      </c>
      <c r="AA955" t="s">
        <v>329</v>
      </c>
      <c r="AB955" t="s">
        <v>334</v>
      </c>
      <c r="AC955" s="12" t="s">
        <v>339</v>
      </c>
      <c r="AE955" t="s">
        <v>268</v>
      </c>
      <c r="AG955" s="12" t="s">
        <v>268</v>
      </c>
      <c r="AH955" t="s">
        <v>92</v>
      </c>
      <c r="AI955" s="12" t="s">
        <v>268</v>
      </c>
      <c r="AJ955" t="s">
        <v>92</v>
      </c>
      <c r="AK955" t="s">
        <v>92</v>
      </c>
      <c r="AL955" t="s">
        <v>92</v>
      </c>
      <c r="AM955" s="12" t="s">
        <v>268</v>
      </c>
      <c r="AN955" s="12" t="s">
        <v>268</v>
      </c>
      <c r="AO955" s="12" t="s">
        <v>268</v>
      </c>
      <c r="AP955" s="12" t="s">
        <v>268</v>
      </c>
      <c r="AQ955" s="12" t="s">
        <v>268</v>
      </c>
      <c r="AR955" s="28" t="str">
        <f t="shared" ca="1" si="73"/>
        <v/>
      </c>
      <c r="AS955" s="28" t="str">
        <f t="shared" ca="1" si="74"/>
        <v/>
      </c>
    </row>
    <row r="956" spans="2:45" ht="27.6" customHeight="1">
      <c r="B956">
        <f t="shared" ca="1" si="70"/>
        <v>0</v>
      </c>
      <c r="C956" t="s">
        <v>85</v>
      </c>
      <c r="D956" t="s">
        <v>92</v>
      </c>
      <c r="E956" t="s">
        <v>92</v>
      </c>
      <c r="F956" t="s">
        <v>92</v>
      </c>
      <c r="G956" t="s">
        <v>92</v>
      </c>
      <c r="H956" t="s">
        <v>92</v>
      </c>
      <c r="I956" s="12" t="s">
        <v>268</v>
      </c>
      <c r="J956" t="s">
        <v>278</v>
      </c>
      <c r="L956" t="s">
        <v>92</v>
      </c>
      <c r="N956" s="14">
        <v>1</v>
      </c>
      <c r="P956" s="12" t="s">
        <v>268</v>
      </c>
      <c r="W956" s="9" t="str">
        <f t="shared" ca="1" si="71"/>
        <v>18.5%</v>
      </c>
      <c r="X956" t="s">
        <v>321</v>
      </c>
      <c r="Y956" s="9" t="str">
        <f t="shared" ca="1" si="72"/>
        <v>Sin costo</v>
      </c>
      <c r="Z956" t="s">
        <v>327</v>
      </c>
      <c r="AA956" t="s">
        <v>329</v>
      </c>
      <c r="AB956" t="s">
        <v>334</v>
      </c>
      <c r="AC956" s="12" t="s">
        <v>339</v>
      </c>
      <c r="AE956" t="s">
        <v>268</v>
      </c>
      <c r="AG956" s="12" t="s">
        <v>268</v>
      </c>
      <c r="AH956" t="s">
        <v>92</v>
      </c>
      <c r="AI956" s="12" t="s">
        <v>268</v>
      </c>
      <c r="AJ956" t="s">
        <v>92</v>
      </c>
      <c r="AK956" t="s">
        <v>92</v>
      </c>
      <c r="AL956" t="s">
        <v>92</v>
      </c>
      <c r="AM956" s="12" t="s">
        <v>268</v>
      </c>
      <c r="AN956" s="12" t="s">
        <v>268</v>
      </c>
      <c r="AO956" s="12" t="s">
        <v>268</v>
      </c>
      <c r="AP956" s="12" t="s">
        <v>268</v>
      </c>
      <c r="AQ956" s="12" t="s">
        <v>268</v>
      </c>
      <c r="AR956" s="28" t="str">
        <f t="shared" ca="1" si="73"/>
        <v/>
      </c>
      <c r="AS956" s="28" t="str">
        <f t="shared" ca="1" si="74"/>
        <v/>
      </c>
    </row>
    <row r="957" spans="2:45" ht="27.6" customHeight="1">
      <c r="B957">
        <f t="shared" ca="1" si="70"/>
        <v>0</v>
      </c>
      <c r="C957" t="s">
        <v>85</v>
      </c>
      <c r="D957" t="s">
        <v>92</v>
      </c>
      <c r="E957" t="s">
        <v>92</v>
      </c>
      <c r="F957" t="s">
        <v>92</v>
      </c>
      <c r="G957" t="s">
        <v>92</v>
      </c>
      <c r="H957" t="s">
        <v>92</v>
      </c>
      <c r="I957" s="12" t="s">
        <v>268</v>
      </c>
      <c r="J957" t="s">
        <v>278</v>
      </c>
      <c r="L957" t="s">
        <v>92</v>
      </c>
      <c r="N957" s="14">
        <v>1</v>
      </c>
      <c r="P957" s="12" t="s">
        <v>268</v>
      </c>
      <c r="W957" s="9" t="str">
        <f t="shared" ca="1" si="71"/>
        <v>18.5%</v>
      </c>
      <c r="X957" t="s">
        <v>321</v>
      </c>
      <c r="Y957" s="9" t="str">
        <f t="shared" ca="1" si="72"/>
        <v>Sin costo</v>
      </c>
      <c r="Z957" t="s">
        <v>327</v>
      </c>
      <c r="AA957" t="s">
        <v>329</v>
      </c>
      <c r="AB957" t="s">
        <v>334</v>
      </c>
      <c r="AC957" s="12" t="s">
        <v>339</v>
      </c>
      <c r="AE957" t="s">
        <v>268</v>
      </c>
      <c r="AG957" s="12" t="s">
        <v>268</v>
      </c>
      <c r="AH957" t="s">
        <v>92</v>
      </c>
      <c r="AI957" s="12" t="s">
        <v>268</v>
      </c>
      <c r="AJ957" t="s">
        <v>92</v>
      </c>
      <c r="AK957" t="s">
        <v>92</v>
      </c>
      <c r="AL957" t="s">
        <v>92</v>
      </c>
      <c r="AM957" s="12" t="s">
        <v>268</v>
      </c>
      <c r="AN957" s="12" t="s">
        <v>268</v>
      </c>
      <c r="AO957" s="12" t="s">
        <v>268</v>
      </c>
      <c r="AP957" s="12" t="s">
        <v>268</v>
      </c>
      <c r="AQ957" s="12" t="s">
        <v>268</v>
      </c>
      <c r="AR957" s="28" t="str">
        <f t="shared" ca="1" si="73"/>
        <v/>
      </c>
      <c r="AS957" s="28" t="str">
        <f t="shared" ca="1" si="74"/>
        <v/>
      </c>
    </row>
    <row r="958" spans="2:45" ht="27.6" customHeight="1">
      <c r="B958">
        <f t="shared" ca="1" si="70"/>
        <v>0</v>
      </c>
      <c r="C958" t="s">
        <v>85</v>
      </c>
      <c r="D958" t="s">
        <v>92</v>
      </c>
      <c r="E958" t="s">
        <v>92</v>
      </c>
      <c r="F958" t="s">
        <v>92</v>
      </c>
      <c r="G958" t="s">
        <v>92</v>
      </c>
      <c r="H958" t="s">
        <v>92</v>
      </c>
      <c r="I958" s="12" t="s">
        <v>268</v>
      </c>
      <c r="J958" t="s">
        <v>278</v>
      </c>
      <c r="L958" t="s">
        <v>92</v>
      </c>
      <c r="N958" s="14">
        <v>1</v>
      </c>
      <c r="P958" s="12" t="s">
        <v>268</v>
      </c>
      <c r="W958" s="9" t="str">
        <f t="shared" ca="1" si="71"/>
        <v>18.5%</v>
      </c>
      <c r="X958" t="s">
        <v>321</v>
      </c>
      <c r="Y958" s="9" t="str">
        <f t="shared" ca="1" si="72"/>
        <v>Sin costo</v>
      </c>
      <c r="Z958" t="s">
        <v>327</v>
      </c>
      <c r="AA958" t="s">
        <v>329</v>
      </c>
      <c r="AB958" t="s">
        <v>334</v>
      </c>
      <c r="AC958" s="12" t="s">
        <v>339</v>
      </c>
      <c r="AE958" t="s">
        <v>268</v>
      </c>
      <c r="AG958" s="12" t="s">
        <v>268</v>
      </c>
      <c r="AH958" t="s">
        <v>92</v>
      </c>
      <c r="AI958" s="12" t="s">
        <v>268</v>
      </c>
      <c r="AJ958" t="s">
        <v>92</v>
      </c>
      <c r="AK958" t="s">
        <v>92</v>
      </c>
      <c r="AL958" t="s">
        <v>92</v>
      </c>
      <c r="AM958" s="12" t="s">
        <v>268</v>
      </c>
      <c r="AN958" s="12" t="s">
        <v>268</v>
      </c>
      <c r="AO958" s="12" t="s">
        <v>268</v>
      </c>
      <c r="AP958" s="12" t="s">
        <v>268</v>
      </c>
      <c r="AQ958" s="12" t="s">
        <v>268</v>
      </c>
      <c r="AR958" s="28" t="str">
        <f t="shared" ca="1" si="73"/>
        <v/>
      </c>
      <c r="AS958" s="28" t="str">
        <f t="shared" ca="1" si="74"/>
        <v/>
      </c>
    </row>
    <row r="959" spans="2:45" ht="27.6" customHeight="1">
      <c r="B959">
        <f t="shared" ca="1" si="70"/>
        <v>0</v>
      </c>
      <c r="C959" t="s">
        <v>85</v>
      </c>
      <c r="D959" t="s">
        <v>92</v>
      </c>
      <c r="E959" t="s">
        <v>92</v>
      </c>
      <c r="F959" t="s">
        <v>92</v>
      </c>
      <c r="G959" t="s">
        <v>92</v>
      </c>
      <c r="H959" t="s">
        <v>92</v>
      </c>
      <c r="I959" s="12" t="s">
        <v>268</v>
      </c>
      <c r="J959" t="s">
        <v>278</v>
      </c>
      <c r="L959" t="s">
        <v>92</v>
      </c>
      <c r="N959" s="14">
        <v>1</v>
      </c>
      <c r="P959" s="12" t="s">
        <v>268</v>
      </c>
      <c r="W959" s="9" t="str">
        <f t="shared" ca="1" si="71"/>
        <v>18.5%</v>
      </c>
      <c r="X959" t="s">
        <v>321</v>
      </c>
      <c r="Y959" s="9" t="str">
        <f t="shared" ca="1" si="72"/>
        <v>Sin costo</v>
      </c>
      <c r="Z959" t="s">
        <v>327</v>
      </c>
      <c r="AA959" t="s">
        <v>329</v>
      </c>
      <c r="AB959" t="s">
        <v>334</v>
      </c>
      <c r="AC959" s="12" t="s">
        <v>339</v>
      </c>
      <c r="AE959" t="s">
        <v>268</v>
      </c>
      <c r="AG959" s="12" t="s">
        <v>268</v>
      </c>
      <c r="AH959" t="s">
        <v>92</v>
      </c>
      <c r="AI959" s="12" t="s">
        <v>268</v>
      </c>
      <c r="AJ959" t="s">
        <v>92</v>
      </c>
      <c r="AK959" t="s">
        <v>92</v>
      </c>
      <c r="AL959" t="s">
        <v>92</v>
      </c>
      <c r="AM959" s="12" t="s">
        <v>268</v>
      </c>
      <c r="AN959" s="12" t="s">
        <v>268</v>
      </c>
      <c r="AO959" s="12" t="s">
        <v>268</v>
      </c>
      <c r="AP959" s="12" t="s">
        <v>268</v>
      </c>
      <c r="AQ959" s="12" t="s">
        <v>268</v>
      </c>
      <c r="AR959" s="28" t="str">
        <f t="shared" ca="1" si="73"/>
        <v/>
      </c>
      <c r="AS959" s="28" t="str">
        <f t="shared" ca="1" si="74"/>
        <v/>
      </c>
    </row>
    <row r="960" spans="2:45" ht="27.6" customHeight="1">
      <c r="B960">
        <f t="shared" ca="1" si="70"/>
        <v>0</v>
      </c>
      <c r="C960" t="s">
        <v>85</v>
      </c>
      <c r="D960" t="s">
        <v>92</v>
      </c>
      <c r="E960" t="s">
        <v>92</v>
      </c>
      <c r="F960" t="s">
        <v>92</v>
      </c>
      <c r="G960" t="s">
        <v>92</v>
      </c>
      <c r="H960" t="s">
        <v>92</v>
      </c>
      <c r="I960" s="12" t="s">
        <v>268</v>
      </c>
      <c r="J960" t="s">
        <v>278</v>
      </c>
      <c r="L960" t="s">
        <v>92</v>
      </c>
      <c r="N960" s="14">
        <v>1</v>
      </c>
      <c r="P960" s="12" t="s">
        <v>268</v>
      </c>
      <c r="W960" s="9" t="str">
        <f t="shared" ca="1" si="71"/>
        <v>18.5%</v>
      </c>
      <c r="X960" t="s">
        <v>321</v>
      </c>
      <c r="Y960" s="9" t="str">
        <f t="shared" ca="1" si="72"/>
        <v>Sin costo</v>
      </c>
      <c r="Z960" t="s">
        <v>327</v>
      </c>
      <c r="AA960" t="s">
        <v>329</v>
      </c>
      <c r="AB960" t="s">
        <v>334</v>
      </c>
      <c r="AC960" s="12" t="s">
        <v>339</v>
      </c>
      <c r="AE960" t="s">
        <v>268</v>
      </c>
      <c r="AG960" s="12" t="s">
        <v>268</v>
      </c>
      <c r="AH960" t="s">
        <v>92</v>
      </c>
      <c r="AI960" s="12" t="s">
        <v>268</v>
      </c>
      <c r="AJ960" t="s">
        <v>92</v>
      </c>
      <c r="AK960" t="s">
        <v>92</v>
      </c>
      <c r="AL960" t="s">
        <v>92</v>
      </c>
      <c r="AM960" s="12" t="s">
        <v>268</v>
      </c>
      <c r="AN960" s="12" t="s">
        <v>268</v>
      </c>
      <c r="AO960" s="12" t="s">
        <v>268</v>
      </c>
      <c r="AP960" s="12" t="s">
        <v>268</v>
      </c>
      <c r="AQ960" s="12" t="s">
        <v>268</v>
      </c>
      <c r="AR960" s="28" t="str">
        <f t="shared" ca="1" si="73"/>
        <v/>
      </c>
      <c r="AS960" s="28" t="str">
        <f t="shared" ca="1" si="74"/>
        <v/>
      </c>
    </row>
    <row r="961" spans="2:45" ht="27.6" customHeight="1">
      <c r="B961">
        <f t="shared" ca="1" si="70"/>
        <v>0</v>
      </c>
      <c r="C961" t="s">
        <v>85</v>
      </c>
      <c r="D961" t="s">
        <v>92</v>
      </c>
      <c r="E961" t="s">
        <v>92</v>
      </c>
      <c r="F961" t="s">
        <v>92</v>
      </c>
      <c r="G961" t="s">
        <v>92</v>
      </c>
      <c r="H961" t="s">
        <v>92</v>
      </c>
      <c r="I961" s="12" t="s">
        <v>268</v>
      </c>
      <c r="J961" t="s">
        <v>278</v>
      </c>
      <c r="L961" t="s">
        <v>92</v>
      </c>
      <c r="N961" s="14">
        <v>1</v>
      </c>
      <c r="P961" s="12" t="s">
        <v>268</v>
      </c>
      <c r="W961" s="9" t="str">
        <f t="shared" ca="1" si="71"/>
        <v>18.5%</v>
      </c>
      <c r="X961" t="s">
        <v>321</v>
      </c>
      <c r="Y961" s="9" t="str">
        <f t="shared" ca="1" si="72"/>
        <v>Sin costo</v>
      </c>
      <c r="Z961" t="s">
        <v>327</v>
      </c>
      <c r="AA961" t="s">
        <v>329</v>
      </c>
      <c r="AB961" t="s">
        <v>334</v>
      </c>
      <c r="AC961" s="12" t="s">
        <v>339</v>
      </c>
      <c r="AE961" t="s">
        <v>268</v>
      </c>
      <c r="AG961" s="12" t="s">
        <v>268</v>
      </c>
      <c r="AH961" t="s">
        <v>92</v>
      </c>
      <c r="AI961" s="12" t="s">
        <v>268</v>
      </c>
      <c r="AJ961" t="s">
        <v>92</v>
      </c>
      <c r="AK961" t="s">
        <v>92</v>
      </c>
      <c r="AL961" t="s">
        <v>92</v>
      </c>
      <c r="AM961" s="12" t="s">
        <v>268</v>
      </c>
      <c r="AN961" s="12" t="s">
        <v>268</v>
      </c>
      <c r="AO961" s="12" t="s">
        <v>268</v>
      </c>
      <c r="AP961" s="12" t="s">
        <v>268</v>
      </c>
      <c r="AQ961" s="12" t="s">
        <v>268</v>
      </c>
      <c r="AR961" s="28" t="str">
        <f t="shared" ca="1" si="73"/>
        <v/>
      </c>
      <c r="AS961" s="28" t="str">
        <f t="shared" ca="1" si="74"/>
        <v/>
      </c>
    </row>
    <row r="962" spans="2:45" ht="27.6" customHeight="1">
      <c r="B962">
        <f t="shared" ca="1" si="70"/>
        <v>0</v>
      </c>
      <c r="C962" t="s">
        <v>85</v>
      </c>
      <c r="D962" t="s">
        <v>92</v>
      </c>
      <c r="E962" t="s">
        <v>92</v>
      </c>
      <c r="F962" t="s">
        <v>92</v>
      </c>
      <c r="G962" t="s">
        <v>92</v>
      </c>
      <c r="H962" t="s">
        <v>92</v>
      </c>
      <c r="I962" s="12" t="s">
        <v>268</v>
      </c>
      <c r="J962" t="s">
        <v>278</v>
      </c>
      <c r="L962" t="s">
        <v>92</v>
      </c>
      <c r="N962" s="14">
        <v>1</v>
      </c>
      <c r="P962" s="12" t="s">
        <v>268</v>
      </c>
      <c r="W962" s="9" t="str">
        <f t="shared" ca="1" si="71"/>
        <v>18.5%</v>
      </c>
      <c r="X962" t="s">
        <v>321</v>
      </c>
      <c r="Y962" s="9" t="str">
        <f t="shared" ca="1" si="72"/>
        <v>Sin costo</v>
      </c>
      <c r="Z962" t="s">
        <v>327</v>
      </c>
      <c r="AA962" t="s">
        <v>329</v>
      </c>
      <c r="AB962" t="s">
        <v>334</v>
      </c>
      <c r="AC962" s="12" t="s">
        <v>339</v>
      </c>
      <c r="AE962" t="s">
        <v>268</v>
      </c>
      <c r="AG962" s="12" t="s">
        <v>268</v>
      </c>
      <c r="AH962" t="s">
        <v>92</v>
      </c>
      <c r="AI962" s="12" t="s">
        <v>268</v>
      </c>
      <c r="AJ962" t="s">
        <v>92</v>
      </c>
      <c r="AK962" t="s">
        <v>92</v>
      </c>
      <c r="AL962" t="s">
        <v>92</v>
      </c>
      <c r="AM962" s="12" t="s">
        <v>268</v>
      </c>
      <c r="AN962" s="12" t="s">
        <v>268</v>
      </c>
      <c r="AO962" s="12" t="s">
        <v>268</v>
      </c>
      <c r="AP962" s="12" t="s">
        <v>268</v>
      </c>
      <c r="AQ962" s="12" t="s">
        <v>268</v>
      </c>
      <c r="AR962" s="28" t="str">
        <f t="shared" ca="1" si="73"/>
        <v/>
      </c>
      <c r="AS962" s="28" t="str">
        <f t="shared" ca="1" si="74"/>
        <v/>
      </c>
    </row>
    <row r="963" spans="2:45" ht="27.6" customHeight="1">
      <c r="B963">
        <f t="shared" ca="1" si="70"/>
        <v>0</v>
      </c>
      <c r="C963" t="s">
        <v>85</v>
      </c>
      <c r="D963" t="s">
        <v>92</v>
      </c>
      <c r="E963" t="s">
        <v>92</v>
      </c>
      <c r="F963" t="s">
        <v>92</v>
      </c>
      <c r="G963" t="s">
        <v>92</v>
      </c>
      <c r="H963" t="s">
        <v>92</v>
      </c>
      <c r="I963" s="12" t="s">
        <v>268</v>
      </c>
      <c r="J963" t="s">
        <v>278</v>
      </c>
      <c r="L963" t="s">
        <v>92</v>
      </c>
      <c r="N963" s="14">
        <v>1</v>
      </c>
      <c r="P963" s="12" t="s">
        <v>268</v>
      </c>
      <c r="W963" s="9" t="str">
        <f t="shared" ca="1" si="71"/>
        <v>18.5%</v>
      </c>
      <c r="X963" t="s">
        <v>321</v>
      </c>
      <c r="Y963" s="9" t="str">
        <f t="shared" ca="1" si="72"/>
        <v>Sin costo</v>
      </c>
      <c r="Z963" t="s">
        <v>327</v>
      </c>
      <c r="AA963" t="s">
        <v>329</v>
      </c>
      <c r="AB963" t="s">
        <v>334</v>
      </c>
      <c r="AC963" s="12" t="s">
        <v>339</v>
      </c>
      <c r="AE963" t="s">
        <v>268</v>
      </c>
      <c r="AG963" s="12" t="s">
        <v>268</v>
      </c>
      <c r="AH963" t="s">
        <v>92</v>
      </c>
      <c r="AI963" s="12" t="s">
        <v>268</v>
      </c>
      <c r="AJ963" t="s">
        <v>92</v>
      </c>
      <c r="AK963" t="s">
        <v>92</v>
      </c>
      <c r="AL963" t="s">
        <v>92</v>
      </c>
      <c r="AM963" s="12" t="s">
        <v>268</v>
      </c>
      <c r="AN963" s="12" t="s">
        <v>268</v>
      </c>
      <c r="AO963" s="12" t="s">
        <v>268</v>
      </c>
      <c r="AP963" s="12" t="s">
        <v>268</v>
      </c>
      <c r="AQ963" s="12" t="s">
        <v>268</v>
      </c>
      <c r="AR963" s="28" t="str">
        <f t="shared" ca="1" si="73"/>
        <v/>
      </c>
      <c r="AS963" s="28" t="str">
        <f t="shared" ca="1" si="74"/>
        <v/>
      </c>
    </row>
    <row r="964" spans="2:45" ht="27.6" customHeight="1">
      <c r="B964">
        <f t="shared" ca="1" si="70"/>
        <v>0</v>
      </c>
      <c r="C964" t="s">
        <v>85</v>
      </c>
      <c r="D964" t="s">
        <v>92</v>
      </c>
      <c r="E964" t="s">
        <v>92</v>
      </c>
      <c r="F964" t="s">
        <v>92</v>
      </c>
      <c r="G964" t="s">
        <v>92</v>
      </c>
      <c r="H964" t="s">
        <v>92</v>
      </c>
      <c r="I964" s="12" t="s">
        <v>268</v>
      </c>
      <c r="J964" t="s">
        <v>278</v>
      </c>
      <c r="L964" t="s">
        <v>92</v>
      </c>
      <c r="N964" s="14">
        <v>1</v>
      </c>
      <c r="P964" s="12" t="s">
        <v>268</v>
      </c>
      <c r="W964" s="9" t="str">
        <f t="shared" ca="1" si="71"/>
        <v>18.5%</v>
      </c>
      <c r="X964" t="s">
        <v>321</v>
      </c>
      <c r="Y964" s="9" t="str">
        <f t="shared" ca="1" si="72"/>
        <v>Sin costo</v>
      </c>
      <c r="Z964" t="s">
        <v>327</v>
      </c>
      <c r="AA964" t="s">
        <v>329</v>
      </c>
      <c r="AB964" t="s">
        <v>334</v>
      </c>
      <c r="AC964" s="12" t="s">
        <v>339</v>
      </c>
      <c r="AE964" t="s">
        <v>268</v>
      </c>
      <c r="AG964" s="12" t="s">
        <v>268</v>
      </c>
      <c r="AH964" t="s">
        <v>92</v>
      </c>
      <c r="AI964" s="12" t="s">
        <v>268</v>
      </c>
      <c r="AJ964" t="s">
        <v>92</v>
      </c>
      <c r="AK964" t="s">
        <v>92</v>
      </c>
      <c r="AL964" t="s">
        <v>92</v>
      </c>
      <c r="AM964" s="12" t="s">
        <v>268</v>
      </c>
      <c r="AN964" s="12" t="s">
        <v>268</v>
      </c>
      <c r="AO964" s="12" t="s">
        <v>268</v>
      </c>
      <c r="AP964" s="12" t="s">
        <v>268</v>
      </c>
      <c r="AQ964" s="12" t="s">
        <v>268</v>
      </c>
      <c r="AR964" s="28" t="str">
        <f t="shared" ca="1" si="73"/>
        <v/>
      </c>
      <c r="AS964" s="28" t="str">
        <f t="shared" ca="1" si="74"/>
        <v/>
      </c>
    </row>
    <row r="965" spans="2:45" ht="27.6" customHeight="1">
      <c r="B965">
        <f t="shared" ca="1" si="70"/>
        <v>0</v>
      </c>
      <c r="C965" t="s">
        <v>85</v>
      </c>
      <c r="D965" t="s">
        <v>92</v>
      </c>
      <c r="E965" t="s">
        <v>92</v>
      </c>
      <c r="F965" t="s">
        <v>92</v>
      </c>
      <c r="G965" t="s">
        <v>92</v>
      </c>
      <c r="H965" t="s">
        <v>92</v>
      </c>
      <c r="I965" s="12" t="s">
        <v>268</v>
      </c>
      <c r="J965" t="s">
        <v>278</v>
      </c>
      <c r="L965" t="s">
        <v>92</v>
      </c>
      <c r="N965" s="14">
        <v>1</v>
      </c>
      <c r="P965" s="12" t="s">
        <v>268</v>
      </c>
      <c r="W965" s="9" t="str">
        <f t="shared" ca="1" si="71"/>
        <v>18.5%</v>
      </c>
      <c r="X965" t="s">
        <v>321</v>
      </c>
      <c r="Y965" s="9" t="str">
        <f t="shared" ca="1" si="72"/>
        <v>Sin costo</v>
      </c>
      <c r="Z965" t="s">
        <v>327</v>
      </c>
      <c r="AA965" t="s">
        <v>329</v>
      </c>
      <c r="AB965" t="s">
        <v>334</v>
      </c>
      <c r="AC965" s="12" t="s">
        <v>339</v>
      </c>
      <c r="AE965" t="s">
        <v>268</v>
      </c>
      <c r="AG965" s="12" t="s">
        <v>268</v>
      </c>
      <c r="AH965" t="s">
        <v>92</v>
      </c>
      <c r="AI965" s="12" t="s">
        <v>268</v>
      </c>
      <c r="AJ965" t="s">
        <v>92</v>
      </c>
      <c r="AK965" t="s">
        <v>92</v>
      </c>
      <c r="AL965" t="s">
        <v>92</v>
      </c>
      <c r="AM965" s="12" t="s">
        <v>268</v>
      </c>
      <c r="AN965" s="12" t="s">
        <v>268</v>
      </c>
      <c r="AO965" s="12" t="s">
        <v>268</v>
      </c>
      <c r="AP965" s="12" t="s">
        <v>268</v>
      </c>
      <c r="AQ965" s="12" t="s">
        <v>268</v>
      </c>
      <c r="AR965" s="28" t="str">
        <f t="shared" ca="1" si="73"/>
        <v/>
      </c>
      <c r="AS965" s="28" t="str">
        <f t="shared" ca="1" si="74"/>
        <v/>
      </c>
    </row>
    <row r="966" spans="2:45" ht="27.6" customHeight="1">
      <c r="B966">
        <f t="shared" ca="1" si="70"/>
        <v>0</v>
      </c>
      <c r="C966" t="s">
        <v>85</v>
      </c>
      <c r="D966" t="s">
        <v>92</v>
      </c>
      <c r="E966" t="s">
        <v>92</v>
      </c>
      <c r="F966" t="s">
        <v>92</v>
      </c>
      <c r="G966" t="s">
        <v>92</v>
      </c>
      <c r="H966" t="s">
        <v>92</v>
      </c>
      <c r="I966" s="12" t="s">
        <v>268</v>
      </c>
      <c r="J966" t="s">
        <v>278</v>
      </c>
      <c r="L966" t="s">
        <v>92</v>
      </c>
      <c r="N966" s="14">
        <v>1</v>
      </c>
      <c r="P966" s="12" t="s">
        <v>268</v>
      </c>
      <c r="W966" s="9" t="str">
        <f t="shared" ca="1" si="71"/>
        <v>18.5%</v>
      </c>
      <c r="X966" t="s">
        <v>321</v>
      </c>
      <c r="Y966" s="9" t="str">
        <f t="shared" ca="1" si="72"/>
        <v>Sin costo</v>
      </c>
      <c r="Z966" t="s">
        <v>327</v>
      </c>
      <c r="AA966" t="s">
        <v>329</v>
      </c>
      <c r="AB966" t="s">
        <v>334</v>
      </c>
      <c r="AC966" s="12" t="s">
        <v>339</v>
      </c>
      <c r="AE966" t="s">
        <v>268</v>
      </c>
      <c r="AG966" s="12" t="s">
        <v>268</v>
      </c>
      <c r="AH966" t="s">
        <v>92</v>
      </c>
      <c r="AI966" s="12" t="s">
        <v>268</v>
      </c>
      <c r="AJ966" t="s">
        <v>92</v>
      </c>
      <c r="AK966" t="s">
        <v>92</v>
      </c>
      <c r="AL966" t="s">
        <v>92</v>
      </c>
      <c r="AM966" s="12" t="s">
        <v>268</v>
      </c>
      <c r="AN966" s="12" t="s">
        <v>268</v>
      </c>
      <c r="AO966" s="12" t="s">
        <v>268</v>
      </c>
      <c r="AP966" s="12" t="s">
        <v>268</v>
      </c>
      <c r="AQ966" s="12" t="s">
        <v>268</v>
      </c>
      <c r="AR966" s="28" t="str">
        <f t="shared" ca="1" si="73"/>
        <v/>
      </c>
      <c r="AS966" s="28" t="str">
        <f t="shared" ca="1" si="74"/>
        <v/>
      </c>
    </row>
    <row r="967" spans="2:45" ht="27.6" customHeight="1">
      <c r="B967">
        <f t="shared" ref="B967:B1000" ca="1" si="75">LEN(INDIRECT(ADDRESS(ROW() + (0),COLUMN() + (-1))))</f>
        <v>0</v>
      </c>
      <c r="C967" t="s">
        <v>85</v>
      </c>
      <c r="D967" t="s">
        <v>92</v>
      </c>
      <c r="E967" t="s">
        <v>92</v>
      </c>
      <c r="F967" t="s">
        <v>92</v>
      </c>
      <c r="G967" t="s">
        <v>92</v>
      </c>
      <c r="H967" t="s">
        <v>92</v>
      </c>
      <c r="I967" s="12" t="s">
        <v>268</v>
      </c>
      <c r="J967" t="s">
        <v>278</v>
      </c>
      <c r="L967" t="s">
        <v>92</v>
      </c>
      <c r="N967" s="14">
        <v>1</v>
      </c>
      <c r="P967" s="12" t="s">
        <v>268</v>
      </c>
      <c r="W967" s="9" t="str">
        <f t="shared" ref="W967:W1000" ca="1" si="76">IF(INDIRECT(ADDRESS(ROW() + (0),COLUMN() + (1)))="Cuotas extra", IF(("21.5%")="", "-", "21.5%"), IF(INDIRECT(ADDRESS(ROW() + (0),COLUMN() + (1)))="Cuotas", IF(("18.5%")="", "-", "18.5%"), "-"))</f>
        <v>18.5%</v>
      </c>
      <c r="X967" t="s">
        <v>321</v>
      </c>
      <c r="Y967" s="9" t="str">
        <f t="shared" ref="Y967:Y1000" ca="1" si="77">IF(INDIRECT(ADDRESS(ROW() + (0),COLUMN() + (-1)))="Cuotas extra", IF(("")="", "Sin costo", ""), IF(INDIRECT(ADDRESS(ROW() + (0),COLUMN() + (-1)))="Cuotas", IF(("")="", "Sin costo", ""), "-"))</f>
        <v>Sin costo</v>
      </c>
      <c r="Z967" t="s">
        <v>327</v>
      </c>
      <c r="AA967" t="s">
        <v>329</v>
      </c>
      <c r="AB967" t="s">
        <v>334</v>
      </c>
      <c r="AC967" s="12" t="s">
        <v>339</v>
      </c>
      <c r="AE967" t="s">
        <v>268</v>
      </c>
      <c r="AG967" s="12" t="s">
        <v>268</v>
      </c>
      <c r="AH967" t="s">
        <v>92</v>
      </c>
      <c r="AI967" s="12" t="s">
        <v>268</v>
      </c>
      <c r="AJ967" t="s">
        <v>92</v>
      </c>
      <c r="AK967" t="s">
        <v>92</v>
      </c>
      <c r="AL967" t="s">
        <v>92</v>
      </c>
      <c r="AM967" s="12" t="s">
        <v>268</v>
      </c>
      <c r="AN967" s="12" t="s">
        <v>268</v>
      </c>
      <c r="AO967" s="12" t="s">
        <v>268</v>
      </c>
      <c r="AP967" s="12" t="s">
        <v>268</v>
      </c>
      <c r="AQ967" s="12" t="s">
        <v>268</v>
      </c>
      <c r="AR967" s="28" t="str">
        <f t="shared" ref="AR967:AR1000" ca="1" si="7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967" s="28" t="str">
        <f t="shared" ref="AS967:AS1000" ca="1" si="79">IF(TRIM(INDIRECT("A"&amp;ROW())) &lt;&gt; "",FALSE,"")</f>
        <v/>
      </c>
    </row>
    <row r="968" spans="2:45" ht="27.6" customHeight="1">
      <c r="B968">
        <f t="shared" ca="1" si="75"/>
        <v>0</v>
      </c>
      <c r="C968" t="s">
        <v>85</v>
      </c>
      <c r="D968" t="s">
        <v>92</v>
      </c>
      <c r="E968" t="s">
        <v>92</v>
      </c>
      <c r="F968" t="s">
        <v>92</v>
      </c>
      <c r="G968" t="s">
        <v>92</v>
      </c>
      <c r="H968" t="s">
        <v>92</v>
      </c>
      <c r="I968" s="12" t="s">
        <v>268</v>
      </c>
      <c r="J968" t="s">
        <v>278</v>
      </c>
      <c r="L968" t="s">
        <v>92</v>
      </c>
      <c r="N968" s="14">
        <v>1</v>
      </c>
      <c r="P968" s="12" t="s">
        <v>268</v>
      </c>
      <c r="W968" s="9" t="str">
        <f t="shared" ca="1" si="76"/>
        <v>18.5%</v>
      </c>
      <c r="X968" t="s">
        <v>321</v>
      </c>
      <c r="Y968" s="9" t="str">
        <f t="shared" ca="1" si="77"/>
        <v>Sin costo</v>
      </c>
      <c r="Z968" t="s">
        <v>327</v>
      </c>
      <c r="AA968" t="s">
        <v>329</v>
      </c>
      <c r="AB968" t="s">
        <v>334</v>
      </c>
      <c r="AC968" s="12" t="s">
        <v>339</v>
      </c>
      <c r="AE968" t="s">
        <v>268</v>
      </c>
      <c r="AG968" s="12" t="s">
        <v>268</v>
      </c>
      <c r="AH968" t="s">
        <v>92</v>
      </c>
      <c r="AI968" s="12" t="s">
        <v>268</v>
      </c>
      <c r="AJ968" t="s">
        <v>92</v>
      </c>
      <c r="AK968" t="s">
        <v>92</v>
      </c>
      <c r="AL968" t="s">
        <v>92</v>
      </c>
      <c r="AM968" s="12" t="s">
        <v>268</v>
      </c>
      <c r="AN968" s="12" t="s">
        <v>268</v>
      </c>
      <c r="AO968" s="12" t="s">
        <v>268</v>
      </c>
      <c r="AP968" s="12" t="s">
        <v>268</v>
      </c>
      <c r="AQ968" s="12" t="s">
        <v>268</v>
      </c>
      <c r="AR968" s="28" t="str">
        <f t="shared" ca="1" si="78"/>
        <v/>
      </c>
      <c r="AS968" s="28" t="str">
        <f t="shared" ca="1" si="79"/>
        <v/>
      </c>
    </row>
    <row r="969" spans="2:45" ht="27.6" customHeight="1">
      <c r="B969">
        <f t="shared" ca="1" si="75"/>
        <v>0</v>
      </c>
      <c r="C969" t="s">
        <v>85</v>
      </c>
      <c r="D969" t="s">
        <v>92</v>
      </c>
      <c r="E969" t="s">
        <v>92</v>
      </c>
      <c r="F969" t="s">
        <v>92</v>
      </c>
      <c r="G969" t="s">
        <v>92</v>
      </c>
      <c r="H969" t="s">
        <v>92</v>
      </c>
      <c r="I969" s="12" t="s">
        <v>268</v>
      </c>
      <c r="J969" t="s">
        <v>278</v>
      </c>
      <c r="L969" t="s">
        <v>92</v>
      </c>
      <c r="N969" s="14">
        <v>1</v>
      </c>
      <c r="P969" s="12" t="s">
        <v>268</v>
      </c>
      <c r="W969" s="9" t="str">
        <f t="shared" ca="1" si="76"/>
        <v>18.5%</v>
      </c>
      <c r="X969" t="s">
        <v>321</v>
      </c>
      <c r="Y969" s="9" t="str">
        <f t="shared" ca="1" si="77"/>
        <v>Sin costo</v>
      </c>
      <c r="Z969" t="s">
        <v>327</v>
      </c>
      <c r="AA969" t="s">
        <v>329</v>
      </c>
      <c r="AB969" t="s">
        <v>334</v>
      </c>
      <c r="AC969" s="12" t="s">
        <v>339</v>
      </c>
      <c r="AE969" t="s">
        <v>268</v>
      </c>
      <c r="AG969" s="12" t="s">
        <v>268</v>
      </c>
      <c r="AH969" t="s">
        <v>92</v>
      </c>
      <c r="AI969" s="12" t="s">
        <v>268</v>
      </c>
      <c r="AJ969" t="s">
        <v>92</v>
      </c>
      <c r="AK969" t="s">
        <v>92</v>
      </c>
      <c r="AL969" t="s">
        <v>92</v>
      </c>
      <c r="AM969" s="12" t="s">
        <v>268</v>
      </c>
      <c r="AN969" s="12" t="s">
        <v>268</v>
      </c>
      <c r="AO969" s="12" t="s">
        <v>268</v>
      </c>
      <c r="AP969" s="12" t="s">
        <v>268</v>
      </c>
      <c r="AQ969" s="12" t="s">
        <v>268</v>
      </c>
      <c r="AR969" s="28" t="str">
        <f t="shared" ca="1" si="78"/>
        <v/>
      </c>
      <c r="AS969" s="28" t="str">
        <f t="shared" ca="1" si="79"/>
        <v/>
      </c>
    </row>
    <row r="970" spans="2:45" ht="27.6" customHeight="1">
      <c r="B970">
        <f t="shared" ca="1" si="75"/>
        <v>0</v>
      </c>
      <c r="C970" t="s">
        <v>85</v>
      </c>
      <c r="D970" t="s">
        <v>92</v>
      </c>
      <c r="E970" t="s">
        <v>92</v>
      </c>
      <c r="F970" t="s">
        <v>92</v>
      </c>
      <c r="G970" t="s">
        <v>92</v>
      </c>
      <c r="H970" t="s">
        <v>92</v>
      </c>
      <c r="I970" s="12" t="s">
        <v>268</v>
      </c>
      <c r="J970" t="s">
        <v>278</v>
      </c>
      <c r="L970" t="s">
        <v>92</v>
      </c>
      <c r="N970" s="14">
        <v>1</v>
      </c>
      <c r="P970" s="12" t="s">
        <v>268</v>
      </c>
      <c r="W970" s="9" t="str">
        <f t="shared" ca="1" si="76"/>
        <v>18.5%</v>
      </c>
      <c r="X970" t="s">
        <v>321</v>
      </c>
      <c r="Y970" s="9" t="str">
        <f t="shared" ca="1" si="77"/>
        <v>Sin costo</v>
      </c>
      <c r="Z970" t="s">
        <v>327</v>
      </c>
      <c r="AA970" t="s">
        <v>329</v>
      </c>
      <c r="AB970" t="s">
        <v>334</v>
      </c>
      <c r="AC970" s="12" t="s">
        <v>339</v>
      </c>
      <c r="AE970" t="s">
        <v>268</v>
      </c>
      <c r="AG970" s="12" t="s">
        <v>268</v>
      </c>
      <c r="AH970" t="s">
        <v>92</v>
      </c>
      <c r="AI970" s="12" t="s">
        <v>268</v>
      </c>
      <c r="AJ970" t="s">
        <v>92</v>
      </c>
      <c r="AK970" t="s">
        <v>92</v>
      </c>
      <c r="AL970" t="s">
        <v>92</v>
      </c>
      <c r="AM970" s="12" t="s">
        <v>268</v>
      </c>
      <c r="AN970" s="12" t="s">
        <v>268</v>
      </c>
      <c r="AO970" s="12" t="s">
        <v>268</v>
      </c>
      <c r="AP970" s="12" t="s">
        <v>268</v>
      </c>
      <c r="AQ970" s="12" t="s">
        <v>268</v>
      </c>
      <c r="AR970" s="28" t="str">
        <f t="shared" ca="1" si="78"/>
        <v/>
      </c>
      <c r="AS970" s="28" t="str">
        <f t="shared" ca="1" si="79"/>
        <v/>
      </c>
    </row>
    <row r="971" spans="2:45" ht="27.6" customHeight="1">
      <c r="B971">
        <f t="shared" ca="1" si="75"/>
        <v>0</v>
      </c>
      <c r="C971" t="s">
        <v>85</v>
      </c>
      <c r="D971" t="s">
        <v>92</v>
      </c>
      <c r="E971" t="s">
        <v>92</v>
      </c>
      <c r="F971" t="s">
        <v>92</v>
      </c>
      <c r="G971" t="s">
        <v>92</v>
      </c>
      <c r="H971" t="s">
        <v>92</v>
      </c>
      <c r="I971" s="12" t="s">
        <v>268</v>
      </c>
      <c r="J971" t="s">
        <v>278</v>
      </c>
      <c r="L971" t="s">
        <v>92</v>
      </c>
      <c r="N971" s="14">
        <v>1</v>
      </c>
      <c r="P971" s="12" t="s">
        <v>268</v>
      </c>
      <c r="W971" s="9" t="str">
        <f t="shared" ca="1" si="76"/>
        <v>18.5%</v>
      </c>
      <c r="X971" t="s">
        <v>321</v>
      </c>
      <c r="Y971" s="9" t="str">
        <f t="shared" ca="1" si="77"/>
        <v>Sin costo</v>
      </c>
      <c r="Z971" t="s">
        <v>327</v>
      </c>
      <c r="AA971" t="s">
        <v>329</v>
      </c>
      <c r="AB971" t="s">
        <v>334</v>
      </c>
      <c r="AC971" s="12" t="s">
        <v>339</v>
      </c>
      <c r="AE971" t="s">
        <v>268</v>
      </c>
      <c r="AG971" s="12" t="s">
        <v>268</v>
      </c>
      <c r="AH971" t="s">
        <v>92</v>
      </c>
      <c r="AI971" s="12" t="s">
        <v>268</v>
      </c>
      <c r="AJ971" t="s">
        <v>92</v>
      </c>
      <c r="AK971" t="s">
        <v>92</v>
      </c>
      <c r="AL971" t="s">
        <v>92</v>
      </c>
      <c r="AM971" s="12" t="s">
        <v>268</v>
      </c>
      <c r="AN971" s="12" t="s">
        <v>268</v>
      </c>
      <c r="AO971" s="12" t="s">
        <v>268</v>
      </c>
      <c r="AP971" s="12" t="s">
        <v>268</v>
      </c>
      <c r="AQ971" s="12" t="s">
        <v>268</v>
      </c>
      <c r="AR971" s="28" t="str">
        <f t="shared" ca="1" si="78"/>
        <v/>
      </c>
      <c r="AS971" s="28" t="str">
        <f t="shared" ca="1" si="79"/>
        <v/>
      </c>
    </row>
    <row r="972" spans="2:45" ht="27.6" customHeight="1">
      <c r="B972">
        <f t="shared" ca="1" si="75"/>
        <v>0</v>
      </c>
      <c r="C972" t="s">
        <v>85</v>
      </c>
      <c r="D972" t="s">
        <v>92</v>
      </c>
      <c r="E972" t="s">
        <v>92</v>
      </c>
      <c r="F972" t="s">
        <v>92</v>
      </c>
      <c r="G972" t="s">
        <v>92</v>
      </c>
      <c r="H972" t="s">
        <v>92</v>
      </c>
      <c r="I972" s="12" t="s">
        <v>268</v>
      </c>
      <c r="J972" t="s">
        <v>278</v>
      </c>
      <c r="L972" t="s">
        <v>92</v>
      </c>
      <c r="N972" s="14">
        <v>1</v>
      </c>
      <c r="P972" s="12" t="s">
        <v>268</v>
      </c>
      <c r="W972" s="9" t="str">
        <f t="shared" ca="1" si="76"/>
        <v>18.5%</v>
      </c>
      <c r="X972" t="s">
        <v>321</v>
      </c>
      <c r="Y972" s="9" t="str">
        <f t="shared" ca="1" si="77"/>
        <v>Sin costo</v>
      </c>
      <c r="Z972" t="s">
        <v>327</v>
      </c>
      <c r="AA972" t="s">
        <v>329</v>
      </c>
      <c r="AB972" t="s">
        <v>334</v>
      </c>
      <c r="AC972" s="12" t="s">
        <v>339</v>
      </c>
      <c r="AE972" t="s">
        <v>268</v>
      </c>
      <c r="AG972" s="12" t="s">
        <v>268</v>
      </c>
      <c r="AH972" t="s">
        <v>92</v>
      </c>
      <c r="AI972" s="12" t="s">
        <v>268</v>
      </c>
      <c r="AJ972" t="s">
        <v>92</v>
      </c>
      <c r="AK972" t="s">
        <v>92</v>
      </c>
      <c r="AL972" t="s">
        <v>92</v>
      </c>
      <c r="AM972" s="12" t="s">
        <v>268</v>
      </c>
      <c r="AN972" s="12" t="s">
        <v>268</v>
      </c>
      <c r="AO972" s="12" t="s">
        <v>268</v>
      </c>
      <c r="AP972" s="12" t="s">
        <v>268</v>
      </c>
      <c r="AQ972" s="12" t="s">
        <v>268</v>
      </c>
      <c r="AR972" s="28" t="str">
        <f t="shared" ca="1" si="78"/>
        <v/>
      </c>
      <c r="AS972" s="28" t="str">
        <f t="shared" ca="1" si="79"/>
        <v/>
      </c>
    </row>
    <row r="973" spans="2:45" ht="27.6" customHeight="1">
      <c r="B973">
        <f t="shared" ca="1" si="75"/>
        <v>0</v>
      </c>
      <c r="C973" t="s">
        <v>85</v>
      </c>
      <c r="D973" t="s">
        <v>92</v>
      </c>
      <c r="E973" t="s">
        <v>92</v>
      </c>
      <c r="F973" t="s">
        <v>92</v>
      </c>
      <c r="G973" t="s">
        <v>92</v>
      </c>
      <c r="H973" t="s">
        <v>92</v>
      </c>
      <c r="I973" s="12" t="s">
        <v>268</v>
      </c>
      <c r="J973" t="s">
        <v>278</v>
      </c>
      <c r="L973" t="s">
        <v>92</v>
      </c>
      <c r="N973" s="14">
        <v>1</v>
      </c>
      <c r="P973" s="12" t="s">
        <v>268</v>
      </c>
      <c r="W973" s="9" t="str">
        <f t="shared" ca="1" si="76"/>
        <v>18.5%</v>
      </c>
      <c r="X973" t="s">
        <v>321</v>
      </c>
      <c r="Y973" s="9" t="str">
        <f t="shared" ca="1" si="77"/>
        <v>Sin costo</v>
      </c>
      <c r="Z973" t="s">
        <v>327</v>
      </c>
      <c r="AA973" t="s">
        <v>329</v>
      </c>
      <c r="AB973" t="s">
        <v>334</v>
      </c>
      <c r="AC973" s="12" t="s">
        <v>339</v>
      </c>
      <c r="AE973" t="s">
        <v>268</v>
      </c>
      <c r="AG973" s="12" t="s">
        <v>268</v>
      </c>
      <c r="AH973" t="s">
        <v>92</v>
      </c>
      <c r="AI973" s="12" t="s">
        <v>268</v>
      </c>
      <c r="AJ973" t="s">
        <v>92</v>
      </c>
      <c r="AK973" t="s">
        <v>92</v>
      </c>
      <c r="AL973" t="s">
        <v>92</v>
      </c>
      <c r="AM973" s="12" t="s">
        <v>268</v>
      </c>
      <c r="AN973" s="12" t="s">
        <v>268</v>
      </c>
      <c r="AO973" s="12" t="s">
        <v>268</v>
      </c>
      <c r="AP973" s="12" t="s">
        <v>268</v>
      </c>
      <c r="AQ973" s="12" t="s">
        <v>268</v>
      </c>
      <c r="AR973" s="28" t="str">
        <f t="shared" ca="1" si="78"/>
        <v/>
      </c>
      <c r="AS973" s="28" t="str">
        <f t="shared" ca="1" si="79"/>
        <v/>
      </c>
    </row>
    <row r="974" spans="2:45" ht="27.6" customHeight="1">
      <c r="B974">
        <f t="shared" ca="1" si="75"/>
        <v>0</v>
      </c>
      <c r="C974" t="s">
        <v>85</v>
      </c>
      <c r="D974" t="s">
        <v>92</v>
      </c>
      <c r="E974" t="s">
        <v>92</v>
      </c>
      <c r="F974" t="s">
        <v>92</v>
      </c>
      <c r="G974" t="s">
        <v>92</v>
      </c>
      <c r="H974" t="s">
        <v>92</v>
      </c>
      <c r="I974" s="12" t="s">
        <v>268</v>
      </c>
      <c r="J974" t="s">
        <v>278</v>
      </c>
      <c r="L974" t="s">
        <v>92</v>
      </c>
      <c r="N974" s="14">
        <v>1</v>
      </c>
      <c r="P974" s="12" t="s">
        <v>268</v>
      </c>
      <c r="W974" s="9" t="str">
        <f t="shared" ca="1" si="76"/>
        <v>18.5%</v>
      </c>
      <c r="X974" t="s">
        <v>321</v>
      </c>
      <c r="Y974" s="9" t="str">
        <f t="shared" ca="1" si="77"/>
        <v>Sin costo</v>
      </c>
      <c r="Z974" t="s">
        <v>327</v>
      </c>
      <c r="AA974" t="s">
        <v>329</v>
      </c>
      <c r="AB974" t="s">
        <v>334</v>
      </c>
      <c r="AC974" s="12" t="s">
        <v>339</v>
      </c>
      <c r="AE974" t="s">
        <v>268</v>
      </c>
      <c r="AG974" s="12" t="s">
        <v>268</v>
      </c>
      <c r="AH974" t="s">
        <v>92</v>
      </c>
      <c r="AI974" s="12" t="s">
        <v>268</v>
      </c>
      <c r="AJ974" t="s">
        <v>92</v>
      </c>
      <c r="AK974" t="s">
        <v>92</v>
      </c>
      <c r="AL974" t="s">
        <v>92</v>
      </c>
      <c r="AM974" s="12" t="s">
        <v>268</v>
      </c>
      <c r="AN974" s="12" t="s">
        <v>268</v>
      </c>
      <c r="AO974" s="12" t="s">
        <v>268</v>
      </c>
      <c r="AP974" s="12" t="s">
        <v>268</v>
      </c>
      <c r="AQ974" s="12" t="s">
        <v>268</v>
      </c>
      <c r="AR974" s="28" t="str">
        <f t="shared" ca="1" si="78"/>
        <v/>
      </c>
      <c r="AS974" s="28" t="str">
        <f t="shared" ca="1" si="79"/>
        <v/>
      </c>
    </row>
    <row r="975" spans="2:45" ht="27.6" customHeight="1">
      <c r="B975">
        <f t="shared" ca="1" si="75"/>
        <v>0</v>
      </c>
      <c r="C975" t="s">
        <v>85</v>
      </c>
      <c r="D975" t="s">
        <v>92</v>
      </c>
      <c r="E975" t="s">
        <v>92</v>
      </c>
      <c r="F975" t="s">
        <v>92</v>
      </c>
      <c r="G975" t="s">
        <v>92</v>
      </c>
      <c r="H975" t="s">
        <v>92</v>
      </c>
      <c r="I975" s="12" t="s">
        <v>268</v>
      </c>
      <c r="J975" t="s">
        <v>278</v>
      </c>
      <c r="L975" t="s">
        <v>92</v>
      </c>
      <c r="N975" s="14">
        <v>1</v>
      </c>
      <c r="P975" s="12" t="s">
        <v>268</v>
      </c>
      <c r="W975" s="9" t="str">
        <f t="shared" ca="1" si="76"/>
        <v>18.5%</v>
      </c>
      <c r="X975" t="s">
        <v>321</v>
      </c>
      <c r="Y975" s="9" t="str">
        <f t="shared" ca="1" si="77"/>
        <v>Sin costo</v>
      </c>
      <c r="Z975" t="s">
        <v>327</v>
      </c>
      <c r="AA975" t="s">
        <v>329</v>
      </c>
      <c r="AB975" t="s">
        <v>334</v>
      </c>
      <c r="AC975" s="12" t="s">
        <v>339</v>
      </c>
      <c r="AE975" t="s">
        <v>268</v>
      </c>
      <c r="AG975" s="12" t="s">
        <v>268</v>
      </c>
      <c r="AH975" t="s">
        <v>92</v>
      </c>
      <c r="AI975" s="12" t="s">
        <v>268</v>
      </c>
      <c r="AJ975" t="s">
        <v>92</v>
      </c>
      <c r="AK975" t="s">
        <v>92</v>
      </c>
      <c r="AL975" t="s">
        <v>92</v>
      </c>
      <c r="AM975" s="12" t="s">
        <v>268</v>
      </c>
      <c r="AN975" s="12" t="s">
        <v>268</v>
      </c>
      <c r="AO975" s="12" t="s">
        <v>268</v>
      </c>
      <c r="AP975" s="12" t="s">
        <v>268</v>
      </c>
      <c r="AQ975" s="12" t="s">
        <v>268</v>
      </c>
      <c r="AR975" s="28" t="str">
        <f t="shared" ca="1" si="78"/>
        <v/>
      </c>
      <c r="AS975" s="28" t="str">
        <f t="shared" ca="1" si="79"/>
        <v/>
      </c>
    </row>
    <row r="976" spans="2:45" ht="27.6" customHeight="1">
      <c r="B976">
        <f t="shared" ca="1" si="75"/>
        <v>0</v>
      </c>
      <c r="C976" t="s">
        <v>85</v>
      </c>
      <c r="D976" t="s">
        <v>92</v>
      </c>
      <c r="E976" t="s">
        <v>92</v>
      </c>
      <c r="F976" t="s">
        <v>92</v>
      </c>
      <c r="G976" t="s">
        <v>92</v>
      </c>
      <c r="H976" t="s">
        <v>92</v>
      </c>
      <c r="I976" s="12" t="s">
        <v>268</v>
      </c>
      <c r="J976" t="s">
        <v>278</v>
      </c>
      <c r="L976" t="s">
        <v>92</v>
      </c>
      <c r="N976" s="14">
        <v>1</v>
      </c>
      <c r="P976" s="12" t="s">
        <v>268</v>
      </c>
      <c r="W976" s="9" t="str">
        <f t="shared" ca="1" si="76"/>
        <v>18.5%</v>
      </c>
      <c r="X976" t="s">
        <v>321</v>
      </c>
      <c r="Y976" s="9" t="str">
        <f t="shared" ca="1" si="77"/>
        <v>Sin costo</v>
      </c>
      <c r="Z976" t="s">
        <v>327</v>
      </c>
      <c r="AA976" t="s">
        <v>329</v>
      </c>
      <c r="AB976" t="s">
        <v>334</v>
      </c>
      <c r="AC976" s="12" t="s">
        <v>339</v>
      </c>
      <c r="AE976" t="s">
        <v>268</v>
      </c>
      <c r="AG976" s="12" t="s">
        <v>268</v>
      </c>
      <c r="AH976" t="s">
        <v>92</v>
      </c>
      <c r="AI976" s="12" t="s">
        <v>268</v>
      </c>
      <c r="AJ976" t="s">
        <v>92</v>
      </c>
      <c r="AK976" t="s">
        <v>92</v>
      </c>
      <c r="AL976" t="s">
        <v>92</v>
      </c>
      <c r="AM976" s="12" t="s">
        <v>268</v>
      </c>
      <c r="AN976" s="12" t="s">
        <v>268</v>
      </c>
      <c r="AO976" s="12" t="s">
        <v>268</v>
      </c>
      <c r="AP976" s="12" t="s">
        <v>268</v>
      </c>
      <c r="AQ976" s="12" t="s">
        <v>268</v>
      </c>
      <c r="AR976" s="28" t="str">
        <f t="shared" ca="1" si="78"/>
        <v/>
      </c>
      <c r="AS976" s="28" t="str">
        <f t="shared" ca="1" si="79"/>
        <v/>
      </c>
    </row>
    <row r="977" spans="2:45" ht="27.6" customHeight="1">
      <c r="B977">
        <f t="shared" ca="1" si="75"/>
        <v>0</v>
      </c>
      <c r="C977" t="s">
        <v>85</v>
      </c>
      <c r="D977" t="s">
        <v>92</v>
      </c>
      <c r="E977" t="s">
        <v>92</v>
      </c>
      <c r="F977" t="s">
        <v>92</v>
      </c>
      <c r="G977" t="s">
        <v>92</v>
      </c>
      <c r="H977" t="s">
        <v>92</v>
      </c>
      <c r="I977" s="12" t="s">
        <v>268</v>
      </c>
      <c r="J977" t="s">
        <v>278</v>
      </c>
      <c r="L977" t="s">
        <v>92</v>
      </c>
      <c r="N977" s="14">
        <v>1</v>
      </c>
      <c r="P977" s="12" t="s">
        <v>268</v>
      </c>
      <c r="W977" s="9" t="str">
        <f t="shared" ca="1" si="76"/>
        <v>18.5%</v>
      </c>
      <c r="X977" t="s">
        <v>321</v>
      </c>
      <c r="Y977" s="9" t="str">
        <f t="shared" ca="1" si="77"/>
        <v>Sin costo</v>
      </c>
      <c r="Z977" t="s">
        <v>327</v>
      </c>
      <c r="AA977" t="s">
        <v>329</v>
      </c>
      <c r="AB977" t="s">
        <v>334</v>
      </c>
      <c r="AC977" s="12" t="s">
        <v>339</v>
      </c>
      <c r="AE977" t="s">
        <v>268</v>
      </c>
      <c r="AG977" s="12" t="s">
        <v>268</v>
      </c>
      <c r="AH977" t="s">
        <v>92</v>
      </c>
      <c r="AI977" s="12" t="s">
        <v>268</v>
      </c>
      <c r="AJ977" t="s">
        <v>92</v>
      </c>
      <c r="AK977" t="s">
        <v>92</v>
      </c>
      <c r="AL977" t="s">
        <v>92</v>
      </c>
      <c r="AM977" s="12" t="s">
        <v>268</v>
      </c>
      <c r="AN977" s="12" t="s">
        <v>268</v>
      </c>
      <c r="AO977" s="12" t="s">
        <v>268</v>
      </c>
      <c r="AP977" s="12" t="s">
        <v>268</v>
      </c>
      <c r="AQ977" s="12" t="s">
        <v>268</v>
      </c>
      <c r="AR977" s="28" t="str">
        <f t="shared" ca="1" si="78"/>
        <v/>
      </c>
      <c r="AS977" s="28" t="str">
        <f t="shared" ca="1" si="79"/>
        <v/>
      </c>
    </row>
    <row r="978" spans="2:45" ht="27.6" customHeight="1">
      <c r="B978">
        <f t="shared" ca="1" si="75"/>
        <v>0</v>
      </c>
      <c r="C978" t="s">
        <v>85</v>
      </c>
      <c r="D978" t="s">
        <v>92</v>
      </c>
      <c r="E978" t="s">
        <v>92</v>
      </c>
      <c r="F978" t="s">
        <v>92</v>
      </c>
      <c r="G978" t="s">
        <v>92</v>
      </c>
      <c r="H978" t="s">
        <v>92</v>
      </c>
      <c r="I978" s="12" t="s">
        <v>268</v>
      </c>
      <c r="J978" t="s">
        <v>278</v>
      </c>
      <c r="L978" t="s">
        <v>92</v>
      </c>
      <c r="N978" s="14">
        <v>1</v>
      </c>
      <c r="P978" s="12" t="s">
        <v>268</v>
      </c>
      <c r="W978" s="9" t="str">
        <f t="shared" ca="1" si="76"/>
        <v>18.5%</v>
      </c>
      <c r="X978" t="s">
        <v>321</v>
      </c>
      <c r="Y978" s="9" t="str">
        <f t="shared" ca="1" si="77"/>
        <v>Sin costo</v>
      </c>
      <c r="Z978" t="s">
        <v>327</v>
      </c>
      <c r="AA978" t="s">
        <v>329</v>
      </c>
      <c r="AB978" t="s">
        <v>334</v>
      </c>
      <c r="AC978" s="12" t="s">
        <v>339</v>
      </c>
      <c r="AE978" t="s">
        <v>268</v>
      </c>
      <c r="AG978" s="12" t="s">
        <v>268</v>
      </c>
      <c r="AH978" t="s">
        <v>92</v>
      </c>
      <c r="AI978" s="12" t="s">
        <v>268</v>
      </c>
      <c r="AJ978" t="s">
        <v>92</v>
      </c>
      <c r="AK978" t="s">
        <v>92</v>
      </c>
      <c r="AL978" t="s">
        <v>92</v>
      </c>
      <c r="AM978" s="12" t="s">
        <v>268</v>
      </c>
      <c r="AN978" s="12" t="s">
        <v>268</v>
      </c>
      <c r="AO978" s="12" t="s">
        <v>268</v>
      </c>
      <c r="AP978" s="12" t="s">
        <v>268</v>
      </c>
      <c r="AQ978" s="12" t="s">
        <v>268</v>
      </c>
      <c r="AR978" s="28" t="str">
        <f t="shared" ca="1" si="78"/>
        <v/>
      </c>
      <c r="AS978" s="28" t="str">
        <f t="shared" ca="1" si="79"/>
        <v/>
      </c>
    </row>
    <row r="979" spans="2:45" ht="27.6" customHeight="1">
      <c r="B979">
        <f t="shared" ca="1" si="75"/>
        <v>0</v>
      </c>
      <c r="C979" t="s">
        <v>85</v>
      </c>
      <c r="D979" t="s">
        <v>92</v>
      </c>
      <c r="E979" t="s">
        <v>92</v>
      </c>
      <c r="F979" t="s">
        <v>92</v>
      </c>
      <c r="G979" t="s">
        <v>92</v>
      </c>
      <c r="H979" t="s">
        <v>92</v>
      </c>
      <c r="I979" s="12" t="s">
        <v>268</v>
      </c>
      <c r="J979" t="s">
        <v>278</v>
      </c>
      <c r="L979" t="s">
        <v>92</v>
      </c>
      <c r="N979" s="14">
        <v>1</v>
      </c>
      <c r="P979" s="12" t="s">
        <v>268</v>
      </c>
      <c r="W979" s="9" t="str">
        <f t="shared" ca="1" si="76"/>
        <v>18.5%</v>
      </c>
      <c r="X979" t="s">
        <v>321</v>
      </c>
      <c r="Y979" s="9" t="str">
        <f t="shared" ca="1" si="77"/>
        <v>Sin costo</v>
      </c>
      <c r="Z979" t="s">
        <v>327</v>
      </c>
      <c r="AA979" t="s">
        <v>329</v>
      </c>
      <c r="AB979" t="s">
        <v>334</v>
      </c>
      <c r="AC979" s="12" t="s">
        <v>339</v>
      </c>
      <c r="AE979" t="s">
        <v>268</v>
      </c>
      <c r="AG979" s="12" t="s">
        <v>268</v>
      </c>
      <c r="AH979" t="s">
        <v>92</v>
      </c>
      <c r="AI979" s="12" t="s">
        <v>268</v>
      </c>
      <c r="AJ979" t="s">
        <v>92</v>
      </c>
      <c r="AK979" t="s">
        <v>92</v>
      </c>
      <c r="AL979" t="s">
        <v>92</v>
      </c>
      <c r="AM979" s="12" t="s">
        <v>268</v>
      </c>
      <c r="AN979" s="12" t="s">
        <v>268</v>
      </c>
      <c r="AO979" s="12" t="s">
        <v>268</v>
      </c>
      <c r="AP979" s="12" t="s">
        <v>268</v>
      </c>
      <c r="AQ979" s="12" t="s">
        <v>268</v>
      </c>
      <c r="AR979" s="28" t="str">
        <f t="shared" ca="1" si="78"/>
        <v/>
      </c>
      <c r="AS979" s="28" t="str">
        <f t="shared" ca="1" si="79"/>
        <v/>
      </c>
    </row>
    <row r="980" spans="2:45" ht="27.6" customHeight="1">
      <c r="B980">
        <f t="shared" ca="1" si="75"/>
        <v>0</v>
      </c>
      <c r="C980" t="s">
        <v>85</v>
      </c>
      <c r="D980" t="s">
        <v>92</v>
      </c>
      <c r="E980" t="s">
        <v>92</v>
      </c>
      <c r="F980" t="s">
        <v>92</v>
      </c>
      <c r="G980" t="s">
        <v>92</v>
      </c>
      <c r="H980" t="s">
        <v>92</v>
      </c>
      <c r="I980" s="12" t="s">
        <v>268</v>
      </c>
      <c r="J980" t="s">
        <v>278</v>
      </c>
      <c r="L980" t="s">
        <v>92</v>
      </c>
      <c r="N980" s="14">
        <v>1</v>
      </c>
      <c r="P980" s="12" t="s">
        <v>268</v>
      </c>
      <c r="W980" s="9" t="str">
        <f t="shared" ca="1" si="76"/>
        <v>18.5%</v>
      </c>
      <c r="X980" t="s">
        <v>321</v>
      </c>
      <c r="Y980" s="9" t="str">
        <f t="shared" ca="1" si="77"/>
        <v>Sin costo</v>
      </c>
      <c r="Z980" t="s">
        <v>327</v>
      </c>
      <c r="AA980" t="s">
        <v>329</v>
      </c>
      <c r="AB980" t="s">
        <v>334</v>
      </c>
      <c r="AC980" s="12" t="s">
        <v>339</v>
      </c>
      <c r="AE980" t="s">
        <v>268</v>
      </c>
      <c r="AG980" s="12" t="s">
        <v>268</v>
      </c>
      <c r="AH980" t="s">
        <v>92</v>
      </c>
      <c r="AI980" s="12" t="s">
        <v>268</v>
      </c>
      <c r="AJ980" t="s">
        <v>92</v>
      </c>
      <c r="AK980" t="s">
        <v>92</v>
      </c>
      <c r="AL980" t="s">
        <v>92</v>
      </c>
      <c r="AM980" s="12" t="s">
        <v>268</v>
      </c>
      <c r="AN980" s="12" t="s">
        <v>268</v>
      </c>
      <c r="AO980" s="12" t="s">
        <v>268</v>
      </c>
      <c r="AP980" s="12" t="s">
        <v>268</v>
      </c>
      <c r="AQ980" s="12" t="s">
        <v>268</v>
      </c>
      <c r="AR980" s="28" t="str">
        <f t="shared" ca="1" si="78"/>
        <v/>
      </c>
      <c r="AS980" s="28" t="str">
        <f t="shared" ca="1" si="79"/>
        <v/>
      </c>
    </row>
    <row r="981" spans="2:45" ht="27.6" customHeight="1">
      <c r="B981">
        <f t="shared" ca="1" si="75"/>
        <v>0</v>
      </c>
      <c r="C981" t="s">
        <v>85</v>
      </c>
      <c r="D981" t="s">
        <v>92</v>
      </c>
      <c r="E981" t="s">
        <v>92</v>
      </c>
      <c r="F981" t="s">
        <v>92</v>
      </c>
      <c r="G981" t="s">
        <v>92</v>
      </c>
      <c r="H981" t="s">
        <v>92</v>
      </c>
      <c r="I981" s="12" t="s">
        <v>268</v>
      </c>
      <c r="J981" t="s">
        <v>278</v>
      </c>
      <c r="L981" t="s">
        <v>92</v>
      </c>
      <c r="N981" s="14">
        <v>1</v>
      </c>
      <c r="P981" s="12" t="s">
        <v>268</v>
      </c>
      <c r="W981" s="9" t="str">
        <f t="shared" ca="1" si="76"/>
        <v>18.5%</v>
      </c>
      <c r="X981" t="s">
        <v>321</v>
      </c>
      <c r="Y981" s="9" t="str">
        <f t="shared" ca="1" si="77"/>
        <v>Sin costo</v>
      </c>
      <c r="Z981" t="s">
        <v>327</v>
      </c>
      <c r="AA981" t="s">
        <v>329</v>
      </c>
      <c r="AB981" t="s">
        <v>334</v>
      </c>
      <c r="AC981" s="12" t="s">
        <v>339</v>
      </c>
      <c r="AE981" t="s">
        <v>268</v>
      </c>
      <c r="AG981" s="12" t="s">
        <v>268</v>
      </c>
      <c r="AH981" t="s">
        <v>92</v>
      </c>
      <c r="AI981" s="12" t="s">
        <v>268</v>
      </c>
      <c r="AJ981" t="s">
        <v>92</v>
      </c>
      <c r="AK981" t="s">
        <v>92</v>
      </c>
      <c r="AL981" t="s">
        <v>92</v>
      </c>
      <c r="AM981" s="12" t="s">
        <v>268</v>
      </c>
      <c r="AN981" s="12" t="s">
        <v>268</v>
      </c>
      <c r="AO981" s="12" t="s">
        <v>268</v>
      </c>
      <c r="AP981" s="12" t="s">
        <v>268</v>
      </c>
      <c r="AQ981" s="12" t="s">
        <v>268</v>
      </c>
      <c r="AR981" s="28" t="str">
        <f t="shared" ca="1" si="78"/>
        <v/>
      </c>
      <c r="AS981" s="28" t="str">
        <f t="shared" ca="1" si="79"/>
        <v/>
      </c>
    </row>
    <row r="982" spans="2:45" ht="27.6" customHeight="1">
      <c r="B982">
        <f t="shared" ca="1" si="75"/>
        <v>0</v>
      </c>
      <c r="C982" t="s">
        <v>85</v>
      </c>
      <c r="D982" t="s">
        <v>92</v>
      </c>
      <c r="E982" t="s">
        <v>92</v>
      </c>
      <c r="F982" t="s">
        <v>92</v>
      </c>
      <c r="G982" t="s">
        <v>92</v>
      </c>
      <c r="H982" t="s">
        <v>92</v>
      </c>
      <c r="I982" s="12" t="s">
        <v>268</v>
      </c>
      <c r="J982" t="s">
        <v>278</v>
      </c>
      <c r="L982" t="s">
        <v>92</v>
      </c>
      <c r="N982" s="14">
        <v>1</v>
      </c>
      <c r="P982" s="12" t="s">
        <v>268</v>
      </c>
      <c r="W982" s="9" t="str">
        <f t="shared" ca="1" si="76"/>
        <v>18.5%</v>
      </c>
      <c r="X982" t="s">
        <v>321</v>
      </c>
      <c r="Y982" s="9" t="str">
        <f t="shared" ca="1" si="77"/>
        <v>Sin costo</v>
      </c>
      <c r="Z982" t="s">
        <v>327</v>
      </c>
      <c r="AA982" t="s">
        <v>329</v>
      </c>
      <c r="AB982" t="s">
        <v>334</v>
      </c>
      <c r="AC982" s="12" t="s">
        <v>339</v>
      </c>
      <c r="AE982" t="s">
        <v>268</v>
      </c>
      <c r="AG982" s="12" t="s">
        <v>268</v>
      </c>
      <c r="AH982" t="s">
        <v>92</v>
      </c>
      <c r="AI982" s="12" t="s">
        <v>268</v>
      </c>
      <c r="AJ982" t="s">
        <v>92</v>
      </c>
      <c r="AK982" t="s">
        <v>92</v>
      </c>
      <c r="AL982" t="s">
        <v>92</v>
      </c>
      <c r="AM982" s="12" t="s">
        <v>268</v>
      </c>
      <c r="AN982" s="12" t="s">
        <v>268</v>
      </c>
      <c r="AO982" s="12" t="s">
        <v>268</v>
      </c>
      <c r="AP982" s="12" t="s">
        <v>268</v>
      </c>
      <c r="AQ982" s="12" t="s">
        <v>268</v>
      </c>
      <c r="AR982" s="28" t="str">
        <f t="shared" ca="1" si="78"/>
        <v/>
      </c>
      <c r="AS982" s="28" t="str">
        <f t="shared" ca="1" si="79"/>
        <v/>
      </c>
    </row>
    <row r="983" spans="2:45" ht="27.6" customHeight="1">
      <c r="B983">
        <f t="shared" ca="1" si="75"/>
        <v>0</v>
      </c>
      <c r="C983" t="s">
        <v>85</v>
      </c>
      <c r="D983" t="s">
        <v>92</v>
      </c>
      <c r="E983" t="s">
        <v>92</v>
      </c>
      <c r="F983" t="s">
        <v>92</v>
      </c>
      <c r="G983" t="s">
        <v>92</v>
      </c>
      <c r="H983" t="s">
        <v>92</v>
      </c>
      <c r="I983" s="12" t="s">
        <v>268</v>
      </c>
      <c r="J983" t="s">
        <v>278</v>
      </c>
      <c r="L983" t="s">
        <v>92</v>
      </c>
      <c r="N983" s="14">
        <v>1</v>
      </c>
      <c r="P983" s="12" t="s">
        <v>268</v>
      </c>
      <c r="W983" s="9" t="str">
        <f t="shared" ca="1" si="76"/>
        <v>18.5%</v>
      </c>
      <c r="X983" t="s">
        <v>321</v>
      </c>
      <c r="Y983" s="9" t="str">
        <f t="shared" ca="1" si="77"/>
        <v>Sin costo</v>
      </c>
      <c r="Z983" t="s">
        <v>327</v>
      </c>
      <c r="AA983" t="s">
        <v>329</v>
      </c>
      <c r="AB983" t="s">
        <v>334</v>
      </c>
      <c r="AC983" s="12" t="s">
        <v>339</v>
      </c>
      <c r="AE983" t="s">
        <v>268</v>
      </c>
      <c r="AG983" s="12" t="s">
        <v>268</v>
      </c>
      <c r="AH983" t="s">
        <v>92</v>
      </c>
      <c r="AI983" s="12" t="s">
        <v>268</v>
      </c>
      <c r="AJ983" t="s">
        <v>92</v>
      </c>
      <c r="AK983" t="s">
        <v>92</v>
      </c>
      <c r="AL983" t="s">
        <v>92</v>
      </c>
      <c r="AM983" s="12" t="s">
        <v>268</v>
      </c>
      <c r="AN983" s="12" t="s">
        <v>268</v>
      </c>
      <c r="AO983" s="12" t="s">
        <v>268</v>
      </c>
      <c r="AP983" s="12" t="s">
        <v>268</v>
      </c>
      <c r="AQ983" s="12" t="s">
        <v>268</v>
      </c>
      <c r="AR983" s="28" t="str">
        <f t="shared" ca="1" si="78"/>
        <v/>
      </c>
      <c r="AS983" s="28" t="str">
        <f t="shared" ca="1" si="79"/>
        <v/>
      </c>
    </row>
    <row r="984" spans="2:45" ht="27.6" customHeight="1">
      <c r="B984">
        <f t="shared" ca="1" si="75"/>
        <v>0</v>
      </c>
      <c r="C984" t="s">
        <v>85</v>
      </c>
      <c r="D984" t="s">
        <v>92</v>
      </c>
      <c r="E984" t="s">
        <v>92</v>
      </c>
      <c r="F984" t="s">
        <v>92</v>
      </c>
      <c r="G984" t="s">
        <v>92</v>
      </c>
      <c r="H984" t="s">
        <v>92</v>
      </c>
      <c r="I984" s="12" t="s">
        <v>268</v>
      </c>
      <c r="J984" t="s">
        <v>278</v>
      </c>
      <c r="L984" t="s">
        <v>92</v>
      </c>
      <c r="N984" s="14">
        <v>1</v>
      </c>
      <c r="P984" s="12" t="s">
        <v>268</v>
      </c>
      <c r="W984" s="9" t="str">
        <f t="shared" ca="1" si="76"/>
        <v>18.5%</v>
      </c>
      <c r="X984" t="s">
        <v>321</v>
      </c>
      <c r="Y984" s="9" t="str">
        <f t="shared" ca="1" si="77"/>
        <v>Sin costo</v>
      </c>
      <c r="Z984" t="s">
        <v>327</v>
      </c>
      <c r="AA984" t="s">
        <v>329</v>
      </c>
      <c r="AB984" t="s">
        <v>334</v>
      </c>
      <c r="AC984" s="12" t="s">
        <v>339</v>
      </c>
      <c r="AE984" t="s">
        <v>268</v>
      </c>
      <c r="AG984" s="12" t="s">
        <v>268</v>
      </c>
      <c r="AH984" t="s">
        <v>92</v>
      </c>
      <c r="AI984" s="12" t="s">
        <v>268</v>
      </c>
      <c r="AJ984" t="s">
        <v>92</v>
      </c>
      <c r="AK984" t="s">
        <v>92</v>
      </c>
      <c r="AL984" t="s">
        <v>92</v>
      </c>
      <c r="AM984" s="12" t="s">
        <v>268</v>
      </c>
      <c r="AN984" s="12" t="s">
        <v>268</v>
      </c>
      <c r="AO984" s="12" t="s">
        <v>268</v>
      </c>
      <c r="AP984" s="12" t="s">
        <v>268</v>
      </c>
      <c r="AQ984" s="12" t="s">
        <v>268</v>
      </c>
      <c r="AR984" s="28" t="str">
        <f t="shared" ca="1" si="78"/>
        <v/>
      </c>
      <c r="AS984" s="28" t="str">
        <f t="shared" ca="1" si="79"/>
        <v/>
      </c>
    </row>
    <row r="985" spans="2:45" ht="27.6" customHeight="1">
      <c r="B985">
        <f t="shared" ca="1" si="75"/>
        <v>0</v>
      </c>
      <c r="C985" t="s">
        <v>85</v>
      </c>
      <c r="D985" t="s">
        <v>92</v>
      </c>
      <c r="E985" t="s">
        <v>92</v>
      </c>
      <c r="F985" t="s">
        <v>92</v>
      </c>
      <c r="G985" t="s">
        <v>92</v>
      </c>
      <c r="H985" t="s">
        <v>92</v>
      </c>
      <c r="I985" s="12" t="s">
        <v>268</v>
      </c>
      <c r="J985" t="s">
        <v>278</v>
      </c>
      <c r="L985" t="s">
        <v>92</v>
      </c>
      <c r="N985" s="14">
        <v>1</v>
      </c>
      <c r="P985" s="12" t="s">
        <v>268</v>
      </c>
      <c r="W985" s="9" t="str">
        <f t="shared" ca="1" si="76"/>
        <v>18.5%</v>
      </c>
      <c r="X985" t="s">
        <v>321</v>
      </c>
      <c r="Y985" s="9" t="str">
        <f t="shared" ca="1" si="77"/>
        <v>Sin costo</v>
      </c>
      <c r="Z985" t="s">
        <v>327</v>
      </c>
      <c r="AA985" t="s">
        <v>329</v>
      </c>
      <c r="AB985" t="s">
        <v>334</v>
      </c>
      <c r="AC985" s="12" t="s">
        <v>339</v>
      </c>
      <c r="AE985" t="s">
        <v>268</v>
      </c>
      <c r="AG985" s="12" t="s">
        <v>268</v>
      </c>
      <c r="AH985" t="s">
        <v>92</v>
      </c>
      <c r="AI985" s="12" t="s">
        <v>268</v>
      </c>
      <c r="AJ985" t="s">
        <v>92</v>
      </c>
      <c r="AK985" t="s">
        <v>92</v>
      </c>
      <c r="AL985" t="s">
        <v>92</v>
      </c>
      <c r="AM985" s="12" t="s">
        <v>268</v>
      </c>
      <c r="AN985" s="12" t="s">
        <v>268</v>
      </c>
      <c r="AO985" s="12" t="s">
        <v>268</v>
      </c>
      <c r="AP985" s="12" t="s">
        <v>268</v>
      </c>
      <c r="AQ985" s="12" t="s">
        <v>268</v>
      </c>
      <c r="AR985" s="28" t="str">
        <f t="shared" ca="1" si="78"/>
        <v/>
      </c>
      <c r="AS985" s="28" t="str">
        <f t="shared" ca="1" si="79"/>
        <v/>
      </c>
    </row>
    <row r="986" spans="2:45" ht="27.6" customHeight="1">
      <c r="B986">
        <f t="shared" ca="1" si="75"/>
        <v>0</v>
      </c>
      <c r="C986" t="s">
        <v>85</v>
      </c>
      <c r="D986" t="s">
        <v>92</v>
      </c>
      <c r="E986" t="s">
        <v>92</v>
      </c>
      <c r="F986" t="s">
        <v>92</v>
      </c>
      <c r="G986" t="s">
        <v>92</v>
      </c>
      <c r="H986" t="s">
        <v>92</v>
      </c>
      <c r="I986" s="12" t="s">
        <v>268</v>
      </c>
      <c r="J986" t="s">
        <v>278</v>
      </c>
      <c r="L986" t="s">
        <v>92</v>
      </c>
      <c r="N986" s="14">
        <v>1</v>
      </c>
      <c r="P986" s="12" t="s">
        <v>268</v>
      </c>
      <c r="W986" s="9" t="str">
        <f t="shared" ca="1" si="76"/>
        <v>18.5%</v>
      </c>
      <c r="X986" t="s">
        <v>321</v>
      </c>
      <c r="Y986" s="9" t="str">
        <f t="shared" ca="1" si="77"/>
        <v>Sin costo</v>
      </c>
      <c r="Z986" t="s">
        <v>327</v>
      </c>
      <c r="AA986" t="s">
        <v>329</v>
      </c>
      <c r="AB986" t="s">
        <v>334</v>
      </c>
      <c r="AC986" s="12" t="s">
        <v>339</v>
      </c>
      <c r="AE986" t="s">
        <v>268</v>
      </c>
      <c r="AG986" s="12" t="s">
        <v>268</v>
      </c>
      <c r="AH986" t="s">
        <v>92</v>
      </c>
      <c r="AI986" s="12" t="s">
        <v>268</v>
      </c>
      <c r="AJ986" t="s">
        <v>92</v>
      </c>
      <c r="AK986" t="s">
        <v>92</v>
      </c>
      <c r="AL986" t="s">
        <v>92</v>
      </c>
      <c r="AM986" s="12" t="s">
        <v>268</v>
      </c>
      <c r="AN986" s="12" t="s">
        <v>268</v>
      </c>
      <c r="AO986" s="12" t="s">
        <v>268</v>
      </c>
      <c r="AP986" s="12" t="s">
        <v>268</v>
      </c>
      <c r="AQ986" s="12" t="s">
        <v>268</v>
      </c>
      <c r="AR986" s="28" t="str">
        <f t="shared" ca="1" si="78"/>
        <v/>
      </c>
      <c r="AS986" s="28" t="str">
        <f t="shared" ca="1" si="79"/>
        <v/>
      </c>
    </row>
    <row r="987" spans="2:45" ht="27.6" customHeight="1">
      <c r="B987">
        <f t="shared" ca="1" si="75"/>
        <v>0</v>
      </c>
      <c r="C987" t="s">
        <v>85</v>
      </c>
      <c r="D987" t="s">
        <v>92</v>
      </c>
      <c r="E987" t="s">
        <v>92</v>
      </c>
      <c r="F987" t="s">
        <v>92</v>
      </c>
      <c r="G987" t="s">
        <v>92</v>
      </c>
      <c r="H987" t="s">
        <v>92</v>
      </c>
      <c r="I987" s="12" t="s">
        <v>268</v>
      </c>
      <c r="J987" t="s">
        <v>278</v>
      </c>
      <c r="L987" t="s">
        <v>92</v>
      </c>
      <c r="N987" s="14">
        <v>1</v>
      </c>
      <c r="P987" s="12" t="s">
        <v>268</v>
      </c>
      <c r="W987" s="9" t="str">
        <f t="shared" ca="1" si="76"/>
        <v>18.5%</v>
      </c>
      <c r="X987" t="s">
        <v>321</v>
      </c>
      <c r="Y987" s="9" t="str">
        <f t="shared" ca="1" si="77"/>
        <v>Sin costo</v>
      </c>
      <c r="Z987" t="s">
        <v>327</v>
      </c>
      <c r="AA987" t="s">
        <v>329</v>
      </c>
      <c r="AB987" t="s">
        <v>334</v>
      </c>
      <c r="AC987" s="12" t="s">
        <v>339</v>
      </c>
      <c r="AE987" t="s">
        <v>268</v>
      </c>
      <c r="AG987" s="12" t="s">
        <v>268</v>
      </c>
      <c r="AH987" t="s">
        <v>92</v>
      </c>
      <c r="AI987" s="12" t="s">
        <v>268</v>
      </c>
      <c r="AJ987" t="s">
        <v>92</v>
      </c>
      <c r="AK987" t="s">
        <v>92</v>
      </c>
      <c r="AL987" t="s">
        <v>92</v>
      </c>
      <c r="AM987" s="12" t="s">
        <v>268</v>
      </c>
      <c r="AN987" s="12" t="s">
        <v>268</v>
      </c>
      <c r="AO987" s="12" t="s">
        <v>268</v>
      </c>
      <c r="AP987" s="12" t="s">
        <v>268</v>
      </c>
      <c r="AQ987" s="12" t="s">
        <v>268</v>
      </c>
      <c r="AR987" s="28" t="str">
        <f t="shared" ca="1" si="78"/>
        <v/>
      </c>
      <c r="AS987" s="28" t="str">
        <f t="shared" ca="1" si="79"/>
        <v/>
      </c>
    </row>
    <row r="988" spans="2:45" ht="27.6" customHeight="1">
      <c r="B988">
        <f t="shared" ca="1" si="75"/>
        <v>0</v>
      </c>
      <c r="C988" t="s">
        <v>85</v>
      </c>
      <c r="D988" t="s">
        <v>92</v>
      </c>
      <c r="E988" t="s">
        <v>92</v>
      </c>
      <c r="F988" t="s">
        <v>92</v>
      </c>
      <c r="G988" t="s">
        <v>92</v>
      </c>
      <c r="H988" t="s">
        <v>92</v>
      </c>
      <c r="I988" s="12" t="s">
        <v>268</v>
      </c>
      <c r="J988" t="s">
        <v>278</v>
      </c>
      <c r="L988" t="s">
        <v>92</v>
      </c>
      <c r="N988" s="14">
        <v>1</v>
      </c>
      <c r="P988" s="12" t="s">
        <v>268</v>
      </c>
      <c r="W988" s="9" t="str">
        <f t="shared" ca="1" si="76"/>
        <v>18.5%</v>
      </c>
      <c r="X988" t="s">
        <v>321</v>
      </c>
      <c r="Y988" s="9" t="str">
        <f t="shared" ca="1" si="77"/>
        <v>Sin costo</v>
      </c>
      <c r="Z988" t="s">
        <v>327</v>
      </c>
      <c r="AA988" t="s">
        <v>329</v>
      </c>
      <c r="AB988" t="s">
        <v>334</v>
      </c>
      <c r="AC988" s="12" t="s">
        <v>339</v>
      </c>
      <c r="AE988" t="s">
        <v>268</v>
      </c>
      <c r="AG988" s="12" t="s">
        <v>268</v>
      </c>
      <c r="AH988" t="s">
        <v>92</v>
      </c>
      <c r="AI988" s="12" t="s">
        <v>268</v>
      </c>
      <c r="AJ988" t="s">
        <v>92</v>
      </c>
      <c r="AK988" t="s">
        <v>92</v>
      </c>
      <c r="AL988" t="s">
        <v>92</v>
      </c>
      <c r="AM988" s="12" t="s">
        <v>268</v>
      </c>
      <c r="AN988" s="12" t="s">
        <v>268</v>
      </c>
      <c r="AO988" s="12" t="s">
        <v>268</v>
      </c>
      <c r="AP988" s="12" t="s">
        <v>268</v>
      </c>
      <c r="AQ988" s="12" t="s">
        <v>268</v>
      </c>
      <c r="AR988" s="28" t="str">
        <f t="shared" ca="1" si="78"/>
        <v/>
      </c>
      <c r="AS988" s="28" t="str">
        <f t="shared" ca="1" si="79"/>
        <v/>
      </c>
    </row>
    <row r="989" spans="2:45" ht="27.6" customHeight="1">
      <c r="B989">
        <f t="shared" ca="1" si="75"/>
        <v>0</v>
      </c>
      <c r="C989" t="s">
        <v>85</v>
      </c>
      <c r="D989" t="s">
        <v>92</v>
      </c>
      <c r="E989" t="s">
        <v>92</v>
      </c>
      <c r="F989" t="s">
        <v>92</v>
      </c>
      <c r="G989" t="s">
        <v>92</v>
      </c>
      <c r="H989" t="s">
        <v>92</v>
      </c>
      <c r="I989" s="12" t="s">
        <v>268</v>
      </c>
      <c r="J989" t="s">
        <v>278</v>
      </c>
      <c r="L989" t="s">
        <v>92</v>
      </c>
      <c r="N989" s="14">
        <v>1</v>
      </c>
      <c r="P989" s="12" t="s">
        <v>268</v>
      </c>
      <c r="W989" s="9" t="str">
        <f t="shared" ca="1" si="76"/>
        <v>18.5%</v>
      </c>
      <c r="X989" t="s">
        <v>321</v>
      </c>
      <c r="Y989" s="9" t="str">
        <f t="shared" ca="1" si="77"/>
        <v>Sin costo</v>
      </c>
      <c r="Z989" t="s">
        <v>327</v>
      </c>
      <c r="AA989" t="s">
        <v>329</v>
      </c>
      <c r="AB989" t="s">
        <v>334</v>
      </c>
      <c r="AC989" s="12" t="s">
        <v>339</v>
      </c>
      <c r="AE989" t="s">
        <v>268</v>
      </c>
      <c r="AG989" s="12" t="s">
        <v>268</v>
      </c>
      <c r="AH989" t="s">
        <v>92</v>
      </c>
      <c r="AI989" s="12" t="s">
        <v>268</v>
      </c>
      <c r="AJ989" t="s">
        <v>92</v>
      </c>
      <c r="AK989" t="s">
        <v>92</v>
      </c>
      <c r="AL989" t="s">
        <v>92</v>
      </c>
      <c r="AM989" s="12" t="s">
        <v>268</v>
      </c>
      <c r="AN989" s="12" t="s">
        <v>268</v>
      </c>
      <c r="AO989" s="12" t="s">
        <v>268</v>
      </c>
      <c r="AP989" s="12" t="s">
        <v>268</v>
      </c>
      <c r="AQ989" s="12" t="s">
        <v>268</v>
      </c>
      <c r="AR989" s="28" t="str">
        <f t="shared" ca="1" si="78"/>
        <v/>
      </c>
      <c r="AS989" s="28" t="str">
        <f t="shared" ca="1" si="79"/>
        <v/>
      </c>
    </row>
    <row r="990" spans="2:45" ht="27.6" customHeight="1">
      <c r="B990">
        <f t="shared" ca="1" si="75"/>
        <v>0</v>
      </c>
      <c r="C990" t="s">
        <v>85</v>
      </c>
      <c r="D990" t="s">
        <v>92</v>
      </c>
      <c r="E990" t="s">
        <v>92</v>
      </c>
      <c r="F990" t="s">
        <v>92</v>
      </c>
      <c r="G990" t="s">
        <v>92</v>
      </c>
      <c r="H990" t="s">
        <v>92</v>
      </c>
      <c r="I990" s="12" t="s">
        <v>268</v>
      </c>
      <c r="J990" t="s">
        <v>278</v>
      </c>
      <c r="L990" t="s">
        <v>92</v>
      </c>
      <c r="N990" s="14">
        <v>1</v>
      </c>
      <c r="P990" s="12" t="s">
        <v>268</v>
      </c>
      <c r="W990" s="9" t="str">
        <f t="shared" ca="1" si="76"/>
        <v>18.5%</v>
      </c>
      <c r="X990" t="s">
        <v>321</v>
      </c>
      <c r="Y990" s="9" t="str">
        <f t="shared" ca="1" si="77"/>
        <v>Sin costo</v>
      </c>
      <c r="Z990" t="s">
        <v>327</v>
      </c>
      <c r="AA990" t="s">
        <v>329</v>
      </c>
      <c r="AB990" t="s">
        <v>334</v>
      </c>
      <c r="AC990" s="12" t="s">
        <v>339</v>
      </c>
      <c r="AE990" t="s">
        <v>268</v>
      </c>
      <c r="AG990" s="12" t="s">
        <v>268</v>
      </c>
      <c r="AH990" t="s">
        <v>92</v>
      </c>
      <c r="AI990" s="12" t="s">
        <v>268</v>
      </c>
      <c r="AJ990" t="s">
        <v>92</v>
      </c>
      <c r="AK990" t="s">
        <v>92</v>
      </c>
      <c r="AL990" t="s">
        <v>92</v>
      </c>
      <c r="AM990" s="12" t="s">
        <v>268</v>
      </c>
      <c r="AN990" s="12" t="s">
        <v>268</v>
      </c>
      <c r="AO990" s="12" t="s">
        <v>268</v>
      </c>
      <c r="AP990" s="12" t="s">
        <v>268</v>
      </c>
      <c r="AQ990" s="12" t="s">
        <v>268</v>
      </c>
      <c r="AR990" s="28" t="str">
        <f t="shared" ca="1" si="78"/>
        <v/>
      </c>
      <c r="AS990" s="28" t="str">
        <f t="shared" ca="1" si="79"/>
        <v/>
      </c>
    </row>
    <row r="991" spans="2:45" ht="27.6" customHeight="1">
      <c r="B991">
        <f t="shared" ca="1" si="75"/>
        <v>0</v>
      </c>
      <c r="C991" t="s">
        <v>85</v>
      </c>
      <c r="D991" t="s">
        <v>92</v>
      </c>
      <c r="E991" t="s">
        <v>92</v>
      </c>
      <c r="F991" t="s">
        <v>92</v>
      </c>
      <c r="G991" t="s">
        <v>92</v>
      </c>
      <c r="H991" t="s">
        <v>92</v>
      </c>
      <c r="I991" s="12" t="s">
        <v>268</v>
      </c>
      <c r="J991" t="s">
        <v>278</v>
      </c>
      <c r="L991" t="s">
        <v>92</v>
      </c>
      <c r="N991" s="14">
        <v>1</v>
      </c>
      <c r="P991" s="12" t="s">
        <v>268</v>
      </c>
      <c r="W991" s="9" t="str">
        <f t="shared" ca="1" si="76"/>
        <v>18.5%</v>
      </c>
      <c r="X991" t="s">
        <v>321</v>
      </c>
      <c r="Y991" s="9" t="str">
        <f t="shared" ca="1" si="77"/>
        <v>Sin costo</v>
      </c>
      <c r="Z991" t="s">
        <v>327</v>
      </c>
      <c r="AA991" t="s">
        <v>329</v>
      </c>
      <c r="AB991" t="s">
        <v>334</v>
      </c>
      <c r="AC991" s="12" t="s">
        <v>339</v>
      </c>
      <c r="AE991" t="s">
        <v>268</v>
      </c>
      <c r="AG991" s="12" t="s">
        <v>268</v>
      </c>
      <c r="AH991" t="s">
        <v>92</v>
      </c>
      <c r="AI991" s="12" t="s">
        <v>268</v>
      </c>
      <c r="AJ991" t="s">
        <v>92</v>
      </c>
      <c r="AK991" t="s">
        <v>92</v>
      </c>
      <c r="AL991" t="s">
        <v>92</v>
      </c>
      <c r="AM991" s="12" t="s">
        <v>268</v>
      </c>
      <c r="AN991" s="12" t="s">
        <v>268</v>
      </c>
      <c r="AO991" s="12" t="s">
        <v>268</v>
      </c>
      <c r="AP991" s="12" t="s">
        <v>268</v>
      </c>
      <c r="AQ991" s="12" t="s">
        <v>268</v>
      </c>
      <c r="AR991" s="28" t="str">
        <f t="shared" ca="1" si="78"/>
        <v/>
      </c>
      <c r="AS991" s="28" t="str">
        <f t="shared" ca="1" si="79"/>
        <v/>
      </c>
    </row>
    <row r="992" spans="2:45" ht="27.6" customHeight="1">
      <c r="B992">
        <f t="shared" ca="1" si="75"/>
        <v>0</v>
      </c>
      <c r="C992" t="s">
        <v>85</v>
      </c>
      <c r="D992" t="s">
        <v>92</v>
      </c>
      <c r="E992" t="s">
        <v>92</v>
      </c>
      <c r="F992" t="s">
        <v>92</v>
      </c>
      <c r="G992" t="s">
        <v>92</v>
      </c>
      <c r="H992" t="s">
        <v>92</v>
      </c>
      <c r="I992" s="12" t="s">
        <v>268</v>
      </c>
      <c r="J992" t="s">
        <v>278</v>
      </c>
      <c r="L992" t="s">
        <v>92</v>
      </c>
      <c r="N992" s="14">
        <v>1</v>
      </c>
      <c r="P992" s="12" t="s">
        <v>268</v>
      </c>
      <c r="W992" s="9" t="str">
        <f t="shared" ca="1" si="76"/>
        <v>18.5%</v>
      </c>
      <c r="X992" t="s">
        <v>321</v>
      </c>
      <c r="Y992" s="9" t="str">
        <f t="shared" ca="1" si="77"/>
        <v>Sin costo</v>
      </c>
      <c r="Z992" t="s">
        <v>327</v>
      </c>
      <c r="AA992" t="s">
        <v>329</v>
      </c>
      <c r="AB992" t="s">
        <v>334</v>
      </c>
      <c r="AC992" s="12" t="s">
        <v>339</v>
      </c>
      <c r="AE992" t="s">
        <v>268</v>
      </c>
      <c r="AG992" s="12" t="s">
        <v>268</v>
      </c>
      <c r="AH992" t="s">
        <v>92</v>
      </c>
      <c r="AI992" s="12" t="s">
        <v>268</v>
      </c>
      <c r="AJ992" t="s">
        <v>92</v>
      </c>
      <c r="AK992" t="s">
        <v>92</v>
      </c>
      <c r="AL992" t="s">
        <v>92</v>
      </c>
      <c r="AM992" s="12" t="s">
        <v>268</v>
      </c>
      <c r="AN992" s="12" t="s">
        <v>268</v>
      </c>
      <c r="AO992" s="12" t="s">
        <v>268</v>
      </c>
      <c r="AP992" s="12" t="s">
        <v>268</v>
      </c>
      <c r="AQ992" s="12" t="s">
        <v>268</v>
      </c>
      <c r="AR992" s="28" t="str">
        <f t="shared" ca="1" si="78"/>
        <v/>
      </c>
      <c r="AS992" s="28" t="str">
        <f t="shared" ca="1" si="79"/>
        <v/>
      </c>
    </row>
    <row r="993" spans="2:45" ht="27.6" customHeight="1">
      <c r="B993">
        <f t="shared" ca="1" si="75"/>
        <v>0</v>
      </c>
      <c r="C993" t="s">
        <v>85</v>
      </c>
      <c r="D993" t="s">
        <v>92</v>
      </c>
      <c r="E993" t="s">
        <v>92</v>
      </c>
      <c r="F993" t="s">
        <v>92</v>
      </c>
      <c r="G993" t="s">
        <v>92</v>
      </c>
      <c r="H993" t="s">
        <v>92</v>
      </c>
      <c r="I993" s="12" t="s">
        <v>268</v>
      </c>
      <c r="J993" t="s">
        <v>278</v>
      </c>
      <c r="L993" t="s">
        <v>92</v>
      </c>
      <c r="N993" s="14">
        <v>1</v>
      </c>
      <c r="P993" s="12" t="s">
        <v>268</v>
      </c>
      <c r="W993" s="9" t="str">
        <f t="shared" ca="1" si="76"/>
        <v>18.5%</v>
      </c>
      <c r="X993" t="s">
        <v>321</v>
      </c>
      <c r="Y993" s="9" t="str">
        <f t="shared" ca="1" si="77"/>
        <v>Sin costo</v>
      </c>
      <c r="Z993" t="s">
        <v>327</v>
      </c>
      <c r="AA993" t="s">
        <v>329</v>
      </c>
      <c r="AB993" t="s">
        <v>334</v>
      </c>
      <c r="AC993" s="12" t="s">
        <v>339</v>
      </c>
      <c r="AE993" t="s">
        <v>268</v>
      </c>
      <c r="AG993" s="12" t="s">
        <v>268</v>
      </c>
      <c r="AH993" t="s">
        <v>92</v>
      </c>
      <c r="AI993" s="12" t="s">
        <v>268</v>
      </c>
      <c r="AJ993" t="s">
        <v>92</v>
      </c>
      <c r="AK993" t="s">
        <v>92</v>
      </c>
      <c r="AL993" t="s">
        <v>92</v>
      </c>
      <c r="AM993" s="12" t="s">
        <v>268</v>
      </c>
      <c r="AN993" s="12" t="s">
        <v>268</v>
      </c>
      <c r="AO993" s="12" t="s">
        <v>268</v>
      </c>
      <c r="AP993" s="12" t="s">
        <v>268</v>
      </c>
      <c r="AQ993" s="12" t="s">
        <v>268</v>
      </c>
      <c r="AR993" s="28" t="str">
        <f t="shared" ca="1" si="78"/>
        <v/>
      </c>
      <c r="AS993" s="28" t="str">
        <f t="shared" ca="1" si="79"/>
        <v/>
      </c>
    </row>
    <row r="994" spans="2:45" ht="27.6" customHeight="1">
      <c r="B994">
        <f t="shared" ca="1" si="75"/>
        <v>0</v>
      </c>
      <c r="C994" t="s">
        <v>85</v>
      </c>
      <c r="D994" t="s">
        <v>92</v>
      </c>
      <c r="E994" t="s">
        <v>92</v>
      </c>
      <c r="F994" t="s">
        <v>92</v>
      </c>
      <c r="G994" t="s">
        <v>92</v>
      </c>
      <c r="H994" t="s">
        <v>92</v>
      </c>
      <c r="I994" s="12" t="s">
        <v>268</v>
      </c>
      <c r="J994" t="s">
        <v>278</v>
      </c>
      <c r="L994" t="s">
        <v>92</v>
      </c>
      <c r="N994" s="14">
        <v>1</v>
      </c>
      <c r="P994" s="12" t="s">
        <v>268</v>
      </c>
      <c r="W994" s="9" t="str">
        <f t="shared" ca="1" si="76"/>
        <v>18.5%</v>
      </c>
      <c r="X994" t="s">
        <v>321</v>
      </c>
      <c r="Y994" s="9" t="str">
        <f t="shared" ca="1" si="77"/>
        <v>Sin costo</v>
      </c>
      <c r="Z994" t="s">
        <v>327</v>
      </c>
      <c r="AA994" t="s">
        <v>329</v>
      </c>
      <c r="AB994" t="s">
        <v>334</v>
      </c>
      <c r="AC994" s="12" t="s">
        <v>339</v>
      </c>
      <c r="AE994" t="s">
        <v>268</v>
      </c>
      <c r="AG994" s="12" t="s">
        <v>268</v>
      </c>
      <c r="AH994" t="s">
        <v>92</v>
      </c>
      <c r="AI994" s="12" t="s">
        <v>268</v>
      </c>
      <c r="AJ994" t="s">
        <v>92</v>
      </c>
      <c r="AK994" t="s">
        <v>92</v>
      </c>
      <c r="AL994" t="s">
        <v>92</v>
      </c>
      <c r="AM994" s="12" t="s">
        <v>268</v>
      </c>
      <c r="AN994" s="12" t="s">
        <v>268</v>
      </c>
      <c r="AO994" s="12" t="s">
        <v>268</v>
      </c>
      <c r="AP994" s="12" t="s">
        <v>268</v>
      </c>
      <c r="AQ994" s="12" t="s">
        <v>268</v>
      </c>
      <c r="AR994" s="28" t="str">
        <f t="shared" ca="1" si="78"/>
        <v/>
      </c>
      <c r="AS994" s="28" t="str">
        <f t="shared" ca="1" si="79"/>
        <v/>
      </c>
    </row>
    <row r="995" spans="2:45" ht="27.6" customHeight="1">
      <c r="B995">
        <f t="shared" ca="1" si="75"/>
        <v>0</v>
      </c>
      <c r="C995" t="s">
        <v>85</v>
      </c>
      <c r="D995" t="s">
        <v>92</v>
      </c>
      <c r="E995" t="s">
        <v>92</v>
      </c>
      <c r="F995" t="s">
        <v>92</v>
      </c>
      <c r="G995" t="s">
        <v>92</v>
      </c>
      <c r="H995" t="s">
        <v>92</v>
      </c>
      <c r="I995" s="12" t="s">
        <v>268</v>
      </c>
      <c r="J995" t="s">
        <v>278</v>
      </c>
      <c r="L995" t="s">
        <v>92</v>
      </c>
      <c r="N995" s="14">
        <v>1</v>
      </c>
      <c r="P995" s="12" t="s">
        <v>268</v>
      </c>
      <c r="W995" s="9" t="str">
        <f t="shared" ca="1" si="76"/>
        <v>18.5%</v>
      </c>
      <c r="X995" t="s">
        <v>321</v>
      </c>
      <c r="Y995" s="9" t="str">
        <f t="shared" ca="1" si="77"/>
        <v>Sin costo</v>
      </c>
      <c r="Z995" t="s">
        <v>327</v>
      </c>
      <c r="AA995" t="s">
        <v>329</v>
      </c>
      <c r="AB995" t="s">
        <v>334</v>
      </c>
      <c r="AC995" s="12" t="s">
        <v>339</v>
      </c>
      <c r="AE995" t="s">
        <v>268</v>
      </c>
      <c r="AG995" s="12" t="s">
        <v>268</v>
      </c>
      <c r="AH995" t="s">
        <v>92</v>
      </c>
      <c r="AI995" s="12" t="s">
        <v>268</v>
      </c>
      <c r="AJ995" t="s">
        <v>92</v>
      </c>
      <c r="AK995" t="s">
        <v>92</v>
      </c>
      <c r="AL995" t="s">
        <v>92</v>
      </c>
      <c r="AM995" s="12" t="s">
        <v>268</v>
      </c>
      <c r="AN995" s="12" t="s">
        <v>268</v>
      </c>
      <c r="AO995" s="12" t="s">
        <v>268</v>
      </c>
      <c r="AP995" s="12" t="s">
        <v>268</v>
      </c>
      <c r="AQ995" s="12" t="s">
        <v>268</v>
      </c>
      <c r="AR995" s="28" t="str">
        <f t="shared" ca="1" si="78"/>
        <v/>
      </c>
      <c r="AS995" s="28" t="str">
        <f t="shared" ca="1" si="79"/>
        <v/>
      </c>
    </row>
    <row r="996" spans="2:45" ht="27.6" customHeight="1">
      <c r="B996">
        <f t="shared" ca="1" si="75"/>
        <v>0</v>
      </c>
      <c r="C996" t="s">
        <v>85</v>
      </c>
      <c r="D996" t="s">
        <v>92</v>
      </c>
      <c r="E996" t="s">
        <v>92</v>
      </c>
      <c r="F996" t="s">
        <v>92</v>
      </c>
      <c r="G996" t="s">
        <v>92</v>
      </c>
      <c r="H996" t="s">
        <v>92</v>
      </c>
      <c r="I996" s="12" t="s">
        <v>268</v>
      </c>
      <c r="J996" t="s">
        <v>278</v>
      </c>
      <c r="L996" t="s">
        <v>92</v>
      </c>
      <c r="N996" s="14">
        <v>1</v>
      </c>
      <c r="P996" s="12" t="s">
        <v>268</v>
      </c>
      <c r="W996" s="9" t="str">
        <f t="shared" ca="1" si="76"/>
        <v>18.5%</v>
      </c>
      <c r="X996" t="s">
        <v>321</v>
      </c>
      <c r="Y996" s="9" t="str">
        <f t="shared" ca="1" si="77"/>
        <v>Sin costo</v>
      </c>
      <c r="Z996" t="s">
        <v>327</v>
      </c>
      <c r="AA996" t="s">
        <v>329</v>
      </c>
      <c r="AB996" t="s">
        <v>334</v>
      </c>
      <c r="AC996" s="12" t="s">
        <v>339</v>
      </c>
      <c r="AE996" t="s">
        <v>268</v>
      </c>
      <c r="AG996" s="12" t="s">
        <v>268</v>
      </c>
      <c r="AH996" t="s">
        <v>92</v>
      </c>
      <c r="AI996" s="12" t="s">
        <v>268</v>
      </c>
      <c r="AJ996" t="s">
        <v>92</v>
      </c>
      <c r="AK996" t="s">
        <v>92</v>
      </c>
      <c r="AL996" t="s">
        <v>92</v>
      </c>
      <c r="AM996" s="12" t="s">
        <v>268</v>
      </c>
      <c r="AN996" s="12" t="s">
        <v>268</v>
      </c>
      <c r="AO996" s="12" t="s">
        <v>268</v>
      </c>
      <c r="AP996" s="12" t="s">
        <v>268</v>
      </c>
      <c r="AQ996" s="12" t="s">
        <v>268</v>
      </c>
      <c r="AR996" s="28" t="str">
        <f t="shared" ca="1" si="78"/>
        <v/>
      </c>
      <c r="AS996" s="28" t="str">
        <f t="shared" ca="1" si="79"/>
        <v/>
      </c>
    </row>
    <row r="997" spans="2:45" ht="27.6" customHeight="1">
      <c r="B997">
        <f t="shared" ca="1" si="75"/>
        <v>0</v>
      </c>
      <c r="C997" t="s">
        <v>85</v>
      </c>
      <c r="D997" t="s">
        <v>92</v>
      </c>
      <c r="E997" t="s">
        <v>92</v>
      </c>
      <c r="F997" t="s">
        <v>92</v>
      </c>
      <c r="G997" t="s">
        <v>92</v>
      </c>
      <c r="H997" t="s">
        <v>92</v>
      </c>
      <c r="I997" s="12" t="s">
        <v>268</v>
      </c>
      <c r="J997" t="s">
        <v>278</v>
      </c>
      <c r="L997" t="s">
        <v>92</v>
      </c>
      <c r="N997" s="14">
        <v>1</v>
      </c>
      <c r="P997" s="12" t="s">
        <v>268</v>
      </c>
      <c r="W997" s="9" t="str">
        <f t="shared" ca="1" si="76"/>
        <v>18.5%</v>
      </c>
      <c r="X997" t="s">
        <v>321</v>
      </c>
      <c r="Y997" s="9" t="str">
        <f t="shared" ca="1" si="77"/>
        <v>Sin costo</v>
      </c>
      <c r="Z997" t="s">
        <v>327</v>
      </c>
      <c r="AA997" t="s">
        <v>329</v>
      </c>
      <c r="AB997" t="s">
        <v>334</v>
      </c>
      <c r="AC997" s="12" t="s">
        <v>339</v>
      </c>
      <c r="AE997" t="s">
        <v>268</v>
      </c>
      <c r="AG997" s="12" t="s">
        <v>268</v>
      </c>
      <c r="AH997" t="s">
        <v>92</v>
      </c>
      <c r="AI997" s="12" t="s">
        <v>268</v>
      </c>
      <c r="AJ997" t="s">
        <v>92</v>
      </c>
      <c r="AK997" t="s">
        <v>92</v>
      </c>
      <c r="AL997" t="s">
        <v>92</v>
      </c>
      <c r="AM997" s="12" t="s">
        <v>268</v>
      </c>
      <c r="AN997" s="12" t="s">
        <v>268</v>
      </c>
      <c r="AO997" s="12" t="s">
        <v>268</v>
      </c>
      <c r="AP997" s="12" t="s">
        <v>268</v>
      </c>
      <c r="AQ997" s="12" t="s">
        <v>268</v>
      </c>
      <c r="AR997" s="28" t="str">
        <f t="shared" ca="1" si="78"/>
        <v/>
      </c>
      <c r="AS997" s="28" t="str">
        <f t="shared" ca="1" si="79"/>
        <v/>
      </c>
    </row>
    <row r="998" spans="2:45" ht="27.6" customHeight="1">
      <c r="B998">
        <f t="shared" ca="1" si="75"/>
        <v>0</v>
      </c>
      <c r="C998" t="s">
        <v>85</v>
      </c>
      <c r="D998" t="s">
        <v>92</v>
      </c>
      <c r="E998" t="s">
        <v>92</v>
      </c>
      <c r="F998" t="s">
        <v>92</v>
      </c>
      <c r="G998" t="s">
        <v>92</v>
      </c>
      <c r="H998" t="s">
        <v>92</v>
      </c>
      <c r="I998" s="12" t="s">
        <v>268</v>
      </c>
      <c r="J998" t="s">
        <v>278</v>
      </c>
      <c r="L998" t="s">
        <v>92</v>
      </c>
      <c r="N998" s="14">
        <v>1</v>
      </c>
      <c r="P998" s="12" t="s">
        <v>268</v>
      </c>
      <c r="W998" s="9" t="str">
        <f t="shared" ca="1" si="76"/>
        <v>18.5%</v>
      </c>
      <c r="X998" t="s">
        <v>321</v>
      </c>
      <c r="Y998" s="9" t="str">
        <f t="shared" ca="1" si="77"/>
        <v>Sin costo</v>
      </c>
      <c r="Z998" t="s">
        <v>327</v>
      </c>
      <c r="AA998" t="s">
        <v>329</v>
      </c>
      <c r="AB998" t="s">
        <v>334</v>
      </c>
      <c r="AC998" s="12" t="s">
        <v>339</v>
      </c>
      <c r="AE998" t="s">
        <v>268</v>
      </c>
      <c r="AG998" s="12" t="s">
        <v>268</v>
      </c>
      <c r="AH998" t="s">
        <v>92</v>
      </c>
      <c r="AI998" s="12" t="s">
        <v>268</v>
      </c>
      <c r="AJ998" t="s">
        <v>92</v>
      </c>
      <c r="AK998" t="s">
        <v>92</v>
      </c>
      <c r="AL998" t="s">
        <v>92</v>
      </c>
      <c r="AM998" s="12" t="s">
        <v>268</v>
      </c>
      <c r="AN998" s="12" t="s">
        <v>268</v>
      </c>
      <c r="AO998" s="12" t="s">
        <v>268</v>
      </c>
      <c r="AP998" s="12" t="s">
        <v>268</v>
      </c>
      <c r="AQ998" s="12" t="s">
        <v>268</v>
      </c>
      <c r="AR998" s="28" t="str">
        <f t="shared" ca="1" si="78"/>
        <v/>
      </c>
      <c r="AS998" s="28" t="str">
        <f t="shared" ca="1" si="79"/>
        <v/>
      </c>
    </row>
    <row r="999" spans="2:45" ht="27.6" customHeight="1">
      <c r="B999">
        <f t="shared" ca="1" si="75"/>
        <v>0</v>
      </c>
      <c r="C999" t="s">
        <v>85</v>
      </c>
      <c r="D999" t="s">
        <v>92</v>
      </c>
      <c r="E999" t="s">
        <v>92</v>
      </c>
      <c r="F999" t="s">
        <v>92</v>
      </c>
      <c r="G999" t="s">
        <v>92</v>
      </c>
      <c r="H999" t="s">
        <v>92</v>
      </c>
      <c r="I999" s="12" t="s">
        <v>268</v>
      </c>
      <c r="J999" t="s">
        <v>278</v>
      </c>
      <c r="L999" t="s">
        <v>92</v>
      </c>
      <c r="N999" s="14">
        <v>1</v>
      </c>
      <c r="P999" s="12" t="s">
        <v>268</v>
      </c>
      <c r="W999" s="9" t="str">
        <f t="shared" ca="1" si="76"/>
        <v>18.5%</v>
      </c>
      <c r="X999" t="s">
        <v>321</v>
      </c>
      <c r="Y999" s="9" t="str">
        <f t="shared" ca="1" si="77"/>
        <v>Sin costo</v>
      </c>
      <c r="Z999" t="s">
        <v>327</v>
      </c>
      <c r="AA999" t="s">
        <v>329</v>
      </c>
      <c r="AB999" t="s">
        <v>334</v>
      </c>
      <c r="AC999" s="12" t="s">
        <v>339</v>
      </c>
      <c r="AE999" t="s">
        <v>268</v>
      </c>
      <c r="AG999" s="12" t="s">
        <v>268</v>
      </c>
      <c r="AH999" t="s">
        <v>92</v>
      </c>
      <c r="AI999" s="12" t="s">
        <v>268</v>
      </c>
      <c r="AJ999" t="s">
        <v>92</v>
      </c>
      <c r="AK999" t="s">
        <v>92</v>
      </c>
      <c r="AL999" t="s">
        <v>92</v>
      </c>
      <c r="AM999" s="12" t="s">
        <v>268</v>
      </c>
      <c r="AN999" s="12" t="s">
        <v>268</v>
      </c>
      <c r="AO999" s="12" t="s">
        <v>268</v>
      </c>
      <c r="AP999" s="12" t="s">
        <v>268</v>
      </c>
      <c r="AQ999" s="12" t="s">
        <v>268</v>
      </c>
      <c r="AR999" s="28" t="str">
        <f t="shared" ca="1" si="78"/>
        <v/>
      </c>
      <c r="AS999" s="28" t="str">
        <f t="shared" ca="1" si="79"/>
        <v/>
      </c>
    </row>
    <row r="1000" spans="2:45" ht="27.6" customHeight="1">
      <c r="B1000">
        <f t="shared" ca="1" si="75"/>
        <v>0</v>
      </c>
      <c r="C1000" t="s">
        <v>85</v>
      </c>
      <c r="D1000" t="s">
        <v>92</v>
      </c>
      <c r="E1000" t="s">
        <v>92</v>
      </c>
      <c r="F1000" t="s">
        <v>92</v>
      </c>
      <c r="G1000" t="s">
        <v>92</v>
      </c>
      <c r="H1000" t="s">
        <v>92</v>
      </c>
      <c r="I1000" s="12" t="s">
        <v>268</v>
      </c>
      <c r="J1000" t="s">
        <v>278</v>
      </c>
      <c r="L1000" t="s">
        <v>92</v>
      </c>
      <c r="N1000" s="14">
        <v>1</v>
      </c>
      <c r="P1000" s="12" t="s">
        <v>268</v>
      </c>
      <c r="W1000" s="9" t="str">
        <f t="shared" ca="1" si="76"/>
        <v>18.5%</v>
      </c>
      <c r="X1000" t="s">
        <v>321</v>
      </c>
      <c r="Y1000" s="9" t="str">
        <f t="shared" ca="1" si="77"/>
        <v>Sin costo</v>
      </c>
      <c r="Z1000" t="s">
        <v>327</v>
      </c>
      <c r="AA1000" t="s">
        <v>329</v>
      </c>
      <c r="AB1000" t="s">
        <v>334</v>
      </c>
      <c r="AC1000" s="12" t="s">
        <v>339</v>
      </c>
      <c r="AE1000" t="s">
        <v>268</v>
      </c>
      <c r="AG1000" s="12" t="s">
        <v>268</v>
      </c>
      <c r="AH1000" t="s">
        <v>92</v>
      </c>
      <c r="AI1000" s="12" t="s">
        <v>268</v>
      </c>
      <c r="AJ1000" t="s">
        <v>92</v>
      </c>
      <c r="AK1000" t="s">
        <v>92</v>
      </c>
      <c r="AL1000" t="s">
        <v>92</v>
      </c>
      <c r="AM1000" s="12" t="s">
        <v>268</v>
      </c>
      <c r="AN1000" s="12" t="s">
        <v>268</v>
      </c>
      <c r="AO1000" s="12" t="s">
        <v>268</v>
      </c>
      <c r="AP1000" s="12" t="s">
        <v>268</v>
      </c>
      <c r="AQ1000" s="12" t="s">
        <v>268</v>
      </c>
      <c r="AR1000" s="28" t="str">
        <f t="shared" ca="1" si="78"/>
        <v/>
      </c>
      <c r="AS1000" s="28" t="str">
        <f t="shared" ca="1" si="79"/>
        <v/>
      </c>
    </row>
  </sheetData>
  <mergeCells count="19">
    <mergeCell ref="A7:C7"/>
    <mergeCell ref="A1:C1"/>
    <mergeCell ref="A2:C2"/>
    <mergeCell ref="A5:B5"/>
    <mergeCell ref="D7:N7"/>
    <mergeCell ref="D1:N2"/>
    <mergeCell ref="D6:F6"/>
    <mergeCell ref="O7:R7"/>
    <mergeCell ref="O1:R2"/>
    <mergeCell ref="S7:V7"/>
    <mergeCell ref="S1:V2"/>
    <mergeCell ref="S6:V6"/>
    <mergeCell ref="AS7:AT7"/>
    <mergeCell ref="AS1:AT2"/>
    <mergeCell ref="W7:AE7"/>
    <mergeCell ref="W1:AE2"/>
    <mergeCell ref="AF7:AQ7"/>
    <mergeCell ref="AF1:AQ2"/>
    <mergeCell ref="AR1:AR2"/>
  </mergeCells>
  <phoneticPr fontId="81" type="noConversion"/>
  <conditionalFormatting sqref="A8:A1000">
    <cfRule type="expression" dxfId="26" priority="1">
      <formula>LEN(INDIRECT(ADDRESS(ROW(),COLUMN()))) &gt; 60</formula>
    </cfRule>
  </conditionalFormatting>
  <conditionalFormatting sqref="B8:B1000">
    <cfRule type="expression" dxfId="25" priority="2">
      <formula>LEN(INDIRECT(ADDRESS(ROW() + (0),COLUMN() + (-1)))) &gt; 60</formula>
    </cfRule>
  </conditionalFormatting>
  <conditionalFormatting sqref="C8:C1000">
    <cfRule type="expression" dxfId="24" priority="3">
      <formula>LEN(INDIRECT(ADDRESS(ROW(),COLUMN()))) &lt; 1</formula>
    </cfRule>
  </conditionalFormatting>
  <conditionalFormatting sqref="D8:H10000 L8:L10000 AH8:AH10000 AJ8:AL10000">
    <cfRule type="cellIs" dxfId="23" priority="4" operator="equal">
      <formula>"Escribe o elige un valor"</formula>
    </cfRule>
  </conditionalFormatting>
  <conditionalFormatting sqref="D8:D1000">
    <cfRule type="expression" dxfId="22" priority="5">
      <formula>AND(TRIM($AS8) &lt;&gt; "",OR(TRIM($D8) = "",$D8 = "Escribe o elige un valor"))</formula>
    </cfRule>
  </conditionalFormatting>
  <conditionalFormatting sqref="G8:G1000">
    <cfRule type="expression" dxfId="21" priority="9">
      <formula>AND(TRIM($AS8) &lt;&gt; "",OR(TRIM($G8) = "",$G8 = "Escribe o elige un valor"))</formula>
    </cfRule>
  </conditionalFormatting>
  <conditionalFormatting sqref="H8:H1000">
    <cfRule type="expression" dxfId="20" priority="11">
      <formula>AND(TRIM($AS8) &lt;&gt; "",OR(TRIM($H8) = "",$H8 = "Escribe o elige un valor"))</formula>
    </cfRule>
  </conditionalFormatting>
  <conditionalFormatting sqref="AE8:AE10000 I8:I10000 P8:P10000 AG8:AG10000 AI8:AI10000 AM8:AQ10000">
    <cfRule type="cellIs" dxfId="19" priority="12" operator="equal">
      <formula>"Seleccionar"</formula>
    </cfRule>
  </conditionalFormatting>
  <conditionalFormatting sqref="I8:I1000">
    <cfRule type="expression" dxfId="18" priority="13">
      <formula>AND(TRIM($AS8) &lt;&gt; "",OR(TRIM($I8) = "",$I8 = "Seleccionar"))</formula>
    </cfRule>
  </conditionalFormatting>
  <conditionalFormatting sqref="J8:J10000">
    <cfRule type="cellIs" dxfId="17" priority="14" operator="equal">
      <formula>"Selecciona una guía o pega el código"</formula>
    </cfRule>
  </conditionalFormatting>
  <conditionalFormatting sqref="J8:J1000">
    <cfRule type="expression" dxfId="16" priority="15">
      <formula>AND(TRIM($AS8) &lt;&gt; "",OR(TRIM($J8) = "",$J8 = "Seleccionar"))</formula>
    </cfRule>
  </conditionalFormatting>
  <conditionalFormatting sqref="K8:K1000">
    <cfRule type="expression" dxfId="15" priority="16">
      <formula>AND(TRIM($AS8) &lt;&gt; "",OR(TRIM($K8) = "",$K8 = ""))</formula>
    </cfRule>
  </conditionalFormatting>
  <conditionalFormatting sqref="L8:L1000">
    <cfRule type="expression" dxfId="14" priority="18">
      <formula>AND(TRIM($AS8) &lt;&gt; "",OR(TRIM($L8) = "",$L8 = "Escribe o elige un valor"))</formula>
    </cfRule>
  </conditionalFormatting>
  <conditionalFormatting sqref="O8:O1000">
    <cfRule type="expression" dxfId="13" priority="19">
      <formula>AND(TRIM($AS8) &lt;&gt; "",OR(TRIM($O8) = "",$O8 = "",$O8 &lt; 2900,ISTEXT($O8)))</formula>
    </cfRule>
  </conditionalFormatting>
  <conditionalFormatting sqref="AD8:AD1000 Q8:Q1000">
    <cfRule type="expression" dxfId="12" priority="21">
      <formula>ISTEXT(INDIRECT(ADDRESS(ROW(),COLUMN())))</formula>
    </cfRule>
  </conditionalFormatting>
  <conditionalFormatting sqref="S8:S1000">
    <cfRule type="expression" dxfId="11" priority="22">
      <formula>AND(TRIM($AS8) &lt;&gt; "",OR(TRIM($S8) = "",$S8 = "",$S8 &lt; 0,ISTEXT($S8)))</formula>
    </cfRule>
  </conditionalFormatting>
  <conditionalFormatting sqref="T8:T1000">
    <cfRule type="expression" dxfId="10" priority="23">
      <formula>AND(TRIM($AS8) &lt;&gt; "",OR(TRIM($T8) = "",$T8 = "",$T8 &lt; 0,ISTEXT($T8)))</formula>
    </cfRule>
  </conditionalFormatting>
  <conditionalFormatting sqref="U8:U1000">
    <cfRule type="expression" dxfId="9" priority="24">
      <formula>AND(TRIM($AS8) &lt;&gt; "",OR(TRIM($U8) = "",$U8 = "",$U8 &lt; 0,ISTEXT($U8)))</formula>
    </cfRule>
  </conditionalFormatting>
  <conditionalFormatting sqref="V8:V1000">
    <cfRule type="expression" dxfId="8" priority="25">
      <formula>AND(TRIM($AS8) &lt;&gt; "",OR(TRIM($V8) = "",$V8 = "",$V8 &lt; 0,ISTEXT($V8)))</formula>
    </cfRule>
  </conditionalFormatting>
  <conditionalFormatting sqref="W8:W1000 Y8:Y1000">
    <cfRule type="expression" dxfId="7" priority="26">
      <formula>TRUE</formula>
    </cfRule>
  </conditionalFormatting>
  <conditionalFormatting sqref="Z8:Z1000">
    <cfRule type="expression" dxfId="6" priority="28">
      <formula>AND(TRIM($AS8) &lt;&gt; "",OR(TRIM($Z8) = "",$Z8 = "Seleccionar"))</formula>
    </cfRule>
  </conditionalFormatting>
  <conditionalFormatting sqref="AA8:AA1000">
    <cfRule type="expression" dxfId="5" priority="29">
      <formula>AND(TRIM($AS8) &lt;&gt; "",OR(TRIM($AA8) = "",$AA8 = "Seleccionar"))</formula>
    </cfRule>
  </conditionalFormatting>
  <conditionalFormatting sqref="AB8:AB1000">
    <cfRule type="expression" dxfId="4" priority="30">
      <formula>AND(TRIM($AS8) &lt;&gt; "",OR(TRIM($AB8) = "",$AB8 = "Seleccionar"))</formula>
    </cfRule>
  </conditionalFormatting>
  <conditionalFormatting sqref="AF8:AF1000">
    <cfRule type="expression" dxfId="3" priority="33">
      <formula>AND(TRIM($AS8) &lt;&gt; "",OR(TRIM($AF8) = "",$AF8 = "Escribe o elige un valor"))</formula>
    </cfRule>
  </conditionalFormatting>
  <conditionalFormatting sqref="AG8:AG1000">
    <cfRule type="expression" dxfId="2" priority="35">
      <formula>AND(TRIM($AS8) &lt;&gt; "",OR(TRIM($AG8) = "",$AG8 = "Seleccionar"))</formula>
    </cfRule>
  </conditionalFormatting>
  <conditionalFormatting sqref="AH8:AH1000">
    <cfRule type="expression" dxfId="1" priority="37">
      <formula>AND(TRIM($AS8) &lt;&gt; "",OR(TRIM($AH8) = "",$AH8 = "Escribe o elige un valor"))</formula>
    </cfRule>
  </conditionalFormatting>
  <conditionalFormatting sqref="AR8:AR1000">
    <cfRule type="expression" dxfId="0" priority="47">
      <formula>TRIM($AR8) &lt;&gt; ""</formula>
    </cfRule>
  </conditionalFormatting>
  <dataValidations count="5">
    <dataValidation type="textLength" operator="lessThanOrEqual" allowBlank="1" showInputMessage="1" sqref="M8:M10000 AF8:AF10000" xr:uid="{00000000-0002-0000-0200-000009000000}">
      <formula1>255</formula1>
    </dataValidation>
    <dataValidation type="decimal" allowBlank="1" showInputMessage="1" sqref="N8:N10000" xr:uid="{00000000-0002-0000-0200-00000A000000}">
      <formula1>0</formula1>
      <formula2>99999</formula2>
    </dataValidation>
    <dataValidation type="decimal" operator="greaterThan" allowBlank="1" showInputMessage="1" sqref="O8:O10000 S8:V10000" xr:uid="{00000000-0002-0000-0200-00000B000000}">
      <formula1>0</formula1>
    </dataValidation>
    <dataValidation type="decimal" allowBlank="1" showInputMessage="1" sqref="AD8:AD10000 Q8:Q10000" xr:uid="{00000000-0002-0000-0200-00000D000000}">
      <formula1>-2147483648</formula1>
      <formula2>2147483647</formula2>
    </dataValidation>
    <dataValidation type="textLength" operator="lessThanOrEqual" allowBlank="1" showInputMessage="1" sqref="R8:R10000" xr:uid="{00000000-0002-0000-0200-00000E000000}">
      <formula1>50000</formula1>
    </dataValidation>
  </dataValidations>
  <hyperlinks>
    <hyperlink ref="C6" r:id="rId1" xr:uid="{00000000-0004-0000-0200-000000000000}"/>
    <hyperlink ref="D6" r:id="rId2" xr:uid="{00000000-0004-0000-0200-000001000000}"/>
    <hyperlink ref="E6" r:id="rId3" xr:uid="{00000000-0004-0000-0200-000002000000}"/>
    <hyperlink ref="F6" r:id="rId4" xr:uid="{00000000-0004-0000-0200-000003000000}"/>
    <hyperlink ref="G6" r:id="rId5" xr:uid="{00000000-0004-0000-0200-000004000000}"/>
    <hyperlink ref="J5" r:id="rId6" xr:uid="{00000000-0004-0000-0200-000005000000}"/>
    <hyperlink ref="J6" r:id="rId7" xr:uid="{00000000-0004-0000-0200-000006000000}"/>
    <hyperlink ref="K6" r:id="rId8" xr:uid="{00000000-0004-0000-0200-000007000000}"/>
    <hyperlink ref="S6" r:id="rId9" xr:uid="{00000000-0004-0000-0200-000008000000}"/>
    <hyperlink ref="T6" r:id="rId10" xr:uid="{00000000-0004-0000-0200-000009000000}"/>
    <hyperlink ref="U6" r:id="rId11" xr:uid="{00000000-0004-0000-0200-00000A000000}"/>
    <hyperlink ref="V6" r:id="rId12" xr:uid="{00000000-0004-0000-0200-00000B000000}"/>
    <hyperlink ref="AA6" r:id="rId13" xr:uid="{00000000-0004-0000-0200-00000C000000}"/>
    <hyperlink ref="AR6" r:id="rId14" xr:uid="{00000000-0004-0000-0200-00000D000000}"/>
  </hyperlinks>
  <pageMargins left="0.7" right="0.7" top="0.75" bottom="0.75" header="0.3" footer="0.3"/>
  <ignoredErrors>
    <ignoredError sqref="A13:A10000 B8:B12 C8:C12 D13:D10000 E13:E10000 F13:F10000 G13:G10000 K8:K12 M8:M12 W8:W12 X8:X12 Y8:Y12 Z8:Z12 AA8:AA12 AB8:AB12 AC8:AC12 AE9:AE12 AJ8:AJ12 AK8:AK12 AM9:AM12 AN9:AN12 AO9:AO12 AP8:AP12 AR8:AR12 AS8:AS12 AT8:AT12 B13:B10000 C13:C10000 H13:H10000 I13:I10000 J13:J10000 K13:K10000 L13:L10000 M13:M10000 P13:P10000 R13:R10000 W13:W10000 X13:X10000 Y13:Y10000 Z13:Z10000 AA13:AA10000 AB13:AB10000 AC13:AC10000 AE13:AE10000 AF13:AF10000 AG13:AG10000 AH13:AH10000 AI13:AI10000 AJ13:AJ10000 AK13:AK10000 AL13:AL10000 AM13:AM10000 AN13:AN10000 AO13:AO10000 AP13:AP10000 AQ13:AQ10000 AR13:AR10000 AS13:AS10000 AT13:AT10000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1" showErrorMessage="1" xr:uid="{00000000-0002-0000-0200-000000000000}">
          <x14:formula1>
            <xm:f>'extra info'!$A$2:$B$2</xm:f>
          </x14:formula1>
          <xm:sqref>C8:C10000</xm:sqref>
        </x14:dataValidation>
        <x14:dataValidation type="list" allowBlank="1" showInputMessage="1" xr:uid="{00000000-0002-0000-0200-000001000000}">
          <x14:formula1>
            <xm:f>'extra info'!$A$3:$AZ$3</xm:f>
          </x14:formula1>
          <xm:sqref>D8:D10000</xm:sqref>
        </x14:dataValidation>
        <x14:dataValidation type="list" allowBlank="1" showInputMessage="1" xr:uid="{00000000-0002-0000-0200-000002000000}">
          <x14:formula1>
            <xm:f>'extra info'!$A$4:$D$4</xm:f>
          </x14:formula1>
          <xm:sqref>E8:E10000</xm:sqref>
        </x14:dataValidation>
        <x14:dataValidation type="list" allowBlank="1" showInputMessage="1" xr:uid="{00000000-0002-0000-0200-000003000000}">
          <x14:formula1>
            <xm:f>'extra info'!$A$5:$E$5</xm:f>
          </x14:formula1>
          <xm:sqref>F8:F10000</xm:sqref>
        </x14:dataValidation>
        <x14:dataValidation type="list" allowBlank="1" showInputMessage="1" xr:uid="{00000000-0002-0000-0200-000004000000}">
          <x14:formula1>
            <xm:f>'extra info'!$A$6:$AG$6</xm:f>
          </x14:formula1>
          <xm:sqref>G8:G10000</xm:sqref>
        </x14:dataValidation>
        <x14:dataValidation type="list" allowBlank="1" showInputMessage="1" xr:uid="{00000000-0002-0000-0200-000005000000}">
          <x14:formula1>
            <xm:f>'extra info'!$A$7:$BW$7</xm:f>
          </x14:formula1>
          <xm:sqref>H8:H10000</xm:sqref>
        </x14:dataValidation>
        <x14:dataValidation type="list" allowBlank="1" showInputMessage="1" showErrorMessage="1" xr:uid="{00000000-0002-0000-0200-000006000000}">
          <x14:formula1>
            <xm:f>'extra info'!$A$8:$H$8</xm:f>
          </x14:formula1>
          <xm:sqref>I8:I10000</xm:sqref>
        </x14:dataValidation>
        <x14:dataValidation type="list" allowBlank="1" showInputMessage="1" showErrorMessage="1" xr:uid="{00000000-0002-0000-0200-000007000000}">
          <x14:formula1>
            <xm:f>'extra info'!$A$9:$K$9</xm:f>
          </x14:formula1>
          <xm:sqref>J8:J10000</xm:sqref>
        </x14:dataValidation>
        <x14:dataValidation type="list" allowBlank="1" showInputMessage="1" xr:uid="{00000000-0002-0000-0200-000008000000}">
          <x14:formula1>
            <xm:f>'extra info'!$A$10:$E$10</xm:f>
          </x14:formula1>
          <xm:sqref>L8:L10000</xm:sqref>
        </x14:dataValidation>
        <x14:dataValidation type="list" allowBlank="1" showInputMessage="1" showErrorMessage="1" xr:uid="{00000000-0002-0000-0200-00000C000000}">
          <x14:formula1>
            <xm:f>'extra info'!$A$11:$C$11</xm:f>
          </x14:formula1>
          <xm:sqref>P8:P10000</xm:sqref>
        </x14:dataValidation>
        <x14:dataValidation type="list" allowBlank="1" showInputMessage="1" showErrorMessage="1" xr:uid="{00000000-0002-0000-0200-000013000000}">
          <x14:formula1>
            <xm:f>'extra info'!$A$12:$B$12</xm:f>
          </x14:formula1>
          <xm:sqref>X8:X10000</xm:sqref>
        </x14:dataValidation>
        <x14:dataValidation type="list" allowBlank="1" showInputMessage="1" showErrorMessage="1" xr:uid="{00000000-0002-0000-0200-000014000000}">
          <x14:formula1>
            <xm:f>'extra info'!$A$13:$B$13</xm:f>
          </x14:formula1>
          <xm:sqref>Z8:Z10000</xm:sqref>
        </x14:dataValidation>
        <x14:dataValidation type="list" allowBlank="1" showInputMessage="1" showErrorMessage="1" xr:uid="{00000000-0002-0000-0200-000015000000}">
          <x14:formula1>
            <xm:f>'extra info'!$A$14:$B$14</xm:f>
          </x14:formula1>
          <xm:sqref>AA8:AA10000</xm:sqref>
        </x14:dataValidation>
        <x14:dataValidation type="list" allowBlank="1" showInputMessage="1" showErrorMessage="1" xr:uid="{00000000-0002-0000-0200-000016000000}">
          <x14:formula1>
            <xm:f>'extra info'!$A$15:$B$15</xm:f>
          </x14:formula1>
          <xm:sqref>AB8:AB10000</xm:sqref>
        </x14:dataValidation>
        <x14:dataValidation type="list" allowBlank="1" showInputMessage="1" showErrorMessage="1" xr:uid="{00000000-0002-0000-0200-000017000000}">
          <x14:formula1>
            <xm:f>'extra info'!$A$16:$C$16</xm:f>
          </x14:formula1>
          <xm:sqref>AC8:AC10000</xm:sqref>
        </x14:dataValidation>
        <x14:dataValidation type="list" allowBlank="1" showInputMessage="1" showErrorMessage="1" xr:uid="{00000000-0002-0000-0200-000019000000}">
          <x14:formula1>
            <xm:f>'extra info'!$A$17:$D$17</xm:f>
          </x14:formula1>
          <xm:sqref>AE8:AE10000</xm:sqref>
        </x14:dataValidation>
        <x14:dataValidation type="list" allowBlank="1" showInputMessage="1" showErrorMessage="1" xr:uid="{00000000-0002-0000-0200-00001B000000}">
          <x14:formula1>
            <xm:f>'extra info'!$A$18:$C$18</xm:f>
          </x14:formula1>
          <xm:sqref>AG8:AG10000</xm:sqref>
        </x14:dataValidation>
        <x14:dataValidation type="list" allowBlank="1" showInputMessage="1" xr:uid="{00000000-0002-0000-0200-00001C000000}">
          <x14:formula1>
            <xm:f>'extra info'!$A$19:$AB$19</xm:f>
          </x14:formula1>
          <xm:sqref>AH8:AH10000</xm:sqref>
        </x14:dataValidation>
        <x14:dataValidation type="list" allowBlank="1" showInputMessage="1" showErrorMessage="1" xr:uid="{00000000-0002-0000-0200-00001D000000}">
          <x14:formula1>
            <xm:f>'extra info'!$A$20:$C$20</xm:f>
          </x14:formula1>
          <xm:sqref>AI8:AI10000</xm:sqref>
        </x14:dataValidation>
        <x14:dataValidation type="list" allowBlank="1" showInputMessage="1" xr:uid="{00000000-0002-0000-0200-00001E000000}">
          <x14:formula1>
            <xm:f>'extra info'!$A$21:$C$21</xm:f>
          </x14:formula1>
          <xm:sqref>AJ8:AJ10000</xm:sqref>
        </x14:dataValidation>
        <x14:dataValidation type="list" allowBlank="1" showInputMessage="1" xr:uid="{00000000-0002-0000-0200-00001F000000}">
          <x14:formula1>
            <xm:f>'extra info'!$A$22:$C$22</xm:f>
          </x14:formula1>
          <xm:sqref>AK8:AK10000</xm:sqref>
        </x14:dataValidation>
        <x14:dataValidation type="list" allowBlank="1" showInputMessage="1" xr:uid="{00000000-0002-0000-0200-000020000000}">
          <x14:formula1>
            <xm:f>'extra info'!$A$23:$C$23</xm:f>
          </x14:formula1>
          <xm:sqref>AL8:AL10000</xm:sqref>
        </x14:dataValidation>
        <x14:dataValidation type="list" allowBlank="1" showInputMessage="1" showErrorMessage="1" xr:uid="{00000000-0002-0000-0200-000021000000}">
          <x14:formula1>
            <xm:f>'extra info'!$A$24:$F$24</xm:f>
          </x14:formula1>
          <xm:sqref>AM8:AM10000</xm:sqref>
        </x14:dataValidation>
        <x14:dataValidation type="list" allowBlank="1" showInputMessage="1" showErrorMessage="1" xr:uid="{00000000-0002-0000-0200-000022000000}">
          <x14:formula1>
            <xm:f>'extra info'!$A$25:$G$25</xm:f>
          </x14:formula1>
          <xm:sqref>AN8:AN10000</xm:sqref>
        </x14:dataValidation>
        <x14:dataValidation type="list" allowBlank="1" showInputMessage="1" showErrorMessage="1" xr:uid="{00000000-0002-0000-0200-000023000000}">
          <x14:formula1>
            <xm:f>'extra info'!$A$26:$E$26</xm:f>
          </x14:formula1>
          <xm:sqref>AO8:AO10000</xm:sqref>
        </x14:dataValidation>
        <x14:dataValidation type="list" allowBlank="1" showInputMessage="1" showErrorMessage="1" xr:uid="{00000000-0002-0000-0200-000024000000}">
          <x14:formula1>
            <xm:f>'extra info'!$A$27:$C$27</xm:f>
          </x14:formula1>
          <xm:sqref>AP8:AP10000</xm:sqref>
        </x14:dataValidation>
        <x14:dataValidation type="list" allowBlank="1" showInputMessage="1" showErrorMessage="1" xr:uid="{00000000-0002-0000-0200-000025000000}">
          <x14:formula1>
            <xm:f>'extra info'!$A$28:$C$28</xm:f>
          </x14:formula1>
          <xm:sqref>AQ8:AQ10000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8"/>
  <sheetViews>
    <sheetView workbookViewId="0">
      <pane ySplit="1" topLeftCell="A32" activePane="bottomLeft" state="frozen"/>
      <selection pane="bottomLeft" activeCell="G55" sqref="G55"/>
    </sheetView>
  </sheetViews>
  <sheetFormatPr baseColWidth="10" defaultColWidth="9.140625" defaultRowHeight="12.75"/>
  <cols>
    <col min="1" max="1" width="18" bestFit="1" customWidth="1"/>
    <col min="2" max="2" width="33" bestFit="1" customWidth="1"/>
    <col min="3" max="3" width="20" bestFit="1" customWidth="1"/>
    <col min="4" max="4" width="19" bestFit="1" customWidth="1"/>
    <col min="5" max="5" width="21" bestFit="1" customWidth="1"/>
    <col min="6" max="6" width="13" bestFit="1" customWidth="1"/>
    <col min="7" max="11" width="18" bestFit="1" customWidth="1"/>
  </cols>
  <sheetData>
    <row r="1" spans="1:19">
      <c r="A1" s="92" t="s">
        <v>414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19" ht="36" customHeight="1">
      <c r="A2" s="93" t="s">
        <v>415</v>
      </c>
      <c r="B2" s="52"/>
      <c r="C2" s="52"/>
      <c r="D2" s="52"/>
      <c r="E2" s="52"/>
      <c r="F2" s="52"/>
      <c r="G2" s="94" t="s">
        <v>416</v>
      </c>
      <c r="H2" s="52"/>
      <c r="I2" s="52"/>
      <c r="J2" s="95" t="s">
        <v>417</v>
      </c>
      <c r="K2" s="52"/>
    </row>
    <row r="3" spans="1:19" ht="27.95" customHeight="1">
      <c r="A3" s="96" t="s">
        <v>418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9">
      <c r="A4" s="90" t="s">
        <v>277</v>
      </c>
      <c r="B4" s="90" t="s">
        <v>419</v>
      </c>
      <c r="C4" s="90" t="s">
        <v>420</v>
      </c>
      <c r="D4" s="90" t="s">
        <v>267</v>
      </c>
      <c r="E4" s="90" t="s">
        <v>421</v>
      </c>
      <c r="F4" s="90" t="s">
        <v>422</v>
      </c>
      <c r="G4" s="91" t="s">
        <v>423</v>
      </c>
      <c r="H4" s="91" t="s">
        <v>424</v>
      </c>
      <c r="I4" s="91" t="s">
        <v>425</v>
      </c>
      <c r="J4" s="89" t="s">
        <v>426</v>
      </c>
      <c r="K4" s="89" t="s">
        <v>427</v>
      </c>
    </row>
    <row r="5" spans="1:19" ht="7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9" ht="27.6" customHeight="1">
      <c r="A6" s="31" t="s">
        <v>428</v>
      </c>
      <c r="B6" s="31" t="s">
        <v>429</v>
      </c>
      <c r="C6" s="32" t="s">
        <v>90</v>
      </c>
      <c r="D6" s="32" t="s">
        <v>270</v>
      </c>
      <c r="E6" s="32" t="s">
        <v>181</v>
      </c>
      <c r="F6" s="32" t="s">
        <v>181</v>
      </c>
      <c r="G6" s="32" t="s">
        <v>430</v>
      </c>
      <c r="H6" s="32" t="s">
        <v>431</v>
      </c>
      <c r="I6" s="32" t="s">
        <v>82</v>
      </c>
      <c r="J6" s="32" t="s">
        <v>82</v>
      </c>
      <c r="K6" s="32" t="s">
        <v>82</v>
      </c>
    </row>
    <row r="7" spans="1:19" ht="27.6" customHeight="1">
      <c r="A7" s="32" t="s">
        <v>428</v>
      </c>
      <c r="B7" s="32" t="s">
        <v>429</v>
      </c>
      <c r="C7" s="32" t="s">
        <v>90</v>
      </c>
      <c r="D7" s="32" t="s">
        <v>270</v>
      </c>
      <c r="E7" s="32" t="s">
        <v>174</v>
      </c>
      <c r="F7" s="32" t="s">
        <v>174</v>
      </c>
      <c r="G7" s="32" t="s">
        <v>431</v>
      </c>
      <c r="H7" s="32" t="s">
        <v>432</v>
      </c>
      <c r="I7" s="32" t="s">
        <v>82</v>
      </c>
      <c r="J7" s="32" t="s">
        <v>82</v>
      </c>
      <c r="K7" s="32" t="s">
        <v>82</v>
      </c>
    </row>
    <row r="8" spans="1:19" ht="27.6" customHeight="1">
      <c r="A8" s="32" t="s">
        <v>428</v>
      </c>
      <c r="B8" s="32" t="s">
        <v>429</v>
      </c>
      <c r="C8" s="32" t="s">
        <v>90</v>
      </c>
      <c r="D8" s="32" t="s">
        <v>270</v>
      </c>
      <c r="E8" s="32" t="s">
        <v>172</v>
      </c>
      <c r="F8" s="32" t="s">
        <v>172</v>
      </c>
      <c r="G8" s="32" t="s">
        <v>433</v>
      </c>
      <c r="H8" s="32" t="s">
        <v>434</v>
      </c>
      <c r="I8" s="32" t="s">
        <v>82</v>
      </c>
      <c r="J8" s="32" t="s">
        <v>82</v>
      </c>
      <c r="K8" s="32" t="s">
        <v>82</v>
      </c>
    </row>
    <row r="9" spans="1:19" ht="27.6" customHeight="1">
      <c r="A9" s="32" t="s">
        <v>428</v>
      </c>
      <c r="B9" s="32" t="s">
        <v>429</v>
      </c>
      <c r="C9" s="32" t="s">
        <v>90</v>
      </c>
      <c r="D9" s="32" t="s">
        <v>270</v>
      </c>
      <c r="E9" s="32" t="s">
        <v>176</v>
      </c>
      <c r="F9" s="32" t="s">
        <v>176</v>
      </c>
      <c r="G9" s="32" t="s">
        <v>435</v>
      </c>
      <c r="H9" s="32" t="s">
        <v>436</v>
      </c>
      <c r="I9" s="32" t="s">
        <v>82</v>
      </c>
      <c r="J9" s="32" t="s">
        <v>82</v>
      </c>
      <c r="K9" s="32" t="s">
        <v>82</v>
      </c>
    </row>
    <row r="10" spans="1:19" ht="27.6" customHeight="1">
      <c r="A10" s="31" t="s">
        <v>437</v>
      </c>
      <c r="B10" s="31" t="s">
        <v>438</v>
      </c>
      <c r="C10" s="32" t="s">
        <v>90</v>
      </c>
      <c r="D10" s="32" t="s">
        <v>269</v>
      </c>
      <c r="E10" s="32" t="s">
        <v>181</v>
      </c>
      <c r="F10" s="32" t="s">
        <v>181</v>
      </c>
      <c r="G10" s="32" t="s">
        <v>430</v>
      </c>
      <c r="H10" s="32" t="s">
        <v>431</v>
      </c>
      <c r="I10" s="32" t="s">
        <v>82</v>
      </c>
      <c r="J10" s="32" t="s">
        <v>82</v>
      </c>
      <c r="K10" s="32" t="s">
        <v>82</v>
      </c>
    </row>
    <row r="11" spans="1:19" ht="27.6" customHeight="1">
      <c r="A11" s="32" t="s">
        <v>437</v>
      </c>
      <c r="B11" s="32" t="s">
        <v>438</v>
      </c>
      <c r="C11" s="32" t="s">
        <v>90</v>
      </c>
      <c r="D11" s="32" t="s">
        <v>269</v>
      </c>
      <c r="E11" s="32" t="s">
        <v>174</v>
      </c>
      <c r="F11" s="32" t="s">
        <v>174</v>
      </c>
      <c r="G11" s="32" t="s">
        <v>431</v>
      </c>
      <c r="H11" s="32" t="s">
        <v>432</v>
      </c>
      <c r="I11" s="32" t="s">
        <v>82</v>
      </c>
      <c r="J11" s="32" t="s">
        <v>82</v>
      </c>
      <c r="K11" s="32" t="s">
        <v>82</v>
      </c>
    </row>
    <row r="12" spans="1:19" ht="27.6" customHeight="1">
      <c r="A12" s="32" t="s">
        <v>437</v>
      </c>
      <c r="B12" s="32" t="s">
        <v>438</v>
      </c>
      <c r="C12" s="32" t="s">
        <v>90</v>
      </c>
      <c r="D12" s="32" t="s">
        <v>269</v>
      </c>
      <c r="E12" s="32" t="s">
        <v>172</v>
      </c>
      <c r="F12" s="32" t="s">
        <v>172</v>
      </c>
      <c r="G12" s="32" t="s">
        <v>433</v>
      </c>
      <c r="H12" s="32" t="s">
        <v>434</v>
      </c>
      <c r="I12" s="32" t="s">
        <v>82</v>
      </c>
      <c r="J12" s="32" t="s">
        <v>82</v>
      </c>
      <c r="K12" s="32" t="s">
        <v>82</v>
      </c>
    </row>
    <row r="13" spans="1:19" ht="27.6" customHeight="1">
      <c r="A13" s="32" t="s">
        <v>437</v>
      </c>
      <c r="B13" s="32" t="s">
        <v>438</v>
      </c>
      <c r="C13" s="32" t="s">
        <v>90</v>
      </c>
      <c r="D13" s="32" t="s">
        <v>269</v>
      </c>
      <c r="E13" s="32" t="s">
        <v>176</v>
      </c>
      <c r="F13" s="32" t="s">
        <v>176</v>
      </c>
      <c r="G13" s="32" t="s">
        <v>435</v>
      </c>
      <c r="H13" s="32" t="s">
        <v>436</v>
      </c>
      <c r="I13" s="32" t="s">
        <v>82</v>
      </c>
      <c r="J13" s="32" t="s">
        <v>82</v>
      </c>
      <c r="K13" s="32" t="s">
        <v>82</v>
      </c>
    </row>
    <row r="14" spans="1:19" ht="27.6" customHeight="1">
      <c r="A14" s="31" t="s">
        <v>439</v>
      </c>
      <c r="B14" s="31" t="s">
        <v>440</v>
      </c>
      <c r="C14" s="32" t="s">
        <v>90</v>
      </c>
      <c r="D14" s="32" t="s">
        <v>270</v>
      </c>
      <c r="E14" s="32" t="s">
        <v>181</v>
      </c>
      <c r="F14" s="32" t="s">
        <v>181</v>
      </c>
      <c r="G14" s="32" t="s">
        <v>82</v>
      </c>
      <c r="H14" s="32" t="s">
        <v>82</v>
      </c>
      <c r="I14" s="32" t="s">
        <v>82</v>
      </c>
      <c r="J14" s="32" t="s">
        <v>441</v>
      </c>
      <c r="K14" s="32" t="s">
        <v>442</v>
      </c>
    </row>
    <row r="15" spans="1:19" ht="27.6" customHeight="1">
      <c r="A15" s="32" t="s">
        <v>439</v>
      </c>
      <c r="B15" s="32" t="s">
        <v>440</v>
      </c>
      <c r="C15" s="32" t="s">
        <v>90</v>
      </c>
      <c r="D15" s="32" t="s">
        <v>270</v>
      </c>
      <c r="E15" s="32" t="s">
        <v>174</v>
      </c>
      <c r="F15" s="32" t="s">
        <v>174</v>
      </c>
      <c r="G15" s="32" t="s">
        <v>82</v>
      </c>
      <c r="H15" s="32" t="s">
        <v>82</v>
      </c>
      <c r="I15" s="32" t="s">
        <v>82</v>
      </c>
      <c r="J15" s="32" t="s">
        <v>443</v>
      </c>
      <c r="K15" s="32" t="s">
        <v>444</v>
      </c>
    </row>
    <row r="16" spans="1:19" ht="27.6" customHeight="1">
      <c r="A16" s="32" t="s">
        <v>439</v>
      </c>
      <c r="B16" s="32" t="s">
        <v>440</v>
      </c>
      <c r="C16" s="32" t="s">
        <v>90</v>
      </c>
      <c r="D16" s="32" t="s">
        <v>270</v>
      </c>
      <c r="E16" s="32" t="s">
        <v>172</v>
      </c>
      <c r="F16" s="32" t="s">
        <v>172</v>
      </c>
      <c r="G16" s="32" t="s">
        <v>82</v>
      </c>
      <c r="H16" s="32" t="s">
        <v>82</v>
      </c>
      <c r="I16" s="32" t="s">
        <v>82</v>
      </c>
      <c r="J16" s="32" t="s">
        <v>445</v>
      </c>
      <c r="K16" s="32" t="s">
        <v>446</v>
      </c>
    </row>
    <row r="17" spans="1:11" ht="27.6" customHeight="1">
      <c r="A17" s="32" t="s">
        <v>439</v>
      </c>
      <c r="B17" s="32" t="s">
        <v>440</v>
      </c>
      <c r="C17" s="32" t="s">
        <v>90</v>
      </c>
      <c r="D17" s="32" t="s">
        <v>270</v>
      </c>
      <c r="E17" s="32" t="s">
        <v>176</v>
      </c>
      <c r="F17" s="32" t="s">
        <v>176</v>
      </c>
      <c r="G17" s="32" t="s">
        <v>82</v>
      </c>
      <c r="H17" s="32" t="s">
        <v>82</v>
      </c>
      <c r="I17" s="32" t="s">
        <v>82</v>
      </c>
      <c r="J17" s="32" t="s">
        <v>447</v>
      </c>
      <c r="K17" s="32" t="s">
        <v>448</v>
      </c>
    </row>
    <row r="18" spans="1:11" ht="27.6" customHeight="1">
      <c r="A18" s="32" t="s">
        <v>439</v>
      </c>
      <c r="B18" s="32" t="s">
        <v>440</v>
      </c>
      <c r="C18" s="32" t="s">
        <v>90</v>
      </c>
      <c r="D18" s="32" t="s">
        <v>270</v>
      </c>
      <c r="E18" s="32" t="s">
        <v>165</v>
      </c>
      <c r="F18" s="32" t="s">
        <v>449</v>
      </c>
      <c r="G18" s="32" t="s">
        <v>82</v>
      </c>
      <c r="H18" s="32" t="s">
        <v>82</v>
      </c>
      <c r="I18" s="32" t="s">
        <v>82</v>
      </c>
      <c r="J18" s="32" t="s">
        <v>450</v>
      </c>
      <c r="K18" s="32" t="s">
        <v>451</v>
      </c>
    </row>
    <row r="19" spans="1:11" ht="27.6" customHeight="1">
      <c r="A19" s="32" t="s">
        <v>439</v>
      </c>
      <c r="B19" s="32" t="s">
        <v>440</v>
      </c>
      <c r="C19" s="32" t="s">
        <v>90</v>
      </c>
      <c r="D19" s="32" t="s">
        <v>270</v>
      </c>
      <c r="E19" s="32" t="s">
        <v>173</v>
      </c>
      <c r="F19" s="32" t="s">
        <v>452</v>
      </c>
      <c r="G19" s="32" t="s">
        <v>82</v>
      </c>
      <c r="H19" s="32" t="s">
        <v>82</v>
      </c>
      <c r="I19" s="32" t="s">
        <v>82</v>
      </c>
      <c r="J19" s="32" t="s">
        <v>453</v>
      </c>
      <c r="K19" s="32" t="s">
        <v>454</v>
      </c>
    </row>
    <row r="20" spans="1:11" ht="27.6" customHeight="1">
      <c r="A20" s="32" t="s">
        <v>439</v>
      </c>
      <c r="B20" s="32" t="s">
        <v>440</v>
      </c>
      <c r="C20" s="32" t="s">
        <v>90</v>
      </c>
      <c r="D20" s="32" t="s">
        <v>270</v>
      </c>
      <c r="E20" s="32" t="s">
        <v>170</v>
      </c>
      <c r="F20" s="32" t="s">
        <v>186</v>
      </c>
      <c r="G20" s="32" t="s">
        <v>82</v>
      </c>
      <c r="H20" s="32" t="s">
        <v>82</v>
      </c>
      <c r="I20" s="32" t="s">
        <v>82</v>
      </c>
      <c r="J20" s="32" t="s">
        <v>455</v>
      </c>
      <c r="K20" s="32" t="s">
        <v>456</v>
      </c>
    </row>
    <row r="21" spans="1:11" ht="27.6" customHeight="1">
      <c r="A21" s="32" t="s">
        <v>439</v>
      </c>
      <c r="B21" s="32" t="s">
        <v>440</v>
      </c>
      <c r="C21" s="32" t="s">
        <v>90</v>
      </c>
      <c r="D21" s="32" t="s">
        <v>270</v>
      </c>
      <c r="E21" s="32" t="s">
        <v>166</v>
      </c>
      <c r="F21" s="32" t="s">
        <v>186</v>
      </c>
      <c r="G21" s="32" t="s">
        <v>82</v>
      </c>
      <c r="H21" s="32" t="s">
        <v>82</v>
      </c>
      <c r="I21" s="32" t="s">
        <v>82</v>
      </c>
      <c r="J21" s="32" t="s">
        <v>457</v>
      </c>
      <c r="K21" s="32" t="s">
        <v>447</v>
      </c>
    </row>
    <row r="22" spans="1:11" ht="27.6" customHeight="1">
      <c r="A22" s="31" t="s">
        <v>458</v>
      </c>
      <c r="B22" s="31" t="s">
        <v>459</v>
      </c>
      <c r="C22" s="32" t="s">
        <v>90</v>
      </c>
      <c r="D22" s="32" t="s">
        <v>270</v>
      </c>
      <c r="E22" s="32" t="s">
        <v>181</v>
      </c>
      <c r="F22" s="32" t="s">
        <v>181</v>
      </c>
      <c r="G22" s="32" t="s">
        <v>82</v>
      </c>
      <c r="H22" s="32" t="s">
        <v>82</v>
      </c>
      <c r="I22" s="32" t="s">
        <v>82</v>
      </c>
      <c r="J22" s="32" t="s">
        <v>441</v>
      </c>
      <c r="K22" s="32" t="s">
        <v>442</v>
      </c>
    </row>
    <row r="23" spans="1:11" ht="27.6" customHeight="1">
      <c r="A23" s="32" t="s">
        <v>458</v>
      </c>
      <c r="B23" s="32" t="s">
        <v>459</v>
      </c>
      <c r="C23" s="32" t="s">
        <v>90</v>
      </c>
      <c r="D23" s="32" t="s">
        <v>270</v>
      </c>
      <c r="E23" s="32" t="s">
        <v>174</v>
      </c>
      <c r="F23" s="32" t="s">
        <v>174</v>
      </c>
      <c r="G23" s="32" t="s">
        <v>82</v>
      </c>
      <c r="H23" s="32" t="s">
        <v>82</v>
      </c>
      <c r="I23" s="32" t="s">
        <v>82</v>
      </c>
      <c r="J23" s="32" t="s">
        <v>443</v>
      </c>
      <c r="K23" s="32" t="s">
        <v>444</v>
      </c>
    </row>
    <row r="24" spans="1:11" ht="27.6" customHeight="1">
      <c r="A24" s="32" t="s">
        <v>458</v>
      </c>
      <c r="B24" s="32" t="s">
        <v>459</v>
      </c>
      <c r="C24" s="32" t="s">
        <v>90</v>
      </c>
      <c r="D24" s="32" t="s">
        <v>270</v>
      </c>
      <c r="E24" s="32" t="s">
        <v>172</v>
      </c>
      <c r="F24" s="32" t="s">
        <v>172</v>
      </c>
      <c r="G24" s="32" t="s">
        <v>82</v>
      </c>
      <c r="H24" s="32" t="s">
        <v>82</v>
      </c>
      <c r="I24" s="32" t="s">
        <v>82</v>
      </c>
      <c r="J24" s="32" t="s">
        <v>445</v>
      </c>
      <c r="K24" s="32" t="s">
        <v>446</v>
      </c>
    </row>
    <row r="25" spans="1:11" ht="27.6" customHeight="1">
      <c r="A25" s="32" t="s">
        <v>458</v>
      </c>
      <c r="B25" s="32" t="s">
        <v>459</v>
      </c>
      <c r="C25" s="32" t="s">
        <v>90</v>
      </c>
      <c r="D25" s="32" t="s">
        <v>270</v>
      </c>
      <c r="E25" s="32" t="s">
        <v>176</v>
      </c>
      <c r="F25" s="32" t="s">
        <v>176</v>
      </c>
      <c r="G25" s="32" t="s">
        <v>82</v>
      </c>
      <c r="H25" s="32" t="s">
        <v>82</v>
      </c>
      <c r="I25" s="32" t="s">
        <v>82</v>
      </c>
      <c r="J25" s="32" t="s">
        <v>447</v>
      </c>
      <c r="K25" s="32" t="s">
        <v>448</v>
      </c>
    </row>
    <row r="26" spans="1:11" ht="27.6" customHeight="1">
      <c r="A26" s="31" t="s">
        <v>460</v>
      </c>
      <c r="B26" s="31" t="s">
        <v>429</v>
      </c>
      <c r="C26" s="32" t="s">
        <v>90</v>
      </c>
      <c r="D26" s="32" t="s">
        <v>269</v>
      </c>
      <c r="E26" s="32" t="s">
        <v>181</v>
      </c>
      <c r="F26" s="32" t="s">
        <v>181</v>
      </c>
      <c r="G26" s="32" t="s">
        <v>82</v>
      </c>
      <c r="H26" s="32" t="s">
        <v>82</v>
      </c>
      <c r="I26" s="32" t="s">
        <v>82</v>
      </c>
      <c r="J26" s="32" t="s">
        <v>453</v>
      </c>
      <c r="K26" s="32" t="s">
        <v>461</v>
      </c>
    </row>
    <row r="27" spans="1:11" ht="27.6" customHeight="1">
      <c r="A27" s="32" t="s">
        <v>460</v>
      </c>
      <c r="B27" s="32" t="s">
        <v>429</v>
      </c>
      <c r="C27" s="32" t="s">
        <v>90</v>
      </c>
      <c r="D27" s="32" t="s">
        <v>269</v>
      </c>
      <c r="E27" s="32" t="s">
        <v>174</v>
      </c>
      <c r="F27" s="32" t="s">
        <v>174</v>
      </c>
      <c r="G27" s="32" t="s">
        <v>82</v>
      </c>
      <c r="H27" s="32" t="s">
        <v>82</v>
      </c>
      <c r="I27" s="32" t="s">
        <v>82</v>
      </c>
      <c r="J27" s="32" t="s">
        <v>450</v>
      </c>
      <c r="K27" s="32" t="s">
        <v>456</v>
      </c>
    </row>
    <row r="28" spans="1:11" ht="27.6" customHeight="1">
      <c r="A28" s="32" t="s">
        <v>460</v>
      </c>
      <c r="B28" s="32" t="s">
        <v>429</v>
      </c>
      <c r="C28" s="32" t="s">
        <v>90</v>
      </c>
      <c r="D28" s="32" t="s">
        <v>269</v>
      </c>
      <c r="E28" s="32" t="s">
        <v>172</v>
      </c>
      <c r="F28" s="32" t="s">
        <v>172</v>
      </c>
      <c r="G28" s="32" t="s">
        <v>82</v>
      </c>
      <c r="H28" s="32" t="s">
        <v>82</v>
      </c>
      <c r="I28" s="32" t="s">
        <v>82</v>
      </c>
      <c r="J28" s="32" t="s">
        <v>462</v>
      </c>
      <c r="K28" s="32" t="s">
        <v>463</v>
      </c>
    </row>
    <row r="29" spans="1:11" ht="27.6" customHeight="1">
      <c r="A29" s="32" t="s">
        <v>460</v>
      </c>
      <c r="B29" s="32" t="s">
        <v>429</v>
      </c>
      <c r="C29" s="32" t="s">
        <v>90</v>
      </c>
      <c r="D29" s="32" t="s">
        <v>269</v>
      </c>
      <c r="E29" s="32" t="s">
        <v>176</v>
      </c>
      <c r="F29" s="32" t="s">
        <v>176</v>
      </c>
      <c r="G29" s="32" t="s">
        <v>82</v>
      </c>
      <c r="H29" s="32" t="s">
        <v>82</v>
      </c>
      <c r="I29" s="32" t="s">
        <v>82</v>
      </c>
      <c r="J29" s="32" t="s">
        <v>433</v>
      </c>
      <c r="K29" s="32" t="s">
        <v>454</v>
      </c>
    </row>
    <row r="30" spans="1:11" ht="27.6" customHeight="1">
      <c r="A30" s="32" t="s">
        <v>460</v>
      </c>
      <c r="B30" s="32" t="s">
        <v>429</v>
      </c>
      <c r="C30" s="32" t="s">
        <v>90</v>
      </c>
      <c r="D30" s="32" t="s">
        <v>269</v>
      </c>
      <c r="E30" s="32" t="s">
        <v>464</v>
      </c>
      <c r="F30" s="32" t="s">
        <v>186</v>
      </c>
      <c r="G30" s="32" t="s">
        <v>82</v>
      </c>
      <c r="H30" s="32" t="s">
        <v>82</v>
      </c>
      <c r="I30" s="32" t="s">
        <v>82</v>
      </c>
      <c r="J30" s="32" t="s">
        <v>455</v>
      </c>
      <c r="K30" s="32" t="s">
        <v>445</v>
      </c>
    </row>
    <row r="31" spans="1:11" ht="27.6" customHeight="1">
      <c r="A31" s="32" t="s">
        <v>460</v>
      </c>
      <c r="B31" s="32" t="s">
        <v>429</v>
      </c>
      <c r="C31" s="32" t="s">
        <v>90</v>
      </c>
      <c r="D31" s="32" t="s">
        <v>269</v>
      </c>
      <c r="E31" s="32" t="s">
        <v>465</v>
      </c>
      <c r="F31" s="32" t="s">
        <v>466</v>
      </c>
      <c r="G31" s="32" t="s">
        <v>82</v>
      </c>
      <c r="H31" s="32" t="s">
        <v>82</v>
      </c>
      <c r="I31" s="32" t="s">
        <v>82</v>
      </c>
      <c r="J31" s="32" t="s">
        <v>467</v>
      </c>
      <c r="K31" s="32" t="s">
        <v>436</v>
      </c>
    </row>
    <row r="32" spans="1:11" ht="27.6" customHeight="1">
      <c r="A32" s="32" t="s">
        <v>460</v>
      </c>
      <c r="B32" s="32" t="s">
        <v>429</v>
      </c>
      <c r="C32" s="32" t="s">
        <v>90</v>
      </c>
      <c r="D32" s="32" t="s">
        <v>269</v>
      </c>
      <c r="E32" s="32" t="s">
        <v>468</v>
      </c>
      <c r="F32" s="32" t="s">
        <v>449</v>
      </c>
      <c r="G32" s="32" t="s">
        <v>82</v>
      </c>
      <c r="H32" s="32" t="s">
        <v>82</v>
      </c>
      <c r="I32" s="32" t="s">
        <v>82</v>
      </c>
      <c r="J32" s="32" t="s">
        <v>469</v>
      </c>
      <c r="K32" s="32" t="s">
        <v>435</v>
      </c>
    </row>
    <row r="33" spans="1:11" ht="27.6" customHeight="1">
      <c r="A33" s="31" t="s">
        <v>470</v>
      </c>
      <c r="B33" s="31" t="s">
        <v>471</v>
      </c>
      <c r="C33" s="32" t="s">
        <v>90</v>
      </c>
      <c r="D33" s="32" t="s">
        <v>270</v>
      </c>
      <c r="E33" s="32" t="s">
        <v>181</v>
      </c>
      <c r="F33" s="32" t="s">
        <v>181</v>
      </c>
      <c r="G33" s="32" t="s">
        <v>441</v>
      </c>
      <c r="H33" s="32" t="s">
        <v>443</v>
      </c>
      <c r="I33" s="32" t="s">
        <v>82</v>
      </c>
      <c r="J33" s="32" t="s">
        <v>82</v>
      </c>
      <c r="K33" s="32" t="s">
        <v>82</v>
      </c>
    </row>
    <row r="34" spans="1:11" ht="27.6" customHeight="1">
      <c r="A34" s="32" t="s">
        <v>470</v>
      </c>
      <c r="B34" s="32" t="s">
        <v>471</v>
      </c>
      <c r="C34" s="32" t="s">
        <v>90</v>
      </c>
      <c r="D34" s="32" t="s">
        <v>270</v>
      </c>
      <c r="E34" s="32" t="s">
        <v>174</v>
      </c>
      <c r="F34" s="32" t="s">
        <v>174</v>
      </c>
      <c r="G34" s="32" t="s">
        <v>436</v>
      </c>
      <c r="H34" s="32" t="s">
        <v>472</v>
      </c>
      <c r="I34" s="32" t="s">
        <v>82</v>
      </c>
      <c r="J34" s="32" t="s">
        <v>82</v>
      </c>
      <c r="K34" s="32" t="s">
        <v>82</v>
      </c>
    </row>
    <row r="35" spans="1:11" ht="27.6" customHeight="1">
      <c r="A35" s="32" t="s">
        <v>470</v>
      </c>
      <c r="B35" s="32" t="s">
        <v>471</v>
      </c>
      <c r="C35" s="32" t="s">
        <v>90</v>
      </c>
      <c r="D35" s="32" t="s">
        <v>270</v>
      </c>
      <c r="E35" s="32" t="s">
        <v>172</v>
      </c>
      <c r="F35" s="32" t="s">
        <v>172</v>
      </c>
      <c r="G35" s="32" t="s">
        <v>473</v>
      </c>
      <c r="H35" s="32" t="s">
        <v>474</v>
      </c>
      <c r="I35" s="32" t="s">
        <v>82</v>
      </c>
      <c r="J35" s="32" t="s">
        <v>82</v>
      </c>
      <c r="K35" s="32" t="s">
        <v>82</v>
      </c>
    </row>
    <row r="36" spans="1:11" ht="27.6" customHeight="1">
      <c r="A36" s="32" t="s">
        <v>470</v>
      </c>
      <c r="B36" s="32" t="s">
        <v>471</v>
      </c>
      <c r="C36" s="32" t="s">
        <v>90</v>
      </c>
      <c r="D36" s="32" t="s">
        <v>270</v>
      </c>
      <c r="E36" s="32" t="s">
        <v>176</v>
      </c>
      <c r="F36" s="32" t="s">
        <v>176</v>
      </c>
      <c r="G36" s="32" t="s">
        <v>456</v>
      </c>
      <c r="H36" s="32" t="s">
        <v>475</v>
      </c>
      <c r="I36" s="32" t="s">
        <v>82</v>
      </c>
      <c r="J36" s="32" t="s">
        <v>82</v>
      </c>
      <c r="K36" s="32" t="s">
        <v>82</v>
      </c>
    </row>
    <row r="37" spans="1:11" ht="27.6" customHeight="1">
      <c r="A37" s="31" t="s">
        <v>476</v>
      </c>
      <c r="B37" s="31" t="s">
        <v>477</v>
      </c>
      <c r="C37" s="32" t="s">
        <v>90</v>
      </c>
      <c r="D37" s="32" t="s">
        <v>272</v>
      </c>
      <c r="E37" s="32" t="s">
        <v>478</v>
      </c>
      <c r="F37" s="32" t="s">
        <v>479</v>
      </c>
      <c r="G37" s="32" t="s">
        <v>82</v>
      </c>
      <c r="H37" s="32" t="s">
        <v>82</v>
      </c>
      <c r="I37" s="32" t="s">
        <v>82</v>
      </c>
      <c r="J37" s="32" t="s">
        <v>480</v>
      </c>
      <c r="K37" s="32" t="s">
        <v>481</v>
      </c>
    </row>
    <row r="38" spans="1:11" ht="27.6" customHeight="1">
      <c r="A38" s="32" t="s">
        <v>476</v>
      </c>
      <c r="B38" s="32" t="s">
        <v>477</v>
      </c>
      <c r="C38" s="32" t="s">
        <v>90</v>
      </c>
      <c r="D38" s="32" t="s">
        <v>272</v>
      </c>
      <c r="E38" s="32" t="s">
        <v>468</v>
      </c>
      <c r="F38" s="32" t="s">
        <v>482</v>
      </c>
      <c r="G38" s="32" t="s">
        <v>82</v>
      </c>
      <c r="H38" s="32" t="s">
        <v>82</v>
      </c>
      <c r="I38" s="32" t="s">
        <v>82</v>
      </c>
      <c r="J38" s="32" t="s">
        <v>483</v>
      </c>
      <c r="K38" s="32" t="s">
        <v>484</v>
      </c>
    </row>
    <row r="39" spans="1:11" ht="27.6" customHeight="1">
      <c r="A39" s="32" t="s">
        <v>476</v>
      </c>
      <c r="B39" s="32" t="s">
        <v>477</v>
      </c>
      <c r="C39" s="32" t="s">
        <v>90</v>
      </c>
      <c r="D39" s="32" t="s">
        <v>272</v>
      </c>
      <c r="E39" s="32" t="s">
        <v>465</v>
      </c>
      <c r="F39" s="32" t="s">
        <v>485</v>
      </c>
      <c r="G39" s="32" t="s">
        <v>82</v>
      </c>
      <c r="H39" s="32" t="s">
        <v>82</v>
      </c>
      <c r="I39" s="32" t="s">
        <v>82</v>
      </c>
      <c r="J39" s="32" t="s">
        <v>453</v>
      </c>
      <c r="K39" s="32" t="s">
        <v>486</v>
      </c>
    </row>
    <row r="40" spans="1:11" ht="27.6" customHeight="1">
      <c r="A40" s="32" t="s">
        <v>476</v>
      </c>
      <c r="B40" s="32" t="s">
        <v>477</v>
      </c>
      <c r="C40" s="32" t="s">
        <v>90</v>
      </c>
      <c r="D40" s="32" t="s">
        <v>272</v>
      </c>
      <c r="E40" s="32" t="s">
        <v>464</v>
      </c>
      <c r="F40" s="32" t="s">
        <v>487</v>
      </c>
      <c r="G40" s="32" t="s">
        <v>82</v>
      </c>
      <c r="H40" s="32" t="s">
        <v>82</v>
      </c>
      <c r="I40" s="32" t="s">
        <v>82</v>
      </c>
      <c r="J40" s="32" t="s">
        <v>488</v>
      </c>
      <c r="K40" s="32" t="s">
        <v>454</v>
      </c>
    </row>
    <row r="41" spans="1:11" ht="27.6" customHeight="1">
      <c r="A41" s="31" t="s">
        <v>489</v>
      </c>
      <c r="B41" s="31" t="s">
        <v>351</v>
      </c>
      <c r="C41" s="32" t="s">
        <v>90</v>
      </c>
      <c r="D41" s="32" t="s">
        <v>270</v>
      </c>
      <c r="E41" s="32" t="s">
        <v>181</v>
      </c>
      <c r="F41" s="32" t="s">
        <v>181</v>
      </c>
      <c r="G41" s="32" t="s">
        <v>490</v>
      </c>
      <c r="H41" s="32" t="s">
        <v>441</v>
      </c>
      <c r="I41" s="32" t="s">
        <v>82</v>
      </c>
      <c r="J41" s="32" t="s">
        <v>82</v>
      </c>
      <c r="K41" s="32" t="s">
        <v>82</v>
      </c>
    </row>
    <row r="42" spans="1:11" ht="27.6" customHeight="1">
      <c r="A42" s="32" t="s">
        <v>489</v>
      </c>
      <c r="B42" s="32" t="s">
        <v>351</v>
      </c>
      <c r="C42" s="32" t="s">
        <v>90</v>
      </c>
      <c r="D42" s="32" t="s">
        <v>270</v>
      </c>
      <c r="E42" s="32" t="s">
        <v>174</v>
      </c>
      <c r="F42" s="32" t="s">
        <v>174</v>
      </c>
      <c r="G42" s="32" t="s">
        <v>430</v>
      </c>
      <c r="H42" s="32" t="s">
        <v>443</v>
      </c>
      <c r="I42" s="32" t="s">
        <v>82</v>
      </c>
      <c r="J42" s="32" t="s">
        <v>82</v>
      </c>
      <c r="K42" s="32" t="s">
        <v>82</v>
      </c>
    </row>
    <row r="43" spans="1:11" ht="27.6" customHeight="1">
      <c r="A43" s="32" t="s">
        <v>489</v>
      </c>
      <c r="B43" s="32" t="s">
        <v>351</v>
      </c>
      <c r="C43" s="32" t="s">
        <v>90</v>
      </c>
      <c r="D43" s="32" t="s">
        <v>270</v>
      </c>
      <c r="E43" s="32" t="s">
        <v>172</v>
      </c>
      <c r="F43" s="32" t="s">
        <v>172</v>
      </c>
      <c r="G43" s="32" t="s">
        <v>431</v>
      </c>
      <c r="H43" s="32" t="s">
        <v>445</v>
      </c>
      <c r="I43" s="32" t="s">
        <v>82</v>
      </c>
      <c r="J43" s="32" t="s">
        <v>82</v>
      </c>
      <c r="K43" s="32" t="s">
        <v>82</v>
      </c>
    </row>
    <row r="44" spans="1:11" ht="27.6" customHeight="1">
      <c r="A44" s="32" t="s">
        <v>489</v>
      </c>
      <c r="B44" s="32" t="s">
        <v>351</v>
      </c>
      <c r="C44" s="32" t="s">
        <v>90</v>
      </c>
      <c r="D44" s="32" t="s">
        <v>270</v>
      </c>
      <c r="E44" s="32" t="s">
        <v>176</v>
      </c>
      <c r="F44" s="32" t="s">
        <v>176</v>
      </c>
      <c r="G44" s="32" t="s">
        <v>432</v>
      </c>
      <c r="H44" s="32" t="s">
        <v>447</v>
      </c>
      <c r="I44" s="32" t="s">
        <v>82</v>
      </c>
      <c r="J44" s="32" t="s">
        <v>82</v>
      </c>
      <c r="K44" s="32" t="s">
        <v>82</v>
      </c>
    </row>
    <row r="45" spans="1:11" ht="27.6" customHeight="1">
      <c r="A45" s="31" t="s">
        <v>491</v>
      </c>
      <c r="B45" s="31" t="s">
        <v>492</v>
      </c>
      <c r="C45" s="32" t="s">
        <v>90</v>
      </c>
      <c r="D45" s="32" t="s">
        <v>270</v>
      </c>
      <c r="E45" s="32" t="s">
        <v>181</v>
      </c>
      <c r="F45" s="32" t="s">
        <v>181</v>
      </c>
      <c r="G45" s="32" t="s">
        <v>434</v>
      </c>
      <c r="H45" s="32" t="s">
        <v>435</v>
      </c>
      <c r="I45" s="32" t="s">
        <v>442</v>
      </c>
      <c r="J45" s="32" t="s">
        <v>82</v>
      </c>
      <c r="K45" s="32" t="s">
        <v>82</v>
      </c>
    </row>
    <row r="46" spans="1:11" ht="27.6" customHeight="1">
      <c r="A46" s="32" t="s">
        <v>491</v>
      </c>
      <c r="B46" s="32" t="s">
        <v>492</v>
      </c>
      <c r="C46" s="32" t="s">
        <v>90</v>
      </c>
      <c r="D46" s="32" t="s">
        <v>270</v>
      </c>
      <c r="E46" s="32" t="s">
        <v>174</v>
      </c>
      <c r="F46" s="32" t="s">
        <v>174</v>
      </c>
      <c r="G46" s="32" t="s">
        <v>443</v>
      </c>
      <c r="H46" s="32" t="s">
        <v>436</v>
      </c>
      <c r="I46" s="32" t="s">
        <v>444</v>
      </c>
      <c r="J46" s="32" t="s">
        <v>82</v>
      </c>
      <c r="K46" s="32" t="s">
        <v>82</v>
      </c>
    </row>
    <row r="47" spans="1:11" ht="27.6" customHeight="1">
      <c r="A47" s="32" t="s">
        <v>491</v>
      </c>
      <c r="B47" s="32" t="s">
        <v>492</v>
      </c>
      <c r="C47" s="32" t="s">
        <v>90</v>
      </c>
      <c r="D47" s="32" t="s">
        <v>270</v>
      </c>
      <c r="E47" s="32" t="s">
        <v>172</v>
      </c>
      <c r="F47" s="32" t="s">
        <v>172</v>
      </c>
      <c r="G47" s="32" t="s">
        <v>445</v>
      </c>
      <c r="H47" s="32" t="s">
        <v>472</v>
      </c>
      <c r="I47" s="32" t="s">
        <v>446</v>
      </c>
      <c r="J47" s="32" t="s">
        <v>82</v>
      </c>
      <c r="K47" s="32" t="s">
        <v>82</v>
      </c>
    </row>
    <row r="48" spans="1:11" ht="27.6" customHeight="1">
      <c r="A48" s="32" t="s">
        <v>491</v>
      </c>
      <c r="B48" s="32" t="s">
        <v>492</v>
      </c>
      <c r="C48" s="32" t="s">
        <v>90</v>
      </c>
      <c r="D48" s="32" t="s">
        <v>270</v>
      </c>
      <c r="E48" s="32" t="s">
        <v>176</v>
      </c>
      <c r="F48" s="32" t="s">
        <v>176</v>
      </c>
      <c r="G48" s="32" t="s">
        <v>447</v>
      </c>
      <c r="H48" s="32" t="s">
        <v>461</v>
      </c>
      <c r="I48" s="32" t="s">
        <v>448</v>
      </c>
      <c r="J48" s="32" t="s">
        <v>82</v>
      </c>
      <c r="K48" s="32" t="s">
        <v>82</v>
      </c>
    </row>
    <row r="49" spans="1:11" ht="27.6" customHeight="1">
      <c r="A49" s="32" t="s">
        <v>491</v>
      </c>
      <c r="B49" s="32" t="s">
        <v>492</v>
      </c>
      <c r="C49" s="32" t="s">
        <v>90</v>
      </c>
      <c r="D49" s="32" t="s">
        <v>270</v>
      </c>
      <c r="E49" s="32" t="s">
        <v>165</v>
      </c>
      <c r="F49" s="32" t="s">
        <v>186</v>
      </c>
      <c r="G49" s="32" t="s">
        <v>431</v>
      </c>
      <c r="H49" s="32" t="s">
        <v>432</v>
      </c>
      <c r="I49" s="32" t="s">
        <v>82</v>
      </c>
      <c r="J49" s="32" t="s">
        <v>82</v>
      </c>
      <c r="K49" s="32" t="s">
        <v>82</v>
      </c>
    </row>
    <row r="50" spans="1:11" ht="27.6" customHeight="1">
      <c r="A50" s="32" t="s">
        <v>491</v>
      </c>
      <c r="B50" s="32" t="s">
        <v>492</v>
      </c>
      <c r="C50" s="32" t="s">
        <v>90</v>
      </c>
      <c r="D50" s="32" t="s">
        <v>270</v>
      </c>
      <c r="E50" s="32" t="s">
        <v>173</v>
      </c>
      <c r="F50" s="32" t="s">
        <v>186</v>
      </c>
      <c r="G50" s="32" t="s">
        <v>453</v>
      </c>
      <c r="H50" s="32" t="s">
        <v>450</v>
      </c>
      <c r="I50" s="32" t="s">
        <v>82</v>
      </c>
      <c r="J50" s="32" t="s">
        <v>82</v>
      </c>
      <c r="K50" s="32" t="s">
        <v>82</v>
      </c>
    </row>
    <row r="51" spans="1:11" ht="27.6" customHeight="1">
      <c r="A51" s="32" t="s">
        <v>491</v>
      </c>
      <c r="B51" s="32" t="s">
        <v>492</v>
      </c>
      <c r="C51" s="32" t="s">
        <v>90</v>
      </c>
      <c r="D51" s="32" t="s">
        <v>270</v>
      </c>
      <c r="E51" s="32" t="s">
        <v>170</v>
      </c>
      <c r="F51" s="32" t="s">
        <v>466</v>
      </c>
      <c r="G51" s="32" t="s">
        <v>490</v>
      </c>
      <c r="H51" s="32" t="s">
        <v>430</v>
      </c>
      <c r="I51" s="32" t="s">
        <v>82</v>
      </c>
      <c r="J51" s="32" t="s">
        <v>82</v>
      </c>
      <c r="K51" s="32" t="s">
        <v>82</v>
      </c>
    </row>
    <row r="52" spans="1:11" ht="27.6" customHeight="1">
      <c r="A52" s="32" t="s">
        <v>491</v>
      </c>
      <c r="B52" s="32" t="s">
        <v>492</v>
      </c>
      <c r="C52" s="32" t="s">
        <v>90</v>
      </c>
      <c r="D52" s="32" t="s">
        <v>270</v>
      </c>
      <c r="E52" s="32" t="s">
        <v>166</v>
      </c>
      <c r="F52" s="32" t="s">
        <v>466</v>
      </c>
      <c r="G52" s="32" t="s">
        <v>483</v>
      </c>
      <c r="H52" s="32" t="s">
        <v>490</v>
      </c>
      <c r="I52" s="32" t="s">
        <v>82</v>
      </c>
      <c r="J52" s="32" t="s">
        <v>82</v>
      </c>
      <c r="K52" s="32" t="s">
        <v>82</v>
      </c>
    </row>
    <row r="53" spans="1:11" ht="27.6" customHeight="1">
      <c r="A53" s="32" t="s">
        <v>491</v>
      </c>
      <c r="B53" s="32" t="s">
        <v>492</v>
      </c>
      <c r="C53" s="32" t="s">
        <v>90</v>
      </c>
      <c r="D53" s="32" t="s">
        <v>270</v>
      </c>
      <c r="E53" s="32" t="s">
        <v>182</v>
      </c>
      <c r="F53" s="32" t="s">
        <v>449</v>
      </c>
      <c r="G53" s="32" t="s">
        <v>469</v>
      </c>
      <c r="H53" s="32" t="s">
        <v>467</v>
      </c>
      <c r="I53" s="32" t="s">
        <v>82</v>
      </c>
      <c r="J53" s="32" t="s">
        <v>82</v>
      </c>
      <c r="K53" s="32" t="s">
        <v>82</v>
      </c>
    </row>
    <row r="54" spans="1:11" ht="27.6" customHeight="1">
      <c r="A54" s="32" t="s">
        <v>491</v>
      </c>
      <c r="B54" s="32" t="s">
        <v>492</v>
      </c>
      <c r="C54" s="32" t="s">
        <v>90</v>
      </c>
      <c r="D54" s="32" t="s">
        <v>270</v>
      </c>
      <c r="E54" s="32" t="s">
        <v>168</v>
      </c>
      <c r="F54" s="32" t="s">
        <v>449</v>
      </c>
      <c r="G54" s="32" t="s">
        <v>493</v>
      </c>
      <c r="H54" s="32" t="s">
        <v>469</v>
      </c>
      <c r="I54" s="32" t="s">
        <v>82</v>
      </c>
      <c r="J54" s="32" t="s">
        <v>82</v>
      </c>
      <c r="K54" s="32" t="s">
        <v>82</v>
      </c>
    </row>
    <row r="55" spans="1:11" ht="27.6" customHeight="1">
      <c r="A55" s="31" t="s">
        <v>494</v>
      </c>
      <c r="B55" s="31" t="s">
        <v>495</v>
      </c>
      <c r="C55" s="32" t="s">
        <v>90</v>
      </c>
      <c r="D55" s="32" t="s">
        <v>270</v>
      </c>
      <c r="E55" s="32" t="s">
        <v>496</v>
      </c>
      <c r="F55" s="32" t="s">
        <v>181</v>
      </c>
      <c r="G55" s="32" t="s">
        <v>497</v>
      </c>
      <c r="H55" s="32" t="s">
        <v>434</v>
      </c>
      <c r="I55" s="32" t="s">
        <v>498</v>
      </c>
      <c r="J55" s="32" t="s">
        <v>82</v>
      </c>
      <c r="K55" s="32" t="s">
        <v>82</v>
      </c>
    </row>
    <row r="56" spans="1:11" ht="27.6" customHeight="1">
      <c r="A56" s="32" t="s">
        <v>494</v>
      </c>
      <c r="B56" s="32" t="s">
        <v>495</v>
      </c>
      <c r="C56" s="32" t="s">
        <v>90</v>
      </c>
      <c r="D56" s="32" t="s">
        <v>270</v>
      </c>
      <c r="E56" s="32" t="s">
        <v>174</v>
      </c>
      <c r="F56" s="32" t="s">
        <v>174</v>
      </c>
      <c r="G56" s="32" t="s">
        <v>443</v>
      </c>
      <c r="H56" s="32" t="s">
        <v>445</v>
      </c>
      <c r="I56" s="32" t="s">
        <v>448</v>
      </c>
      <c r="J56" s="32" t="s">
        <v>82</v>
      </c>
      <c r="K56" s="32" t="s">
        <v>82</v>
      </c>
    </row>
    <row r="57" spans="1:11" ht="27.6" customHeight="1">
      <c r="A57" s="32" t="s">
        <v>494</v>
      </c>
      <c r="B57" s="32" t="s">
        <v>495</v>
      </c>
      <c r="C57" s="32" t="s">
        <v>90</v>
      </c>
      <c r="D57" s="32" t="s">
        <v>270</v>
      </c>
      <c r="E57" s="32" t="s">
        <v>172</v>
      </c>
      <c r="F57" s="32" t="s">
        <v>172</v>
      </c>
      <c r="G57" s="32" t="s">
        <v>473</v>
      </c>
      <c r="H57" s="32" t="s">
        <v>474</v>
      </c>
      <c r="I57" s="32" t="s">
        <v>499</v>
      </c>
      <c r="J57" s="32" t="s">
        <v>82</v>
      </c>
      <c r="K57" s="32" t="s">
        <v>82</v>
      </c>
    </row>
    <row r="58" spans="1:11" ht="27.6" customHeight="1">
      <c r="A58" s="32" t="s">
        <v>494</v>
      </c>
      <c r="B58" s="32" t="s">
        <v>495</v>
      </c>
      <c r="C58" s="32" t="s">
        <v>90</v>
      </c>
      <c r="D58" s="32" t="s">
        <v>270</v>
      </c>
      <c r="E58" s="32" t="s">
        <v>176</v>
      </c>
      <c r="F58" s="32" t="s">
        <v>176</v>
      </c>
      <c r="G58" s="32" t="s">
        <v>463</v>
      </c>
      <c r="H58" s="32" t="s">
        <v>451</v>
      </c>
      <c r="I58" s="32" t="s">
        <v>500</v>
      </c>
      <c r="J58" s="32" t="s">
        <v>82</v>
      </c>
      <c r="K58" s="32" t="s">
        <v>82</v>
      </c>
    </row>
  </sheetData>
  <mergeCells count="16">
    <mergeCell ref="A1:S1"/>
    <mergeCell ref="A2:F2"/>
    <mergeCell ref="G2:I3"/>
    <mergeCell ref="J2:K3"/>
    <mergeCell ref="A3:F3"/>
    <mergeCell ref="A4:A5"/>
    <mergeCell ref="B4:B5"/>
    <mergeCell ref="C4:C5"/>
    <mergeCell ref="D4:D5"/>
    <mergeCell ref="E4:E5"/>
    <mergeCell ref="K4:K5"/>
    <mergeCell ref="F4:F5"/>
    <mergeCell ref="G4:G5"/>
    <mergeCell ref="H4:H5"/>
    <mergeCell ref="I4:I5"/>
    <mergeCell ref="J4:J5"/>
  </mergeCells>
  <hyperlinks>
    <hyperlink ref="A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baseColWidth="10" defaultColWidth="9.140625" defaultRowHeight="12.75"/>
  <cols>
    <col min="1" max="1" width="39" customWidth="1"/>
    <col min="2" max="2" width="117.140625" customWidth="1"/>
    <col min="3" max="3" width="39" customWidth="1"/>
  </cols>
  <sheetData>
    <row r="1" spans="1:3" ht="37.5" customHeight="1">
      <c r="A1" s="33" t="s">
        <v>501</v>
      </c>
      <c r="B1" s="33" t="s">
        <v>502</v>
      </c>
      <c r="C1" s="33" t="s">
        <v>82</v>
      </c>
    </row>
    <row r="2" spans="1:3" ht="25.5">
      <c r="A2" s="97" t="s">
        <v>90</v>
      </c>
      <c r="B2" s="34" t="s">
        <v>503</v>
      </c>
    </row>
    <row r="3" spans="1:3" ht="20.100000000000001" customHeight="1">
      <c r="A3" s="52"/>
      <c r="B3" s="35" t="s">
        <v>88</v>
      </c>
    </row>
  </sheetData>
  <mergeCells count="1">
    <mergeCell ref="A2:A3"/>
  </mergeCells>
  <hyperlinks>
    <hyperlink ref="B3" r:id="rId1" xr:uid="{00000000-0004-0000-0400-000000000000}"/>
  </hyperlinks>
  <pageMargins left="0.7" right="0.7" top="0.75" bottom="0.75" header="0.3" footer="0.3"/>
  <ignoredErrors>
    <ignoredError sqref="A2:A10001 B2:B10001 C2:C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Ayuda</vt:lpstr>
      <vt:lpstr>Camisetas</vt:lpstr>
      <vt:lpstr>Guías de tallas</vt:lpstr>
      <vt:lpstr>Legales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Joya Prieto</cp:lastModifiedBy>
  <dcterms:modified xsi:type="dcterms:W3CDTF">2026-10-04T00:19:42Z</dcterms:modified>
</cp:coreProperties>
</file>